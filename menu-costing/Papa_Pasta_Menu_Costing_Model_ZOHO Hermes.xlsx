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01 Control" sheetId="1" state="visible" r:id="rId1"/>
    <sheet xmlns:r="http://schemas.openxmlformats.org/officeDocument/2006/relationships" name="02 Lists" sheetId="2" state="visible" r:id="rId2"/>
    <sheet xmlns:r="http://schemas.openxmlformats.org/officeDocument/2006/relationships" name="03 Suppliers" sheetId="3" state="visible" r:id="rId3"/>
    <sheet xmlns:r="http://schemas.openxmlformats.org/officeDocument/2006/relationships" name="04 SKU Master" sheetId="4" state="visible" r:id="rId4"/>
    <sheet xmlns:r="http://schemas.openxmlformats.org/officeDocument/2006/relationships" name="05 Packaging Master" sheetId="5" state="visible" r:id="rId5"/>
    <sheet xmlns:r="http://schemas.openxmlformats.org/officeDocument/2006/relationships" name="06 Pasta Dough BOM" sheetId="6" state="visible" r:id="rId6"/>
    <sheet xmlns:r="http://schemas.openxmlformats.org/officeDocument/2006/relationships" name="07 Core Sauce BOM CK" sheetId="7" state="visible" r:id="rId7"/>
    <sheet xmlns:r="http://schemas.openxmlformats.org/officeDocument/2006/relationships" name="08 Seasonal Sauce BOM CK" sheetId="8" state="visible" r:id="rId8"/>
    <sheet xmlns:r="http://schemas.openxmlformats.org/officeDocument/2006/relationships" name="09 Cost Index" sheetId="9" state="visible" r:id="rId9"/>
    <sheet xmlns:r="http://schemas.openxmlformats.org/officeDocument/2006/relationships" name="10 Core Menu BOM" sheetId="10" state="visible" r:id="rId10"/>
    <sheet xmlns:r="http://schemas.openxmlformats.org/officeDocument/2006/relationships" name="11 Seasonal Menu BOM" sheetId="11" state="visible" r:id="rId11"/>
    <sheet xmlns:r="http://schemas.openxmlformats.org/officeDocument/2006/relationships" name="12 Final Menu" sheetId="12" state="visible" r:id="rId12"/>
    <sheet xmlns:r="http://schemas.openxmlformats.org/officeDocument/2006/relationships" name="13 Network Economics" sheetId="13" state="visible" r:id="rId13"/>
    <sheet xmlns:r="http://schemas.openxmlformats.org/officeDocument/2006/relationships" name="14 Model Health" sheetId="14" state="visible" r:id="rId14"/>
    <sheet xmlns:r="http://schemas.openxmlformats.org/officeDocument/2006/relationships" name="15 RFQ Tracker" sheetId="15" state="visible" r:id="rId15"/>
    <sheet xmlns:r="http://schemas.openxmlformats.org/officeDocument/2006/relationships" name="16 Menu Price Reference" sheetId="16" state="visible" r:id="rId16"/>
    <sheet xmlns:r="http://schemas.openxmlformats.org/officeDocument/2006/relationships" name="17 Quote Log" sheetId="17" state="visible" r:id="rId17"/>
    <sheet xmlns:r="http://schemas.openxmlformats.org/officeDocument/2006/relationships" name="18 Production Capacity" sheetId="18" state="visible" r:id="rId18"/>
    <sheet xmlns:r="http://schemas.openxmlformats.org/officeDocument/2006/relationships" name="19 Seasonal Sources" sheetId="19" state="visible" r:id="rId19"/>
    <sheet xmlns:r="http://schemas.openxmlformats.org/officeDocument/2006/relationships" name="20 Quote Coverage" sheetId="20" state="visible" r:id="rId20"/>
  </sheets>
  <definedNames>
    <definedName name="PP_Owners" hidden="0" function="0" vbProcedure="0">'02 Lists'!$I$5:$I$7</definedName>
    <definedName name="PP_QuoteVAT" hidden="0" function="0" vbProcedure="0">'02 Lists'!$G$5:$G$6</definedName>
    <definedName name="PP_RFQStatus" hidden="0" function="0" vbProcedure="0">'02 Lists'!$H$5:$H$10</definedName>
    <definedName name="PP_Suppliers" hidden="0" function="0" vbProcedure="0">'03 Suppliers'!$B$5:$B$34</definedName>
    <definedName name="PP_Units" hidden="0" function="0" vbProcedure="0">'02 Lists'!$A$5:$A$21</definedName>
    <definedName name="_xlnm._FilterDatabase" localSheetId="2" hidden="1">'03 Suppliers'!$A$4:$O$34</definedName>
    <definedName name="_xlnm._FilterDatabase" localSheetId="3" hidden="1">'04 SKU Master'!$A$4:$AQ$165</definedName>
    <definedName name="_xlnm._FilterDatabase" localSheetId="4" hidden="1">'05 Packaging Master'!$A$4:$AQ$50</definedName>
    <definedName name="_xlnm._FilterDatabase" localSheetId="9" hidden="1">'10 Core Menu BOM'!$A$4:$N$262</definedName>
    <definedName name="_xlnm._FilterDatabase" localSheetId="10" hidden="1">'11 Seasonal Menu BOM'!$A$4:$N$363</definedName>
    <definedName name="_xlnm._FilterDatabase" localSheetId="14" hidden="1">'15 RFQ Tracker'!$A$10:$O$126</definedName>
    <definedName name="_xlnm._FilterDatabase" localSheetId="16" hidden="1">'17 Quote Log'!$A$4:$N$144</definedName>
  </definedNames>
  <calcPr calcId="124519" fullCalcOnLoad="1" refMode="A1" iterate="0" iterateCount="100" iterateDelta="0.0001"/>
</workbook>
</file>

<file path=xl/styles.xml><?xml version="1.0" encoding="utf-8"?>
<styleSheet xmlns="http://schemas.openxmlformats.org/spreadsheetml/2006/main">
  <numFmts count="4">
    <numFmt numFmtId="164" formatCode="0.0%"/>
    <numFmt numFmtId="165" formatCode="#,##0;\-#,##0;\-"/>
    <numFmt numFmtId="166" formatCode="#,##0.00;\-#,##0.00;\-"/>
    <numFmt numFmtId="167" formatCode="yyyy\-mm\-dd"/>
  </numFmts>
  <fonts count="3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5"/>
    </font>
    <font>
      <name val="Arial"/>
      <charset val="1"/>
      <family val="0"/>
      <i val="1"/>
      <color rgb="FF4A5878"/>
      <sz val="9"/>
    </font>
    <font>
      <name val="Arial"/>
      <charset val="1"/>
      <family val="0"/>
      <b val="1"/>
      <color rgb="FFFFFFFF"/>
      <sz val="9"/>
    </font>
    <font>
      <name val="Arial"/>
      <charset val="1"/>
      <family val="0"/>
      <color rgb="FF000000"/>
      <sz val="9"/>
    </font>
    <font>
      <name val="Arial"/>
      <charset val="1"/>
      <family val="0"/>
      <b val="1"/>
      <color rgb="FF0000FF"/>
      <sz val="9"/>
    </font>
    <font>
      <name val="Arial"/>
      <charset val="1"/>
      <family val="0"/>
      <color rgb="FF6B7280"/>
      <sz val="9"/>
    </font>
    <font>
      <name val="Arial"/>
      <charset val="1"/>
      <family val="0"/>
      <color rgb="FF4A5878"/>
      <sz val="8"/>
    </font>
    <font>
      <name val="Arial"/>
      <charset val="1"/>
      <family val="0"/>
      <b val="1"/>
      <color rgb="FF1B2A5E"/>
      <sz val="9"/>
    </font>
    <font>
      <name val="Arial"/>
      <charset val="1"/>
      <family val="0"/>
      <b val="1"/>
      <color rgb="FF000000"/>
      <sz val="9"/>
    </font>
    <font>
      <name val="Arial"/>
      <charset val="1"/>
      <family val="0"/>
      <b val="1"/>
      <color rgb="FFC0392B"/>
      <sz val="9"/>
    </font>
    <font>
      <name val="Arial"/>
      <charset val="1"/>
      <family val="0"/>
      <b val="1"/>
      <color rgb="FF1F6F62"/>
      <sz val="9"/>
    </font>
    <font>
      <name val="Arial"/>
      <charset val="1"/>
      <family val="0"/>
      <i val="1"/>
      <color rgb="FF6B7280"/>
      <sz val="8"/>
    </font>
    <font>
      <name val="Arial"/>
      <charset val="1"/>
      <family val="0"/>
      <color rgb="FF0000FF"/>
      <sz val="9"/>
    </font>
    <font>
      <name val="Arial"/>
      <charset val="1"/>
      <family val="0"/>
      <color rgb="FF9AA5BC"/>
      <sz val="8"/>
    </font>
    <font>
      <name val="Arial"/>
      <charset val="1"/>
      <family val="0"/>
      <b val="1"/>
      <color rgb="FFC0392B"/>
      <sz val="8"/>
    </font>
    <font>
      <name val="Arial"/>
      <family val="2"/>
      <sz val="10"/>
    </font>
    <font>
      <name val="Arial"/>
      <charset val="1"/>
      <family val="0"/>
      <color rgb="FF000000"/>
      <sz val="8"/>
    </font>
    <font>
      <name val="Arial"/>
      <charset val="1"/>
      <family val="0"/>
      <color rgb="FF6B7280"/>
      <sz val="8"/>
    </font>
    <font>
      <name val="Arial"/>
      <charset val="1"/>
      <family val="0"/>
      <b val="1"/>
      <color rgb="FF0000FF"/>
      <sz val="10"/>
    </font>
    <font>
      <name val="Arial"/>
      <charset val="1"/>
      <family val="0"/>
      <b val="1"/>
      <color rgb="FF000000"/>
      <sz val="8"/>
    </font>
    <font>
      <name val="Arial"/>
      <charset val="1"/>
      <family val="0"/>
      <b val="1"/>
      <color rgb="FF000000"/>
      <sz val="10"/>
    </font>
    <font>
      <name val="Arial"/>
      <charset val="1"/>
      <family val="0"/>
      <b val="1"/>
      <color rgb="FF4A5878"/>
      <sz val="9"/>
    </font>
    <font>
      <name val="Arial"/>
      <charset val="1"/>
      <family val="0"/>
      <b val="1"/>
      <color rgb="FF000000"/>
      <sz val="11"/>
    </font>
    <font>
      <name val="Arial"/>
      <charset val="1"/>
      <family val="0"/>
      <b val="1"/>
      <color rgb="FFC0392B"/>
      <sz val="10"/>
    </font>
    <font>
      <name val="Arial"/>
      <charset val="1"/>
      <family val="0"/>
      <color rgb="FF5B2E7A"/>
      <sz val="8"/>
    </font>
    <font>
      <name val="Arial"/>
      <b val="1"/>
      <color rgb="001F3864"/>
      <sz val="13"/>
    </font>
    <font>
      <name val="Arial"/>
      <i val="1"/>
      <color rgb="00555555"/>
      <sz val="9"/>
    </font>
    <font>
      <name val="Arial"/>
      <b val="1"/>
      <color rgb="00FFFFFF"/>
      <sz val="10"/>
    </font>
    <font>
      <name val="Arial"/>
      <sz val="10"/>
    </font>
    <font>
      <name val="Arial"/>
      <b val="1"/>
      <sz val="10"/>
    </font>
    <font>
      <name val="Arial"/>
      <b val="1"/>
      <color rgb="009C6500"/>
      <sz val="10"/>
    </font>
    <font>
      <name val="Arial"/>
      <b val="1"/>
      <color rgb="00006100"/>
      <sz val="10"/>
    </font>
  </fonts>
  <fills count="20">
    <fill>
      <patternFill/>
    </fill>
    <fill>
      <patternFill patternType="gray125"/>
    </fill>
    <fill>
      <patternFill patternType="solid">
        <fgColor rgb="FF0B1533"/>
        <bgColor rgb="FF1B2A5E"/>
      </patternFill>
    </fill>
    <fill>
      <patternFill patternType="solid">
        <fgColor rgb="FF1B2A5E"/>
        <bgColor rgb="FF0B1533"/>
      </patternFill>
    </fill>
    <fill>
      <patternFill patternType="solid">
        <fgColor rgb="FFFFF6DE"/>
        <bgColor rgb="FFFFF3D6"/>
      </patternFill>
    </fill>
    <fill>
      <patternFill patternType="solid">
        <fgColor rgb="FFC9A227"/>
        <bgColor rgb="FF99CC00"/>
      </patternFill>
    </fill>
    <fill>
      <patternFill patternType="solid">
        <fgColor rgb="FFF3F6FB"/>
        <bgColor rgb="FFEDEFF4"/>
      </patternFill>
    </fill>
    <fill>
      <patternFill patternType="solid">
        <fgColor rgb="FFE6F3F1"/>
        <bgColor rgb="FFE4F5EA"/>
      </patternFill>
    </fill>
    <fill>
      <patternFill patternType="solid">
        <fgColor rgb="FF1F6F62"/>
        <bgColor rgb="FF008080"/>
      </patternFill>
    </fill>
    <fill>
      <patternFill patternType="solid">
        <fgColor rgb="FFC0392B"/>
        <bgColor rgb="FF993366"/>
      </patternFill>
    </fill>
    <fill>
      <patternFill patternType="solid">
        <fgColor rgb="FF33437A"/>
        <bgColor rgb="FF3E4E86"/>
      </patternFill>
    </fill>
    <fill>
      <patternFill patternType="solid">
        <fgColor rgb="FF3E4E86"/>
        <bgColor rgb="FF33437A"/>
      </patternFill>
    </fill>
    <fill>
      <patternFill patternType="solid">
        <fgColor rgb="FFFFE9A8"/>
        <bgColor rgb="FFFFF3D6"/>
      </patternFill>
    </fill>
    <fill>
      <patternFill patternType="solid">
        <fgColor rgb="FF7A5C10"/>
        <bgColor rgb="FF6B7280"/>
      </patternFill>
    </fill>
    <fill>
      <patternFill patternType="solid">
        <fgColor rgb="FFEDEFF4"/>
        <bgColor rgb="FFE6F3F1"/>
      </patternFill>
    </fill>
    <fill>
      <patternFill patternType="solid">
        <fgColor rgb="FF5B2E7A"/>
        <bgColor rgb="FF33437A"/>
      </patternFill>
    </fill>
    <fill>
      <patternFill patternType="solid">
        <fgColor rgb="001F3864"/>
      </patternFill>
    </fill>
    <fill>
      <patternFill patternType="solid">
        <fgColor rgb="00F2F6FB"/>
      </patternFill>
    </fill>
    <fill>
      <patternFill patternType="solid">
        <fgColor rgb="00FFEB9C"/>
      </patternFill>
    </fill>
    <fill>
      <patternFill patternType="solid">
        <fgColor rgb="00C6EFCE"/>
      </patternFill>
    </fill>
  </fills>
  <borders count="7">
    <border>
      <left/>
      <right/>
      <top/>
      <bottom/>
      <diagonal/>
    </border>
    <border>
      <left style="thin">
        <color rgb="FFC3CAD9"/>
      </left>
      <right style="thin">
        <color rgb="FFC3CAD9"/>
      </right>
      <top style="thin">
        <color rgb="FFC3CAD9"/>
      </top>
      <bottom style="thin">
        <color rgb="FFC3CAD9"/>
      </bottom>
      <diagonal/>
    </border>
    <border>
      <left/>
      <right/>
      <top style="thin">
        <color rgb="FFC3CAD9"/>
      </top>
      <bottom/>
      <diagonal/>
    </border>
    <border>
      <left/>
      <right style="thin">
        <color rgb="FFC3CAD9"/>
      </right>
      <top style="thin">
        <color rgb="FFC3CAD9"/>
      </top>
      <bottom/>
      <diagonal/>
    </border>
    <border>
      <left/>
      <right/>
      <top style="thin">
        <color rgb="FFC3CAD9"/>
      </top>
      <bottom style="thin">
        <color rgb="FFC3CAD9"/>
      </bottom>
      <diagonal/>
    </border>
    <border>
      <left/>
      <right style="thin">
        <color rgb="FFC3CAD9"/>
      </right>
      <top style="thin">
        <color rgb="FFC3CAD9"/>
      </top>
      <bottom style="thin">
        <color rgb="FFC3CAD9"/>
      </bottom>
      <diagonal/>
    </border>
    <border>
      <bottom style="thin">
        <color rgb="00B8C4D8"/>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28">
    <xf numFmtId="0" fontId="0" fillId="0" borderId="0" applyAlignment="1" pivotButton="0" quotePrefix="0" xfId="0">
      <alignment horizontal="general" vertical="bottom"/>
    </xf>
    <xf numFmtId="0" fontId="4" fillId="2" borderId="0" applyAlignment="1" pivotButton="0" quotePrefix="0" xfId="0">
      <alignment horizontal="left" vertical="center" indent="1"/>
    </xf>
    <xf numFmtId="0" fontId="5" fillId="0" borderId="0" applyAlignment="1" pivotButton="0" quotePrefix="0" xfId="0">
      <alignment horizontal="left" vertical="center" indent="1"/>
    </xf>
    <xf numFmtId="0" fontId="6" fillId="3" borderId="1" applyAlignment="1" pivotButton="0" quotePrefix="0" xfId="0">
      <alignment horizontal="center" vertical="center"/>
    </xf>
    <xf numFmtId="0" fontId="6" fillId="3" borderId="1" applyAlignment="1" pivotButton="0" quotePrefix="0" xfId="0">
      <alignment horizontal="center" vertical="center" wrapText="1"/>
    </xf>
    <xf numFmtId="0" fontId="7" fillId="0" borderId="1" applyAlignment="1" pivotButton="0" quotePrefix="0" xfId="0">
      <alignment horizontal="general" vertical="center"/>
    </xf>
    <xf numFmtId="164" fontId="8" fillId="4" borderId="1" applyAlignment="1" applyProtection="1" pivotButton="0" quotePrefix="0" xfId="0">
      <alignment horizontal="center" vertical="center"/>
      <protection locked="0" hidden="0"/>
    </xf>
    <xf numFmtId="0" fontId="9" fillId="0" borderId="1" applyAlignment="1" pivotButton="0" quotePrefix="0" xfId="0">
      <alignment horizontal="center" vertical="center"/>
    </xf>
    <xf numFmtId="0" fontId="10" fillId="0" borderId="1" applyAlignment="1" pivotButton="0" quotePrefix="0" xfId="0">
      <alignment horizontal="general" vertical="center" wrapText="1"/>
    </xf>
    <xf numFmtId="165" fontId="8" fillId="4" borderId="1" applyAlignment="1" applyProtection="1" pivotButton="0" quotePrefix="0" xfId="0">
      <alignment horizontal="center" vertical="center"/>
      <protection locked="0" hidden="0"/>
    </xf>
    <xf numFmtId="166" fontId="8" fillId="4" borderId="1" applyAlignment="1" applyProtection="1" pivotButton="0" quotePrefix="0" xfId="0">
      <alignment horizontal="center" vertical="center"/>
      <protection locked="0" hidden="0"/>
    </xf>
    <xf numFmtId="0" fontId="8" fillId="4" borderId="1" applyAlignment="1" applyProtection="1" pivotButton="0" quotePrefix="0" xfId="0">
      <alignment horizontal="center" vertical="center"/>
      <protection locked="0" hidden="0"/>
    </xf>
    <xf numFmtId="0" fontId="11" fillId="0" borderId="1" applyAlignment="1" pivotButton="0" quotePrefix="0" xfId="0">
      <alignment horizontal="general" vertical="center"/>
    </xf>
    <xf numFmtId="0" fontId="6" fillId="5" borderId="1" applyAlignment="1" pivotButton="0" quotePrefix="0" xfId="0">
      <alignment horizontal="center" vertical="center"/>
    </xf>
    <xf numFmtId="0" fontId="8" fillId="4" borderId="1" applyAlignment="1" applyProtection="1" pivotButton="0" quotePrefix="0" xfId="0">
      <alignment horizontal="general" vertical="center"/>
      <protection locked="0" hidden="0"/>
    </xf>
    <xf numFmtId="0" fontId="12" fillId="6" borderId="1" applyAlignment="1" pivotButton="0" quotePrefix="0" xfId="0">
      <alignment horizontal="general" vertical="center"/>
    </xf>
    <xf numFmtId="0" fontId="12" fillId="7" borderId="1" applyAlignment="1" pivotButton="0" quotePrefix="0" xfId="0">
      <alignment horizontal="general" vertical="center"/>
    </xf>
    <xf numFmtId="0" fontId="13" fillId="6" borderId="1" applyAlignment="1" pivotButton="0" quotePrefix="0" xfId="0">
      <alignment horizontal="general" vertical="center"/>
    </xf>
    <xf numFmtId="0" fontId="6" fillId="8" borderId="1" applyAlignment="1" pivotButton="0" quotePrefix="0" xfId="0">
      <alignment horizontal="center" vertical="center"/>
    </xf>
    <xf numFmtId="0" fontId="14" fillId="0" borderId="1" applyAlignment="1" pivotButton="0" quotePrefix="0" xfId="0">
      <alignment horizontal="general" vertical="center" wrapText="1"/>
    </xf>
    <xf numFmtId="0" fontId="7" fillId="0" borderId="1" applyAlignment="1" pivotButton="0" quotePrefix="0" xfId="0">
      <alignment horizontal="general" vertical="center" wrapText="1"/>
    </xf>
    <xf numFmtId="0" fontId="6" fillId="9" borderId="1" applyAlignment="1" pivotButton="0" quotePrefix="0" xfId="0">
      <alignment horizontal="center" vertical="center"/>
    </xf>
    <xf numFmtId="0" fontId="13" fillId="0" borderId="1" applyAlignment="1" pivotButton="0" quotePrefix="0" xfId="0">
      <alignment horizontal="center" vertical="center"/>
    </xf>
    <xf numFmtId="0" fontId="12" fillId="0" borderId="1" applyAlignment="1" pivotButton="0" quotePrefix="0" xfId="0">
      <alignment horizontal="general" vertical="center" wrapText="1"/>
    </xf>
    <xf numFmtId="0" fontId="12" fillId="0" borderId="1" applyAlignment="1" pivotButton="0" quotePrefix="0" xfId="0">
      <alignment horizontal="general" vertical="center"/>
    </xf>
    <xf numFmtId="0" fontId="15" fillId="0" borderId="0" applyAlignment="1" pivotButton="0" quotePrefix="0" xfId="0">
      <alignment horizontal="general" vertical="center" wrapText="1"/>
    </xf>
    <xf numFmtId="0" fontId="12" fillId="0" borderId="1" applyAlignment="1" pivotButton="0" quotePrefix="0" xfId="0">
      <alignment horizontal="center" vertical="center"/>
    </xf>
    <xf numFmtId="166" fontId="7" fillId="0" borderId="1" applyAlignment="1" pivotButton="0" quotePrefix="0" xfId="0">
      <alignment horizontal="center" vertical="center"/>
    </xf>
    <xf numFmtId="0" fontId="10" fillId="0" borderId="1" applyAlignment="1" pivotButton="0" quotePrefix="0" xfId="0">
      <alignment horizontal="general" vertical="center"/>
    </xf>
    <xf numFmtId="0" fontId="7" fillId="0" borderId="1" applyAlignment="1" pivotButton="0" quotePrefix="0" xfId="0">
      <alignment horizontal="center" vertical="center"/>
    </xf>
    <xf numFmtId="0" fontId="8" fillId="4" borderId="1" applyAlignment="1" applyProtection="1" pivotButton="0" quotePrefix="0" xfId="0">
      <alignment horizontal="center" vertical="center"/>
      <protection locked="0" hidden="0"/>
    </xf>
    <xf numFmtId="0" fontId="16" fillId="4" borderId="1" applyAlignment="1" applyProtection="1" pivotButton="0" quotePrefix="0" xfId="0">
      <alignment horizontal="general" vertical="center"/>
      <protection locked="0" hidden="0"/>
    </xf>
    <xf numFmtId="0" fontId="16" fillId="4" borderId="1" applyAlignment="1" applyProtection="1" pivotButton="0" quotePrefix="0" xfId="0">
      <alignment horizontal="center" vertical="center"/>
      <protection locked="0" hidden="0"/>
    </xf>
    <xf numFmtId="0" fontId="17" fillId="0" borderId="0" applyAlignment="1" pivotButton="0" quotePrefix="0" xfId="0">
      <alignment horizontal="general" vertical="bottom"/>
    </xf>
    <xf numFmtId="0" fontId="16" fillId="0" borderId="1" applyAlignment="1" pivotButton="0" quotePrefix="0" xfId="0">
      <alignment horizontal="general" vertical="center"/>
    </xf>
    <xf numFmtId="0" fontId="6" fillId="10" borderId="1" applyAlignment="1" pivotButton="0" quotePrefix="0" xfId="0">
      <alignment horizontal="center" vertical="center"/>
    </xf>
    <xf numFmtId="0" fontId="6" fillId="11" borderId="1" applyAlignment="1" pivotButton="0" quotePrefix="0" xfId="0">
      <alignment horizontal="center" vertical="center"/>
    </xf>
    <xf numFmtId="164" fontId="16" fillId="4" borderId="1" applyAlignment="1" applyProtection="1" pivotButton="0" quotePrefix="0" xfId="0">
      <alignment horizontal="center" vertical="center"/>
      <protection locked="0" hidden="0"/>
    </xf>
    <xf numFmtId="166" fontId="16" fillId="4" borderId="1" applyAlignment="1" applyProtection="1" pivotButton="0" quotePrefix="0" xfId="0">
      <alignment horizontal="center" vertical="center"/>
      <protection locked="0" hidden="0"/>
    </xf>
    <xf numFmtId="0" fontId="16" fillId="4" borderId="1" applyAlignment="1" applyProtection="1" pivotButton="0" quotePrefix="0" xfId="0">
      <alignment horizontal="right" vertical="center"/>
      <protection locked="0" hidden="0"/>
    </xf>
    <xf numFmtId="167" fontId="16" fillId="4" borderId="1" applyAlignment="1" applyProtection="1" pivotButton="0" quotePrefix="0" xfId="0">
      <alignment horizontal="center" vertical="center"/>
      <protection locked="0" hidden="0"/>
    </xf>
    <xf numFmtId="0" fontId="7" fillId="6" borderId="1" applyAlignment="1" pivotButton="0" quotePrefix="0" xfId="0">
      <alignment horizontal="right" vertical="center"/>
    </xf>
    <xf numFmtId="0" fontId="12" fillId="7" borderId="1" applyAlignment="1" pivotButton="0" quotePrefix="0" xfId="0">
      <alignment horizontal="right" vertical="center"/>
    </xf>
    <xf numFmtId="165" fontId="7" fillId="6" borderId="1" applyAlignment="1" pivotButton="0" quotePrefix="0" xfId="0">
      <alignment horizontal="center" vertical="center"/>
    </xf>
    <xf numFmtId="164" fontId="7" fillId="6" borderId="1" applyAlignment="1" pivotButton="0" quotePrefix="0" xfId="0">
      <alignment horizontal="center" vertical="center"/>
    </xf>
    <xf numFmtId="167" fontId="7" fillId="6" borderId="1" applyAlignment="1" pivotButton="0" quotePrefix="0" xfId="0">
      <alignment horizontal="center" vertical="center"/>
    </xf>
    <xf numFmtId="0" fontId="18" fillId="0" borderId="1" applyAlignment="1" pivotButton="0" quotePrefix="0" xfId="0">
      <alignment horizontal="left" vertical="center" wrapText="1"/>
    </xf>
    <xf numFmtId="0" fontId="13" fillId="4" borderId="1" applyAlignment="1" applyProtection="1" pivotButton="0" quotePrefix="0" xfId="0">
      <alignment horizontal="right" vertical="center"/>
      <protection locked="0" hidden="0"/>
    </xf>
    <xf numFmtId="165" fontId="7" fillId="6" borderId="1" applyAlignment="1" pivotButton="0" quotePrefix="0" xfId="0">
      <alignment horizontal="right" vertical="center"/>
    </xf>
    <xf numFmtId="166" fontId="7" fillId="6" borderId="1" applyAlignment="1" pivotButton="0" quotePrefix="0" xfId="0">
      <alignment horizontal="center" vertical="center"/>
    </xf>
    <xf numFmtId="166" fontId="12" fillId="7" borderId="1" applyAlignment="1" pivotButton="0" quotePrefix="0" xfId="0">
      <alignment horizontal="center" vertical="center"/>
    </xf>
    <xf numFmtId="0" fontId="20" fillId="6" borderId="1" applyAlignment="1" pivotButton="0" quotePrefix="0" xfId="0">
      <alignment horizontal="center" vertical="center"/>
    </xf>
    <xf numFmtId="0" fontId="20" fillId="6" borderId="1" applyAlignment="1" pivotButton="0" quotePrefix="0" xfId="0">
      <alignment horizontal="general" vertical="center" wrapText="1"/>
    </xf>
    <xf numFmtId="0" fontId="20" fillId="6" borderId="1" applyAlignment="1" pivotButton="0" quotePrefix="0" xfId="0">
      <alignment horizontal="center" vertical="center" wrapText="1"/>
    </xf>
    <xf numFmtId="0" fontId="21" fillId="0" borderId="1" applyAlignment="1" pivotButton="0" quotePrefix="0" xfId="0">
      <alignment horizontal="general" vertical="center"/>
    </xf>
    <xf numFmtId="0" fontId="20" fillId="0" borderId="1" applyAlignment="1" pivotButton="0" quotePrefix="0" xfId="0">
      <alignment horizontal="center" vertical="center"/>
    </xf>
    <xf numFmtId="166" fontId="7" fillId="6" borderId="1" applyAlignment="1" pivotButton="0" quotePrefix="0" xfId="0">
      <alignment horizontal="right" vertical="center"/>
    </xf>
    <xf numFmtId="164" fontId="7" fillId="6" borderId="1" applyAlignment="1" pivotButton="0" quotePrefix="0" xfId="0">
      <alignment horizontal="right" vertical="center"/>
    </xf>
    <xf numFmtId="166" fontId="12" fillId="7" borderId="1" applyAlignment="1" pivotButton="0" quotePrefix="0" xfId="0">
      <alignment horizontal="right" vertical="center"/>
    </xf>
    <xf numFmtId="165" fontId="8" fillId="4" borderId="1" applyAlignment="1" applyProtection="1" pivotButton="0" quotePrefix="0" xfId="0">
      <alignment horizontal="right" vertical="center"/>
      <protection locked="0" hidden="0"/>
    </xf>
    <xf numFmtId="0" fontId="8" fillId="4" borderId="1" applyAlignment="1" applyProtection="1" pivotButton="0" quotePrefix="0" xfId="0">
      <alignment horizontal="right" vertical="center"/>
      <protection locked="0" hidden="0"/>
    </xf>
    <xf numFmtId="0" fontId="7" fillId="6" borderId="1" applyAlignment="1" pivotButton="0" quotePrefix="0" xfId="0">
      <alignment horizontal="left" vertical="center" wrapText="1"/>
    </xf>
    <xf numFmtId="0" fontId="22" fillId="12" borderId="1" applyAlignment="1" applyProtection="1" pivotButton="0" quotePrefix="0" xfId="0">
      <alignment horizontal="center" vertical="center"/>
      <protection locked="0" hidden="0"/>
    </xf>
    <xf numFmtId="0" fontId="10" fillId="0" borderId="0" applyAlignment="1" pivotButton="0" quotePrefix="0" xfId="0">
      <alignment horizontal="general" vertical="center" wrapText="1"/>
    </xf>
    <xf numFmtId="166" fontId="8" fillId="4" borderId="1" applyAlignment="1" applyProtection="1" pivotButton="0" quotePrefix="0" xfId="0">
      <alignment horizontal="right" vertical="center"/>
      <protection locked="0" hidden="0"/>
    </xf>
    <xf numFmtId="165" fontId="16" fillId="4" borderId="1" applyAlignment="1" applyProtection="1" pivotButton="0" quotePrefix="0" xfId="0">
      <alignment horizontal="center" vertical="center"/>
      <protection locked="0" hidden="0"/>
    </xf>
    <xf numFmtId="0" fontId="7" fillId="0" borderId="0" applyAlignment="1" pivotButton="0" quotePrefix="0" xfId="0">
      <alignment horizontal="general" vertical="center"/>
    </xf>
    <xf numFmtId="0" fontId="10" fillId="0" borderId="0" applyAlignment="1" pivotButton="0" quotePrefix="0" xfId="0">
      <alignment horizontal="general" vertical="center" wrapText="1"/>
    </xf>
    <xf numFmtId="0" fontId="12" fillId="12" borderId="1" applyAlignment="1" pivotButton="0" quotePrefix="0" xfId="0">
      <alignment horizontal="center" vertical="center"/>
    </xf>
    <xf numFmtId="0" fontId="10" fillId="6" borderId="1" applyAlignment="1" pivotButton="0" quotePrefix="0" xfId="0">
      <alignment horizontal="center" vertical="center"/>
    </xf>
    <xf numFmtId="164" fontId="20" fillId="6" borderId="1" applyAlignment="1" pivotButton="0" quotePrefix="0" xfId="0">
      <alignment horizontal="center" vertical="center"/>
    </xf>
    <xf numFmtId="0" fontId="6" fillId="13" borderId="1" applyAlignment="1" pivotButton="0" quotePrefix="0" xfId="0">
      <alignment horizontal="center" vertical="center"/>
    </xf>
    <xf numFmtId="0" fontId="10" fillId="0" borderId="1" applyAlignment="1" pivotButton="0" quotePrefix="0" xfId="0">
      <alignment horizontal="center" vertical="center"/>
    </xf>
    <xf numFmtId="0" fontId="12" fillId="6" borderId="1" applyAlignment="1" pivotButton="0" quotePrefix="0" xfId="0">
      <alignment horizontal="right" vertical="center"/>
    </xf>
    <xf numFmtId="164" fontId="12" fillId="7" borderId="1" applyAlignment="1" pivotButton="0" quotePrefix="0" xfId="0">
      <alignment horizontal="center" vertical="center"/>
    </xf>
    <xf numFmtId="0" fontId="20" fillId="14" borderId="1" applyAlignment="1" pivotButton="0" quotePrefix="0" xfId="0">
      <alignment horizontal="right" vertical="center"/>
    </xf>
    <xf numFmtId="0" fontId="10" fillId="14" borderId="1" applyAlignment="1" pivotButton="0" quotePrefix="0" xfId="0">
      <alignment horizontal="general" vertical="center" wrapText="1"/>
    </xf>
    <xf numFmtId="0" fontId="6" fillId="15" borderId="1" applyAlignment="1" pivotButton="0" quotePrefix="0" xfId="0">
      <alignment horizontal="center" vertical="center"/>
    </xf>
    <xf numFmtId="165" fontId="12" fillId="6" borderId="1" applyAlignment="1" pivotButton="0" quotePrefix="0" xfId="0">
      <alignment horizontal="right" vertical="center"/>
    </xf>
    <xf numFmtId="164" fontId="12" fillId="6" borderId="1" applyAlignment="1" pivotButton="0" quotePrefix="0" xfId="0">
      <alignment horizontal="right" vertical="center"/>
    </xf>
    <xf numFmtId="0" fontId="18" fillId="0" borderId="1" applyAlignment="1" pivotButton="0" quotePrefix="0" xfId="0">
      <alignment horizontal="general" vertical="center"/>
    </xf>
    <xf numFmtId="0" fontId="23" fillId="12" borderId="1" applyAlignment="1" pivotButton="0" quotePrefix="0" xfId="0">
      <alignment horizontal="center" vertical="center"/>
    </xf>
    <xf numFmtId="0" fontId="24" fillId="0" borderId="1" applyAlignment="1" pivotButton="0" quotePrefix="0" xfId="0">
      <alignment horizontal="general" vertical="center"/>
    </xf>
    <xf numFmtId="164" fontId="12" fillId="7" borderId="1" applyAlignment="1" pivotButton="0" quotePrefix="0" xfId="0">
      <alignment horizontal="right" vertical="center"/>
    </xf>
    <xf numFmtId="0" fontId="12" fillId="7" borderId="1" applyAlignment="1" pivotButton="0" quotePrefix="0" xfId="0">
      <alignment horizontal="center" vertical="center"/>
    </xf>
    <xf numFmtId="165" fontId="12" fillId="6" borderId="1" applyAlignment="1" pivotButton="0" quotePrefix="0" xfId="0">
      <alignment horizontal="center" vertical="center"/>
    </xf>
    <xf numFmtId="164" fontId="12" fillId="6" borderId="1" applyAlignment="1" pivotButton="0" quotePrefix="0" xfId="0">
      <alignment horizontal="center" vertical="center"/>
    </xf>
    <xf numFmtId="0" fontId="25" fillId="6" borderId="1" applyAlignment="1" pivotButton="0" quotePrefix="0" xfId="0">
      <alignment horizontal="center" vertical="center"/>
    </xf>
    <xf numFmtId="0" fontId="26" fillId="0" borderId="1" applyAlignment="1" pivotButton="0" quotePrefix="0" xfId="0">
      <alignment horizontal="general" vertical="center"/>
    </xf>
    <xf numFmtId="0" fontId="26" fillId="7" borderId="1" applyAlignment="1" pivotButton="0" quotePrefix="0" xfId="0">
      <alignment horizontal="center" vertical="center"/>
    </xf>
    <xf numFmtId="165" fontId="26" fillId="7" borderId="1" applyAlignment="1" pivotButton="0" quotePrefix="0" xfId="0">
      <alignment horizontal="center" vertical="center"/>
    </xf>
    <xf numFmtId="164" fontId="26" fillId="7" borderId="1" applyAlignment="1" pivotButton="0" quotePrefix="0" xfId="0">
      <alignment horizontal="center" vertical="center"/>
    </xf>
    <xf numFmtId="0" fontId="12" fillId="14" borderId="1" applyAlignment="1" pivotButton="0" quotePrefix="0" xfId="0">
      <alignment horizontal="center" vertical="center"/>
    </xf>
    <xf numFmtId="165" fontId="12" fillId="7" borderId="1" applyAlignment="1" pivotButton="0" quotePrefix="0" xfId="0">
      <alignment horizontal="center" vertical="center"/>
    </xf>
    <xf numFmtId="0" fontId="10" fillId="0" borderId="1" applyAlignment="1" pivotButton="0" quotePrefix="0" xfId="0">
      <alignment horizontal="left" vertical="center"/>
    </xf>
    <xf numFmtId="0" fontId="12" fillId="6" borderId="1" applyAlignment="1" pivotButton="0" quotePrefix="0" xfId="0">
      <alignment horizontal="center" vertical="center"/>
    </xf>
    <xf numFmtId="0" fontId="20" fillId="6" borderId="1" applyAlignment="1" pivotButton="0" quotePrefix="0" xfId="0">
      <alignment horizontal="general" vertical="center"/>
    </xf>
    <xf numFmtId="0" fontId="14" fillId="0" borderId="1" applyAlignment="1" pivotButton="0" quotePrefix="0" xfId="0">
      <alignment horizontal="center" vertical="center"/>
    </xf>
    <xf numFmtId="0" fontId="21" fillId="0" borderId="1" applyAlignment="1" pivotButton="0" quotePrefix="0" xfId="0">
      <alignment horizontal="center" vertical="center"/>
    </xf>
    <xf numFmtId="0" fontId="7" fillId="14" borderId="1" applyAlignment="1" pivotButton="0" quotePrefix="0" xfId="0">
      <alignment horizontal="general" vertical="center"/>
    </xf>
    <xf numFmtId="0" fontId="27" fillId="0" borderId="1" applyAlignment="1" pivotButton="0" quotePrefix="0" xfId="0">
      <alignment horizontal="general" vertical="center"/>
    </xf>
    <xf numFmtId="0" fontId="10" fillId="6" borderId="1" applyAlignment="1" pivotButton="0" quotePrefix="0" xfId="0">
      <alignment horizontal="general" vertical="center" wrapText="1"/>
    </xf>
    <xf numFmtId="0" fontId="20" fillId="0" borderId="1" applyAlignment="1" pivotButton="0" quotePrefix="0" xfId="0">
      <alignment horizontal="general" vertical="center"/>
    </xf>
    <xf numFmtId="0" fontId="28" fillId="0" borderId="1" applyAlignment="1" pivotButton="0" quotePrefix="0" xfId="0">
      <alignment horizontal="center" vertical="center"/>
    </xf>
    <xf numFmtId="0" fontId="12" fillId="7" borderId="1" applyAlignment="1" pivotButton="0" quotePrefix="0" xfId="0">
      <alignment horizontal="left" vertical="center"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left" vertical="center" indent="1"/>
    </xf>
    <xf numFmtId="0" fontId="5" fillId="0" borderId="0" applyAlignment="1" pivotButton="0" quotePrefix="0" xfId="0">
      <alignment horizontal="left" vertical="center" indent="1"/>
    </xf>
    <xf numFmtId="0" fontId="6" fillId="3" borderId="1" applyAlignment="1" pivotButton="0" quotePrefix="0" xfId="0">
      <alignment horizontal="center" vertical="center"/>
    </xf>
    <xf numFmtId="0" fontId="0" fillId="0" borderId="4" pivotButton="0" quotePrefix="0" xfId="0"/>
    <xf numFmtId="0" fontId="0" fillId="0" borderId="5" pivotButton="0" quotePrefix="0" xfId="0"/>
    <xf numFmtId="0" fontId="6" fillId="3" borderId="1" applyAlignment="1" pivotButton="0" quotePrefix="0" xfId="0">
      <alignment horizontal="center" vertical="center" wrapText="1"/>
    </xf>
    <xf numFmtId="0" fontId="7" fillId="0" borderId="1" applyAlignment="1" pivotButton="0" quotePrefix="0" xfId="0">
      <alignment horizontal="general" vertical="center"/>
    </xf>
    <xf numFmtId="164" fontId="8" fillId="4" borderId="1" applyAlignment="1" applyProtection="1" pivotButton="0" quotePrefix="0" xfId="0">
      <alignment horizontal="center" vertical="center"/>
      <protection locked="0" hidden="0"/>
    </xf>
    <xf numFmtId="0" fontId="9" fillId="0" borderId="1" applyAlignment="1" pivotButton="0" quotePrefix="0" xfId="0">
      <alignment horizontal="center" vertical="center"/>
    </xf>
    <xf numFmtId="0" fontId="10" fillId="0" borderId="1" applyAlignment="1" pivotButton="0" quotePrefix="0" xfId="0">
      <alignment horizontal="general" vertical="center" wrapText="1"/>
    </xf>
    <xf numFmtId="165" fontId="8" fillId="4" borderId="1" applyAlignment="1" applyProtection="1" pivotButton="0" quotePrefix="0" xfId="0">
      <alignment horizontal="center" vertical="center"/>
      <protection locked="0" hidden="0"/>
    </xf>
    <xf numFmtId="166" fontId="8" fillId="4" borderId="1" applyAlignment="1" applyProtection="1" pivotButton="0" quotePrefix="0" xfId="0">
      <alignment horizontal="center" vertical="center"/>
      <protection locked="0" hidden="0"/>
    </xf>
    <xf numFmtId="0" fontId="8" fillId="4" borderId="1" applyAlignment="1" applyProtection="1" pivotButton="0" quotePrefix="0" xfId="0">
      <alignment horizontal="center" vertical="center"/>
      <protection locked="0" hidden="0"/>
    </xf>
    <xf numFmtId="0" fontId="11" fillId="0" borderId="1" applyAlignment="1" pivotButton="0" quotePrefix="0" xfId="0">
      <alignment horizontal="general" vertical="center"/>
    </xf>
    <xf numFmtId="0" fontId="33" fillId="0" borderId="0" pivotButton="0" quotePrefix="0" xfId="0"/>
    <xf numFmtId="0" fontId="32" fillId="0" borderId="0" applyAlignment="1" pivotButton="0" quotePrefix="0" xfId="0">
      <alignment horizontal="left" vertical="top" wrapText="1"/>
    </xf>
    <xf numFmtId="0" fontId="6" fillId="5" borderId="1" applyAlignment="1" pivotButton="0" quotePrefix="0" xfId="0">
      <alignment horizontal="center" vertical="center"/>
    </xf>
    <xf numFmtId="0" fontId="8" fillId="4" borderId="1" applyAlignment="1" applyProtection="1" pivotButton="0" quotePrefix="0" xfId="0">
      <alignment horizontal="general" vertical="center"/>
      <protection locked="0" hidden="0"/>
    </xf>
    <xf numFmtId="0" fontId="12" fillId="6" borderId="1" applyAlignment="1" pivotButton="0" quotePrefix="0" xfId="0">
      <alignment horizontal="general" vertical="center"/>
    </xf>
    <xf numFmtId="0" fontId="12" fillId="7" borderId="1" applyAlignment="1" pivotButton="0" quotePrefix="0" xfId="0">
      <alignment horizontal="general" vertical="center"/>
    </xf>
    <xf numFmtId="0" fontId="13" fillId="6" borderId="1" applyAlignment="1" pivotButton="0" quotePrefix="0" xfId="0">
      <alignment horizontal="general" vertical="center"/>
    </xf>
    <xf numFmtId="0" fontId="6" fillId="8" borderId="1" applyAlignment="1" pivotButton="0" quotePrefix="0" xfId="0">
      <alignment horizontal="center" vertical="center"/>
    </xf>
    <xf numFmtId="0" fontId="14" fillId="0" borderId="1" applyAlignment="1" pivotButton="0" quotePrefix="0" xfId="0">
      <alignment horizontal="general" vertical="center" wrapText="1"/>
    </xf>
    <xf numFmtId="0" fontId="7" fillId="0" borderId="1" applyAlignment="1" pivotButton="0" quotePrefix="0" xfId="0">
      <alignment horizontal="general" vertical="center" wrapText="1"/>
    </xf>
    <xf numFmtId="0" fontId="6" fillId="9" borderId="1" applyAlignment="1" pivotButton="0" quotePrefix="0" xfId="0">
      <alignment horizontal="center" vertical="center"/>
    </xf>
    <xf numFmtId="0" fontId="13" fillId="0" borderId="1" applyAlignment="1" pivotButton="0" quotePrefix="0" xfId="0">
      <alignment horizontal="center" vertical="center"/>
    </xf>
    <xf numFmtId="0" fontId="12" fillId="0" borderId="1" applyAlignment="1" pivotButton="0" quotePrefix="0" xfId="0">
      <alignment horizontal="general" vertical="center" wrapText="1"/>
    </xf>
    <xf numFmtId="0" fontId="12" fillId="0" borderId="1" applyAlignment="1" pivotButton="0" quotePrefix="0" xfId="0">
      <alignment horizontal="general" vertical="center"/>
    </xf>
    <xf numFmtId="0" fontId="15" fillId="0" borderId="0" applyAlignment="1" pivotButton="0" quotePrefix="0" xfId="0">
      <alignment horizontal="general" vertical="center" wrapText="1"/>
    </xf>
    <xf numFmtId="0" fontId="12" fillId="0" borderId="1" applyAlignment="1" pivotButton="0" quotePrefix="0" xfId="0">
      <alignment horizontal="center" vertical="center"/>
    </xf>
    <xf numFmtId="166" fontId="7" fillId="0" borderId="1" applyAlignment="1" pivotButton="0" quotePrefix="0" xfId="0">
      <alignment horizontal="center" vertical="center"/>
    </xf>
    <xf numFmtId="0" fontId="10" fillId="0" borderId="1" applyAlignment="1" pivotButton="0" quotePrefix="0" xfId="0">
      <alignment horizontal="general" vertical="center"/>
    </xf>
    <xf numFmtId="0" fontId="7" fillId="0" borderId="1" applyAlignment="1" pivotButton="0" quotePrefix="0" xfId="0">
      <alignment horizontal="center" vertical="center"/>
    </xf>
    <xf numFmtId="0" fontId="16" fillId="4" borderId="1" applyAlignment="1" applyProtection="1" pivotButton="0" quotePrefix="0" xfId="0">
      <alignment horizontal="general" vertical="center"/>
      <protection locked="0" hidden="0"/>
    </xf>
    <xf numFmtId="0" fontId="16" fillId="4" borderId="1" applyAlignment="1" applyProtection="1" pivotButton="0" quotePrefix="0" xfId="0">
      <alignment horizontal="center" vertical="center"/>
      <protection locked="0" hidden="0"/>
    </xf>
    <xf numFmtId="0" fontId="17" fillId="0" borderId="0" applyAlignment="1" pivotButton="0" quotePrefix="0" xfId="0">
      <alignment horizontal="general" vertical="bottom"/>
    </xf>
    <xf numFmtId="0" fontId="16" fillId="0" borderId="1" applyAlignment="1" pivotButton="0" quotePrefix="0" xfId="0">
      <alignment horizontal="general" vertical="center"/>
    </xf>
    <xf numFmtId="0" fontId="6" fillId="10" borderId="1" applyAlignment="1" pivotButton="0" quotePrefix="0" xfId="0">
      <alignment horizontal="center" vertical="center"/>
    </xf>
    <xf numFmtId="0" fontId="6" fillId="11" borderId="1" applyAlignment="1" pivotButton="0" quotePrefix="0" xfId="0">
      <alignment horizontal="center" vertical="center"/>
    </xf>
    <xf numFmtId="164" fontId="16" fillId="4" borderId="1" applyAlignment="1" applyProtection="1" pivotButton="0" quotePrefix="0" xfId="0">
      <alignment horizontal="center" vertical="center"/>
      <protection locked="0" hidden="0"/>
    </xf>
    <xf numFmtId="166" fontId="16" fillId="4" borderId="1" applyAlignment="1" applyProtection="1" pivotButton="0" quotePrefix="0" xfId="0">
      <alignment horizontal="center" vertical="center"/>
      <protection locked="0" hidden="0"/>
    </xf>
    <xf numFmtId="0" fontId="16" fillId="4" borderId="1" applyAlignment="1" applyProtection="1" pivotButton="0" quotePrefix="0" xfId="0">
      <alignment horizontal="right" vertical="center"/>
      <protection locked="0" hidden="0"/>
    </xf>
    <xf numFmtId="167" fontId="16" fillId="4" borderId="1" applyAlignment="1" applyProtection="1" pivotButton="0" quotePrefix="0" xfId="0">
      <alignment horizontal="center" vertical="center"/>
      <protection locked="0" hidden="0"/>
    </xf>
    <xf numFmtId="0" fontId="7" fillId="6" borderId="1" applyAlignment="1" pivotButton="0" quotePrefix="0" xfId="0">
      <alignment horizontal="right" vertical="center"/>
    </xf>
    <xf numFmtId="0" fontId="12" fillId="7" borderId="1" applyAlignment="1" pivotButton="0" quotePrefix="0" xfId="0">
      <alignment horizontal="right" vertical="center"/>
    </xf>
    <xf numFmtId="165" fontId="7" fillId="6" borderId="1" applyAlignment="1" pivotButton="0" quotePrefix="0" xfId="0">
      <alignment horizontal="center" vertical="center"/>
    </xf>
    <xf numFmtId="164" fontId="7" fillId="6" borderId="1" applyAlignment="1" pivotButton="0" quotePrefix="0" xfId="0">
      <alignment horizontal="center" vertical="center"/>
    </xf>
    <xf numFmtId="167" fontId="7" fillId="6" borderId="1" applyAlignment="1" pivotButton="0" quotePrefix="0" xfId="0">
      <alignment horizontal="center" vertical="center"/>
    </xf>
    <xf numFmtId="0" fontId="18" fillId="0" borderId="1" applyAlignment="1" pivotButton="0" quotePrefix="0" xfId="0">
      <alignment horizontal="left" vertical="center" wrapText="1"/>
    </xf>
    <xf numFmtId="0" fontId="13" fillId="4" borderId="1" applyAlignment="1" applyProtection="1" pivotButton="0" quotePrefix="0" xfId="0">
      <alignment horizontal="right" vertical="center"/>
      <protection locked="0" hidden="0"/>
    </xf>
    <xf numFmtId="165" fontId="7" fillId="6" borderId="1" applyAlignment="1" pivotButton="0" quotePrefix="0" xfId="0">
      <alignment horizontal="right" vertical="center"/>
    </xf>
    <xf numFmtId="166" fontId="7" fillId="6" borderId="1" applyAlignment="1" pivotButton="0" quotePrefix="0" xfId="0">
      <alignment horizontal="center" vertical="center"/>
    </xf>
    <xf numFmtId="166" fontId="12" fillId="7" borderId="1" applyAlignment="1" pivotButton="0" quotePrefix="0" xfId="0">
      <alignment horizontal="center" vertical="center"/>
    </xf>
    <xf numFmtId="0" fontId="20" fillId="6" borderId="1" applyAlignment="1" pivotButton="0" quotePrefix="0" xfId="0">
      <alignment horizontal="center" vertical="center"/>
    </xf>
    <xf numFmtId="0" fontId="20" fillId="6" borderId="1" applyAlignment="1" pivotButton="0" quotePrefix="0" xfId="0">
      <alignment horizontal="general" vertical="center" wrapText="1"/>
    </xf>
    <xf numFmtId="0" fontId="20" fillId="6" borderId="1" applyAlignment="1" pivotButton="0" quotePrefix="0" xfId="0">
      <alignment horizontal="center" vertical="center" wrapText="1"/>
    </xf>
    <xf numFmtId="0" fontId="21" fillId="0" borderId="1" applyAlignment="1" pivotButton="0" quotePrefix="0" xfId="0">
      <alignment horizontal="general" vertical="center"/>
    </xf>
    <xf numFmtId="0" fontId="20" fillId="0" borderId="1" applyAlignment="1" pivotButton="0" quotePrefix="0" xfId="0">
      <alignment horizontal="center" vertical="center"/>
    </xf>
    <xf numFmtId="166" fontId="7" fillId="6" borderId="1" applyAlignment="1" pivotButton="0" quotePrefix="0" xfId="0">
      <alignment horizontal="right" vertical="center"/>
    </xf>
    <xf numFmtId="164" fontId="7" fillId="6" borderId="1" applyAlignment="1" pivotButton="0" quotePrefix="0" xfId="0">
      <alignment horizontal="right" vertical="center"/>
    </xf>
    <xf numFmtId="166" fontId="12" fillId="7" borderId="1" applyAlignment="1" pivotButton="0" quotePrefix="0" xfId="0">
      <alignment horizontal="right" vertical="center"/>
    </xf>
    <xf numFmtId="165" fontId="8" fillId="4" borderId="1" applyAlignment="1" applyProtection="1" pivotButton="0" quotePrefix="0" xfId="0">
      <alignment horizontal="right" vertical="center"/>
      <protection locked="0" hidden="0"/>
    </xf>
    <xf numFmtId="0" fontId="8" fillId="4" borderId="1" applyAlignment="1" applyProtection="1" pivotButton="0" quotePrefix="0" xfId="0">
      <alignment horizontal="right" vertical="center"/>
      <protection locked="0" hidden="0"/>
    </xf>
    <xf numFmtId="0" fontId="7" fillId="6" borderId="1" applyAlignment="1" pivotButton="0" quotePrefix="0" xfId="0">
      <alignment horizontal="left" vertical="center" wrapText="1"/>
    </xf>
    <xf numFmtId="0" fontId="22" fillId="12" borderId="1" applyAlignment="1" applyProtection="1" pivotButton="0" quotePrefix="0" xfId="0">
      <alignment horizontal="center" vertical="center"/>
      <protection locked="0" hidden="0"/>
    </xf>
    <xf numFmtId="0" fontId="10" fillId="0" borderId="0" applyAlignment="1" pivotButton="0" quotePrefix="0" xfId="0">
      <alignment horizontal="general" vertical="center" wrapText="1"/>
    </xf>
    <xf numFmtId="166" fontId="8" fillId="4" borderId="1" applyAlignment="1" applyProtection="1" pivotButton="0" quotePrefix="0" xfId="0">
      <alignment horizontal="right" vertical="center"/>
      <protection locked="0" hidden="0"/>
    </xf>
    <xf numFmtId="165" fontId="16" fillId="4" borderId="1" applyAlignment="1" applyProtection="1" pivotButton="0" quotePrefix="0" xfId="0">
      <alignment horizontal="center" vertical="center"/>
      <protection locked="0" hidden="0"/>
    </xf>
    <xf numFmtId="0" fontId="7" fillId="0" borderId="0" applyAlignment="1" pivotButton="0" quotePrefix="0" xfId="0">
      <alignment horizontal="general" vertical="center"/>
    </xf>
    <xf numFmtId="0" fontId="12" fillId="12" borderId="1" applyAlignment="1" pivotButton="0" quotePrefix="0" xfId="0">
      <alignment horizontal="center" vertical="center"/>
    </xf>
    <xf numFmtId="0" fontId="10" fillId="6" borderId="1" applyAlignment="1" pivotButton="0" quotePrefix="0" xfId="0">
      <alignment horizontal="center" vertical="center"/>
    </xf>
    <xf numFmtId="164" fontId="20" fillId="6" borderId="1" applyAlignment="1" pivotButton="0" quotePrefix="0" xfId="0">
      <alignment horizontal="center" vertical="center"/>
    </xf>
    <xf numFmtId="0" fontId="6" fillId="13" borderId="1" applyAlignment="1" pivotButton="0" quotePrefix="0" xfId="0">
      <alignment horizontal="center" vertical="center"/>
    </xf>
    <xf numFmtId="0" fontId="10" fillId="0" borderId="1" applyAlignment="1" pivotButton="0" quotePrefix="0" xfId="0">
      <alignment horizontal="center" vertical="center"/>
    </xf>
    <xf numFmtId="0" fontId="12" fillId="6" borderId="1" applyAlignment="1" pivotButton="0" quotePrefix="0" xfId="0">
      <alignment horizontal="right" vertical="center"/>
    </xf>
    <xf numFmtId="164" fontId="12" fillId="7" borderId="1" applyAlignment="1" pivotButton="0" quotePrefix="0" xfId="0">
      <alignment horizontal="center" vertical="center"/>
    </xf>
    <xf numFmtId="0" fontId="20" fillId="14" borderId="1" applyAlignment="1" pivotButton="0" quotePrefix="0" xfId="0">
      <alignment horizontal="right" vertical="center"/>
    </xf>
    <xf numFmtId="0" fontId="10" fillId="14" borderId="1" applyAlignment="1" pivotButton="0" quotePrefix="0" xfId="0">
      <alignment horizontal="general" vertical="center" wrapText="1"/>
    </xf>
    <xf numFmtId="0" fontId="6" fillId="15" borderId="1" applyAlignment="1" pivotButton="0" quotePrefix="0" xfId="0">
      <alignment horizontal="center" vertical="center"/>
    </xf>
    <xf numFmtId="165" fontId="12" fillId="6" borderId="1" applyAlignment="1" pivotButton="0" quotePrefix="0" xfId="0">
      <alignment horizontal="right" vertical="center"/>
    </xf>
    <xf numFmtId="164" fontId="12" fillId="6" borderId="1" applyAlignment="1" pivotButton="0" quotePrefix="0" xfId="0">
      <alignment horizontal="right" vertical="center"/>
    </xf>
    <xf numFmtId="0" fontId="18" fillId="0" borderId="1" applyAlignment="1" pivotButton="0" quotePrefix="0" xfId="0">
      <alignment horizontal="general" vertical="center"/>
    </xf>
    <xf numFmtId="0" fontId="23" fillId="12" borderId="1" applyAlignment="1" pivotButton="0" quotePrefix="0" xfId="0">
      <alignment horizontal="center" vertical="center"/>
    </xf>
    <xf numFmtId="0" fontId="24" fillId="0" borderId="1" applyAlignment="1" pivotButton="0" quotePrefix="0" xfId="0">
      <alignment horizontal="general" vertical="center"/>
    </xf>
    <xf numFmtId="164" fontId="12" fillId="7" borderId="1" applyAlignment="1" pivotButton="0" quotePrefix="0" xfId="0">
      <alignment horizontal="right" vertical="center"/>
    </xf>
    <xf numFmtId="0" fontId="12" fillId="7" borderId="1" applyAlignment="1" pivotButton="0" quotePrefix="0" xfId="0">
      <alignment horizontal="center" vertical="center"/>
    </xf>
    <xf numFmtId="165" fontId="12" fillId="6" borderId="1" applyAlignment="1" pivotButton="0" quotePrefix="0" xfId="0">
      <alignment horizontal="center" vertical="center"/>
    </xf>
    <xf numFmtId="164" fontId="12" fillId="6" borderId="1" applyAlignment="1" pivotButton="0" quotePrefix="0" xfId="0">
      <alignment horizontal="center" vertical="center"/>
    </xf>
    <xf numFmtId="0" fontId="25" fillId="6" borderId="1" applyAlignment="1" pivotButton="0" quotePrefix="0" xfId="0">
      <alignment horizontal="center" vertical="center"/>
    </xf>
    <xf numFmtId="0" fontId="26" fillId="0" borderId="1" applyAlignment="1" pivotButton="0" quotePrefix="0" xfId="0">
      <alignment horizontal="general" vertical="center"/>
    </xf>
    <xf numFmtId="0" fontId="26" fillId="7" borderId="1" applyAlignment="1" pivotButton="0" quotePrefix="0" xfId="0">
      <alignment horizontal="center" vertical="center"/>
    </xf>
    <xf numFmtId="165" fontId="26" fillId="7" borderId="1" applyAlignment="1" pivotButton="0" quotePrefix="0" xfId="0">
      <alignment horizontal="center" vertical="center"/>
    </xf>
    <xf numFmtId="164" fontId="26" fillId="7" borderId="1" applyAlignment="1" pivotButton="0" quotePrefix="0" xfId="0">
      <alignment horizontal="center" vertical="center"/>
    </xf>
    <xf numFmtId="0" fontId="12" fillId="14" borderId="1" applyAlignment="1" pivotButton="0" quotePrefix="0" xfId="0">
      <alignment horizontal="center" vertical="center"/>
    </xf>
    <xf numFmtId="165" fontId="12" fillId="7" borderId="1" applyAlignment="1" pivotButton="0" quotePrefix="0" xfId="0">
      <alignment horizontal="center" vertical="center"/>
    </xf>
    <xf numFmtId="0" fontId="10" fillId="0" borderId="1" applyAlignment="1" pivotButton="0" quotePrefix="0" xfId="0">
      <alignment horizontal="left" vertical="center"/>
    </xf>
    <xf numFmtId="0" fontId="12" fillId="6" borderId="1" applyAlignment="1" pivotButton="0" quotePrefix="0" xfId="0">
      <alignment horizontal="center" vertical="center"/>
    </xf>
    <xf numFmtId="0" fontId="20" fillId="6" borderId="1" applyAlignment="1" pivotButton="0" quotePrefix="0" xfId="0">
      <alignment horizontal="general" vertical="center"/>
    </xf>
    <xf numFmtId="0" fontId="14" fillId="0" borderId="1" applyAlignment="1" pivotButton="0" quotePrefix="0" xfId="0">
      <alignment horizontal="center" vertical="center"/>
    </xf>
    <xf numFmtId="0" fontId="21" fillId="0" borderId="1" applyAlignment="1" pivotButton="0" quotePrefix="0" xfId="0">
      <alignment horizontal="center" vertical="center"/>
    </xf>
    <xf numFmtId="0" fontId="7" fillId="14" borderId="1" applyAlignment="1" pivotButton="0" quotePrefix="0" xfId="0">
      <alignment horizontal="general" vertical="center"/>
    </xf>
    <xf numFmtId="0" fontId="27" fillId="0" borderId="1" applyAlignment="1" pivotButton="0" quotePrefix="0" xfId="0">
      <alignment horizontal="general" vertical="center"/>
    </xf>
    <xf numFmtId="0" fontId="10" fillId="6" borderId="1" applyAlignment="1" pivotButton="0" quotePrefix="0" xfId="0">
      <alignment horizontal="general" vertical="center" wrapText="1"/>
    </xf>
    <xf numFmtId="0" fontId="20" fillId="0" borderId="1" applyAlignment="1" pivotButton="0" quotePrefix="0" xfId="0">
      <alignment horizontal="general" vertical="center"/>
    </xf>
    <xf numFmtId="0" fontId="28" fillId="0" borderId="1" applyAlignment="1" pivotButton="0" quotePrefix="0" xfId="0">
      <alignment horizontal="center" vertical="center"/>
    </xf>
    <xf numFmtId="0" fontId="12" fillId="7" borderId="1" applyAlignment="1" pivotButton="0" quotePrefix="0" xfId="0">
      <alignment horizontal="left" vertical="center" wrapText="1"/>
    </xf>
    <xf numFmtId="0" fontId="29" fillId="0" borderId="0" pivotButton="0" quotePrefix="0" xfId="0"/>
    <xf numFmtId="0" fontId="30" fillId="0" borderId="0" pivotButton="0" quotePrefix="0" xfId="0"/>
    <xf numFmtId="0" fontId="31" fillId="16" borderId="6" applyAlignment="1" pivotButton="0" quotePrefix="0" xfId="0">
      <alignment horizontal="center" vertical="center" wrapText="1"/>
    </xf>
    <xf numFmtId="0" fontId="33" fillId="17" borderId="6" applyAlignment="1" pivotButton="0" quotePrefix="0" xfId="0">
      <alignment horizontal="center" vertical="center"/>
    </xf>
    <xf numFmtId="0" fontId="33" fillId="17" borderId="6" applyAlignment="1" pivotButton="0" quotePrefix="0" xfId="0">
      <alignment horizontal="left" vertical="top" wrapText="1"/>
    </xf>
    <xf numFmtId="0" fontId="33" fillId="18" borderId="6" applyAlignment="1" pivotButton="0" quotePrefix="0" xfId="0">
      <alignment horizontal="left" vertical="top" wrapText="1"/>
    </xf>
    <xf numFmtId="0" fontId="32" fillId="17" borderId="6" applyAlignment="1" pivotButton="0" quotePrefix="0" xfId="0">
      <alignment horizontal="center" vertical="center"/>
    </xf>
    <xf numFmtId="0" fontId="32" fillId="17" borderId="6" applyAlignment="1" pivotButton="0" quotePrefix="0" xfId="0">
      <alignment horizontal="left" vertical="top" wrapText="1"/>
    </xf>
    <xf numFmtId="0" fontId="32" fillId="18" borderId="6" applyAlignment="1" pivotButton="0" quotePrefix="0" xfId="0">
      <alignment horizontal="left" vertical="top" wrapText="1"/>
    </xf>
    <xf numFmtId="0" fontId="32" fillId="0" borderId="0" pivotButton="0" quotePrefix="0" xfId="0"/>
    <xf numFmtId="164" fontId="0" fillId="0" borderId="0" pivotButton="0" quotePrefix="0" xfId="0"/>
    <xf numFmtId="0" fontId="32" fillId="0" borderId="6" applyAlignment="1" pivotButton="0" quotePrefix="0" xfId="0">
      <alignment horizontal="center" vertical="center"/>
    </xf>
    <xf numFmtId="0" fontId="32" fillId="0" borderId="6" pivotButton="0" quotePrefix="0" xfId="0"/>
    <xf numFmtId="0" fontId="34" fillId="18" borderId="6" applyAlignment="1" pivotButton="0" quotePrefix="0" xfId="0">
      <alignment horizontal="center" vertical="center"/>
    </xf>
    <xf numFmtId="0" fontId="35" fillId="19" borderId="6" applyAlignment="1" pivotButton="0" quotePrefix="0" xfId="0">
      <alignment horizontal="center" vertical="center"/>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8">
    <dxf>
      <fill>
        <patternFill patternType="solid">
          <fgColor rgb="FF1B2A5E"/>
          <bgColor rgb="FF000000"/>
        </patternFill>
      </fill>
    </dxf>
    <dxf>
      <fill>
        <patternFill patternType="solid">
          <bgColor rgb="FF000000"/>
        </patternFill>
      </fill>
    </dxf>
    <dxf>
      <fill>
        <patternFill patternType="solid">
          <fgColor rgb="FF000000"/>
          <bgColor rgb="FF000000"/>
        </patternFill>
      </fill>
    </dxf>
    <dxf>
      <fill>
        <patternFill patternType="solid">
          <fgColor rgb="FF0000FF"/>
          <bgColor rgb="FF000000"/>
        </patternFill>
      </fill>
    </dxf>
    <dxf>
      <fill>
        <patternFill patternType="solid">
          <fgColor rgb="FFFFFFFF"/>
          <bgColor rgb="FF000000"/>
        </patternFill>
      </fill>
    </dxf>
    <dxf>
      <fill>
        <patternFill patternType="solid">
          <fgColor rgb="FFFFF6DE"/>
          <bgColor rgb="FF000000"/>
        </patternFill>
      </fill>
    </dxf>
    <dxf>
      <fill>
        <patternFill patternType="solid">
          <fgColor rgb="FF4A5878"/>
          <bgColor rgb="FF000000"/>
        </patternFill>
      </fill>
    </dxf>
    <dxf>
      <fill>
        <patternFill patternType="solid">
          <fgColor rgb="FFFCE4E4"/>
          <bgColor rgb="FF000000"/>
        </patternFill>
      </fill>
    </dxf>
    <dxf>
      <fill>
        <patternFill patternType="solid">
          <fgColor rgb="FFFFF3D6"/>
          <bgColor rgb="FF000000"/>
        </patternFill>
      </fill>
    </dxf>
    <dxf>
      <fill>
        <patternFill patternType="solid">
          <fgColor rgb="FFC0392B"/>
          <bgColor rgb="FF000000"/>
        </patternFill>
      </fill>
    </dxf>
    <dxf>
      <fill>
        <patternFill patternType="solid">
          <fgColor rgb="FFF3F6FB"/>
          <bgColor rgb="FF000000"/>
        </patternFill>
      </fill>
    </dxf>
    <dxf>
      <fill>
        <patternFill patternType="solid">
          <fgColor rgb="FFE6F3F1"/>
          <bgColor rgb="FF000000"/>
        </patternFill>
      </fill>
    </dxf>
    <dxf>
      <fill>
        <patternFill>
          <bgColor rgb="FFFCE4E4"/>
        </patternFill>
      </fill>
    </dxf>
    <dxf>
      <fill>
        <patternFill>
          <bgColor rgb="FFFFF3D6"/>
        </patternFill>
      </fill>
    </dxf>
    <dxf>
      <fill>
        <patternFill>
          <bgColor rgb="FFE4F5EA"/>
        </patternFill>
      </fill>
    </dxf>
    <dxf>
      <fill>
        <patternFill patternType="solid">
          <fgColor rgb="FF33437A"/>
          <bgColor rgb="FF000000"/>
        </patternFill>
      </fill>
    </dxf>
    <dxf>
      <fill>
        <patternFill patternType="solid">
          <fgColor rgb="FF7A5C10"/>
          <bgColor rgb="FF000000"/>
        </patternFill>
      </fill>
    </dxf>
    <dxf>
      <fill>
        <patternFill patternType="solid">
          <fgColor rgb="FFE4F5EA"/>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A5C10"/>
      <rgbColor rgb="FF800080"/>
      <rgbColor rgb="FF1F6F62"/>
      <rgbColor rgb="FFC3CAD9"/>
      <rgbColor rgb="FF4A5878"/>
      <rgbColor rgb="FF9999FF"/>
      <rgbColor rgb="FF993366"/>
      <rgbColor rgb="FFFFF6DE"/>
      <rgbColor rgb="FFE4F5EA"/>
      <rgbColor rgb="FF660066"/>
      <rgbColor rgb="FFFF8080"/>
      <rgbColor rgb="FF0066CC"/>
      <rgbColor rgb="FFF3F6FB"/>
      <rgbColor rgb="FF000080"/>
      <rgbColor rgb="FFFF00FF"/>
      <rgbColor rgb="FFFFFF00"/>
      <rgbColor rgb="FF00FFFF"/>
      <rgbColor rgb="FF800080"/>
      <rgbColor rgb="FF800000"/>
      <rgbColor rgb="FF008080"/>
      <rgbColor rgb="FF0000FF"/>
      <rgbColor rgb="FF00CCFF"/>
      <rgbColor rgb="FFE6F3F1"/>
      <rgbColor rgb="FFEDEFF4"/>
      <rgbColor rgb="FFFFE9A8"/>
      <rgbColor rgb="FFFFF3D6"/>
      <rgbColor rgb="FFFF99CC"/>
      <rgbColor rgb="FFCC99FF"/>
      <rgbColor rgb="FFFCE4E4"/>
      <rgbColor rgb="FF3E4E86"/>
      <rgbColor rgb="FF33CCCC"/>
      <rgbColor rgb="FF99CC00"/>
      <rgbColor rgb="FFFFCC00"/>
      <rgbColor rgb="FFC9A227"/>
      <rgbColor rgb="FFFF6600"/>
      <rgbColor rgb="FF6B7280"/>
      <rgbColor rgb="FF9AA5BC"/>
      <rgbColor rgb="FF1B2A5E"/>
      <rgbColor rgb="FF339966"/>
      <rgbColor rgb="FF0B1533"/>
      <rgbColor rgb="FF333300"/>
      <rgbColor rgb="FFC0392B"/>
      <rgbColor rgb="FF993366"/>
      <rgbColor rgb="FF33437A"/>
      <rgbColor rgb="FF5B2E7A"/>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omments/comment1.xml><?xml version="1.0" encoding="utf-8"?>
<comments xmlns="http://schemas.openxmlformats.org/spreadsheetml/2006/main">
  <authors>
    <author>Unknown Author</author>
  </authors>
  <commentList>
    <comment ref="J58" authorId="0" shapeId="0">
      <text>
        <t>Flagged: this price is out of line with the rest of the list. Confirm whether it is per kg or a pack price before it reaches a menu price.</t>
      </text>
    </comment>
    <comment ref="J67" authorId="0" shapeId="0">
      <text>
        <t>Flagged: this price is out of line with the rest of the list. Confirm whether it is per kg or a pack price before it reaches a menu price.</t>
      </text>
    </comment>
    <comment ref="J71" authorId="0" shapeId="0">
      <text>
        <t>Flagged: this price is out of line with the rest of the list. Confirm whether it is per kg or a pack price before it reaches a menu price.</t>
      </text>
    </comment>
    <comment ref="J81" authorId="0" shapeId="0">
      <text>
        <t>Flagged: this price is out of line with the rest of the list. Confirm whether it is per kg or a pack price before it reaches a menu price.</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filterMode="0">
    <outlinePr summaryBelow="1" summaryRight="1"/>
    <pageSetUpPr fitToPage="0"/>
  </sheetPr>
  <dimension ref="A1:H97"/>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 customWidth="1" style="105" min="1" max="1"/>
    <col width="46" customWidth="1" style="105" min="2" max="2"/>
    <col width="16" customWidth="1" style="105" min="3" max="3"/>
    <col width="14" customWidth="1" style="105" min="4" max="4"/>
    <col width="62" customWidth="1" style="105" min="5" max="5"/>
  </cols>
  <sheetData>
    <row r="1" ht="30" customHeight="1" s="106">
      <c r="A1" s="107" t="inlineStr">
        <is>
          <t>PAPA PASTA  |  MENU &amp; SUPPLIER COSTING MODEL</t>
        </is>
      </c>
    </row>
    <row r="2" ht="18" customHeight="1" s="106">
      <c r="A2" s="108" t="inlineStr">
        <is>
          <t>Master control panel. Every yellow cell is an input you own. Everything else is a formula - do not overtype it.</t>
        </is>
      </c>
    </row>
    <row r="4" ht="15" customHeight="1" s="106">
      <c r="B4" s="109" t="inlineStr">
        <is>
          <t>GLOBAL ASSUMPTIONS  -  edit the yellow cells only</t>
        </is>
      </c>
      <c r="C4" s="110" t="n"/>
      <c r="D4" s="110" t="n"/>
      <c r="E4" s="111" t="n"/>
    </row>
    <row r="5" ht="25.5" customHeight="1" s="106">
      <c r="B5" s="112" t="inlineStr">
        <is>
          <t>Assumption</t>
        </is>
      </c>
      <c r="C5" s="112" t="inlineStr">
        <is>
          <t>Value</t>
        </is>
      </c>
      <c r="D5" s="112" t="inlineStr">
        <is>
          <t>Unit</t>
        </is>
      </c>
      <c r="E5" s="112" t="inlineStr">
        <is>
          <t>Why it matters / where it is used</t>
        </is>
      </c>
    </row>
    <row r="6" ht="24" customHeight="1" s="106">
      <c r="B6" s="113" t="inlineStr">
        <is>
          <t>VAT rate</t>
        </is>
      </c>
      <c r="C6" s="114" t="n">
        <v>0.15</v>
      </c>
      <c r="D6" s="115" t="inlineStr">
        <is>
          <t>%</t>
        </is>
      </c>
      <c r="E6" s="116" t="inlineStr">
        <is>
          <t>Converts excl-VAT costing into menu board prices.</t>
        </is>
      </c>
    </row>
    <row r="7" ht="24" customHeight="1" s="106">
      <c r="B7" s="113" t="inlineStr">
        <is>
          <t>Default waste / over-portion allowance</t>
        </is>
      </c>
      <c r="C7" s="114" t="n">
        <v>0.05</v>
      </c>
      <c r="D7" s="115" t="inlineStr">
        <is>
          <t>%</t>
        </is>
      </c>
      <c r="E7" s="116" t="inlineStr">
        <is>
          <t>Added to every BOM line unless the line overrides it.</t>
        </is>
      </c>
    </row>
    <row r="8" ht="24" customHeight="1" s="106">
      <c r="B8" s="113" t="inlineStr">
        <is>
          <t>Standard DRIED pasta portion</t>
        </is>
      </c>
      <c r="C8" s="117" t="n">
        <v>111</v>
      </c>
      <c r="D8" s="115" t="inlineStr">
        <is>
          <t>g</t>
        </is>
      </c>
      <c r="E8" s="116" t="inlineStr">
        <is>
          <t>Dried weight into the basket. Set to hold DRY MATTER constant against the old 140 g fresh portion (140 x 70% = 98 g solids; 111 x 88% = 97.7 g), so the plate the customer eats does not change.</t>
        </is>
      </c>
    </row>
    <row r="9" ht="24" customHeight="1" s="106">
      <c r="B9" s="113" t="inlineStr">
        <is>
          <t>Cooked yield multiplier</t>
        </is>
      </c>
      <c r="C9" s="118" t="n">
        <v>2.2</v>
      </c>
      <c r="D9" s="115" t="inlineStr">
        <is>
          <t>x dry</t>
        </is>
      </c>
      <c r="E9" s="116" t="inlineStr">
        <is>
          <t>Dried pasta absorbs water on the boil. Portion x this = the weight of pasta that actually lands in the bowl. 111 g dried gives about 244 g cooked.</t>
        </is>
      </c>
    </row>
    <row r="10" ht="24" customHeight="1" s="106">
      <c r="B10" s="113" t="inlineStr">
        <is>
          <t>Flour as-received moisture</t>
        </is>
      </c>
      <c r="C10" s="114" t="n">
        <v>0.12</v>
      </c>
      <c r="D10" s="115" t="inlineStr">
        <is>
          <t>%</t>
        </is>
      </c>
      <c r="E10" s="116" t="inlineStr">
        <is>
          <t>Bulk flour carries ~12% water. Subtracted to get true dry solids - this is what the yield is built on.</t>
        </is>
      </c>
    </row>
    <row r="11" ht="24" customHeight="1" s="106">
      <c r="B11" s="113" t="inlineStr">
        <is>
          <t>Finished DRIED pasta moisture</t>
        </is>
      </c>
      <c r="C11" s="114" t="n">
        <v>0.12</v>
      </c>
      <c r="D11" s="115" t="inlineStr">
        <is>
          <t>%</t>
        </is>
      </c>
      <c r="E11" s="116" t="inlineStr">
        <is>
          <t>Shelf-stable dried pasta finishes at or below 12%. Solids / (1 - this) = dried pasta output. This is the number that changed when dried replaced fresh-daily.</t>
        </is>
      </c>
    </row>
    <row r="12" ht="24" customHeight="1" s="106">
      <c r="B12" s="113" t="inlineStr">
        <is>
          <t>Pasta process loss (mix to portioned)</t>
        </is>
      </c>
      <c r="C12" s="114" t="n">
        <v>0.05</v>
      </c>
      <c r="D12" s="115" t="inlineStr">
        <is>
          <t>%</t>
        </is>
      </c>
      <c r="E12" s="116" t="inlineStr">
        <is>
          <t>Dough lost to mixing, extrusion, trim and trays. Applied AFTER the moisture mass balance.</t>
        </is>
      </c>
    </row>
    <row r="13" ht="24" customHeight="1" s="106">
      <c r="B13" s="113" t="inlineStr">
        <is>
          <t>Central Kitchen labour &amp; energy</t>
        </is>
      </c>
      <c r="C13" s="119" t="n">
        <v>6.5</v>
      </c>
      <c r="D13" s="115" t="inlineStr">
        <is>
          <t>R / kg</t>
        </is>
      </c>
      <c r="E13" s="116" t="inlineStr">
        <is>
          <t>Cost to cook, chill/freeze and pack one kg of sauce. PLACEHOLDER - replace with real CK numbers.</t>
        </is>
      </c>
    </row>
    <row r="14" ht="24" customHeight="1" s="106">
      <c r="B14" s="113" t="inlineStr">
        <is>
          <t>Central Kitchen overhead &amp; distribution</t>
        </is>
      </c>
      <c r="C14" s="119" t="n">
        <v>4</v>
      </c>
      <c r="D14" s="115" t="inlineStr">
        <is>
          <t>R / kg</t>
        </is>
      </c>
      <c r="E14" s="116" t="inlineStr">
        <is>
          <t>Rent, plant depreciation, QA and cold-chain delivery per kg. PLACEHOLDER.</t>
        </is>
      </c>
    </row>
    <row r="15" ht="24" customHeight="1" s="106">
      <c r="B15" s="113" t="inlineStr">
        <is>
          <t>Central Kitchen margin to franchisee</t>
        </is>
      </c>
      <c r="C15" s="114" t="n">
        <v>0.25</v>
      </c>
      <c r="D15" s="115" t="inlineStr">
        <is>
          <t>%</t>
        </is>
      </c>
      <c r="E15" s="116" t="inlineStr">
        <is>
          <t>The mark-up the CK earns selling frozen sauce to franchisees.</t>
        </is>
      </c>
    </row>
    <row r="16" ht="24" customHeight="1" s="106">
      <c r="B16" s="113" t="inlineStr">
        <is>
          <t>Store labour allowance</t>
        </is>
      </c>
      <c r="C16" s="114" t="n">
        <v>0.12</v>
      </c>
      <c r="D16" s="115" t="inlineStr">
        <is>
          <t>%</t>
        </is>
      </c>
      <c r="E16" s="116" t="inlineStr">
        <is>
          <t>Percentage of food cost carried as store labour, for the fully-loaded view.</t>
        </is>
      </c>
    </row>
    <row r="17" ht="24" customHeight="1" s="106">
      <c r="B17" s="113" t="inlineStr">
        <is>
          <t>Target GP% - Core menu</t>
        </is>
      </c>
      <c r="C17" s="114" t="n">
        <v>0.7</v>
      </c>
      <c r="D17" s="115" t="inlineStr">
        <is>
          <t>%</t>
        </is>
      </c>
      <c r="E17" s="116" t="inlineStr">
        <is>
          <t>Drives the recommended sell price on Tier 1 dishes.</t>
        </is>
      </c>
    </row>
    <row r="18" ht="24" customHeight="1" s="106">
      <c r="B18" s="113" t="inlineStr">
        <is>
          <t>Target GP% - Seasonal menu</t>
        </is>
      </c>
      <c r="C18" s="114" t="n">
        <v>0.68</v>
      </c>
      <c r="D18" s="115" t="inlineStr">
        <is>
          <t>%</t>
        </is>
      </c>
      <c r="E18" s="116" t="inlineStr">
        <is>
          <t>Seasonal can sit at a small premium; GP target is slightly softer.</t>
        </is>
      </c>
    </row>
    <row r="19" ht="24" customHeight="1" s="106">
      <c r="B19" s="113" t="inlineStr">
        <is>
          <t>Target GP% - Salads</t>
        </is>
      </c>
      <c r="C19" s="114" t="n">
        <v>0.7</v>
      </c>
      <c r="D19" s="115" t="inlineStr">
        <is>
          <t>%</t>
        </is>
      </c>
      <c r="E19" s="116" t="inlineStr">
        <is>
          <t>Concept doc band is 65-75%.</t>
        </is>
      </c>
    </row>
    <row r="20" ht="24" customHeight="1" s="106">
      <c r="B20" s="113" t="inlineStr">
        <is>
          <t>Target GP% - Add-ons</t>
        </is>
      </c>
      <c r="C20" s="114" t="n">
        <v>0.65</v>
      </c>
      <c r="D20" s="115" t="inlineStr">
        <is>
          <t>%</t>
        </is>
      </c>
      <c r="E20" s="116" t="inlineStr">
        <is>
          <t>Add-ons buy incremental spend; GP target is lower by design.</t>
        </is>
      </c>
    </row>
    <row r="21" ht="24" customHeight="1" s="106">
      <c r="B21" s="113" t="inlineStr">
        <is>
          <t>Target GP% - Beverages</t>
        </is>
      </c>
      <c r="C21" s="114" t="n">
        <v>0.8</v>
      </c>
      <c r="D21" s="115" t="inlineStr">
        <is>
          <t>%</t>
        </is>
      </c>
      <c r="E21" s="116" t="inlineStr">
        <is>
          <t>The Fuel Bar. Slushees and post-mix are the highest-GP lines on any QSR menu - this is where the money is.</t>
        </is>
      </c>
    </row>
    <row r="22" ht="24" customHeight="1" s="106">
      <c r="B22" s="113" t="inlineStr">
        <is>
          <t>Sauce thawed shelf life</t>
        </is>
      </c>
      <c r="C22" s="117" t="n">
        <v>24</v>
      </c>
      <c r="D22" s="115" t="inlineStr">
        <is>
          <t>hours</t>
        </is>
      </c>
      <c r="E22" s="116" t="inlineStr">
        <is>
          <t>Frozen pouch, defrost overnight, use within the trading day. Drives pouch sizing.</t>
        </is>
      </c>
    </row>
    <row r="23" ht="24" customHeight="1" s="106">
      <c r="B23" s="113" t="inlineStr">
        <is>
          <t>Dried pasta ambient shelf life</t>
        </is>
      </c>
      <c r="C23" s="117" t="n">
        <v>30</v>
      </c>
      <c r="D23" s="115" t="inlineStr">
        <is>
          <t>days</t>
        </is>
      </c>
      <c r="E23" s="116" t="inlineStr">
        <is>
          <t>Sealed bins at ambient - no refrigerated pasta storage in store. This is what dried buys you over fresh-daily's 5-7 chilled days.</t>
        </is>
      </c>
    </row>
    <row r="24" ht="24" customHeight="1" s="106">
      <c r="B24" s="113" t="inlineStr">
        <is>
          <t>IN-STORE labour rate</t>
        </is>
      </c>
      <c r="C24" s="119" t="n">
        <v>45</v>
      </c>
      <c r="D24" s="115" t="inlineStr">
        <is>
          <t>R / hour</t>
        </is>
      </c>
      <c r="E24" s="116" t="inlineStr">
        <is>
          <t>What a franchisee pays the person making dough or sauce in store. PLACEHOLDER - set from a real roster.</t>
        </is>
      </c>
    </row>
    <row r="25" ht="24" customHeight="1" s="106">
      <c r="B25" s="113" t="inlineStr">
        <is>
          <t>IN-STORE energy tariff</t>
        </is>
      </c>
      <c r="C25" s="119" t="n">
        <v>3.2</v>
      </c>
      <c r="D25" s="115" t="inlineStr">
        <is>
          <t>R / kWh</t>
        </is>
      </c>
      <c r="E25" s="116" t="inlineStr">
        <is>
          <t>Store electricity. Drives the energy line on every in-store batch. PLACEHOLDER.</t>
        </is>
      </c>
    </row>
    <row r="26" ht="24" customHeight="1" s="106">
      <c r="B26" s="113" t="inlineStr">
        <is>
          <t>Servings per store per day</t>
        </is>
      </c>
      <c r="C26" s="117" t="n">
        <v>174</v>
      </c>
      <c r="D26" s="115" t="inlineStr">
        <is>
          <t>bowls</t>
        </is>
      </c>
      <c r="E26" s="116" t="inlineStr">
        <is>
          <t>Two 10 kg batches on one GUSGT108. Drives batch counts, CK volume and the store P&amp;L on 13.</t>
        </is>
      </c>
    </row>
    <row r="27" ht="24" customHeight="1" s="106">
      <c r="B27" s="113" t="inlineStr">
        <is>
          <t>Trading days per month</t>
        </is>
      </c>
      <c r="C27" s="117" t="n">
        <v>26</v>
      </c>
      <c r="D27" s="115" t="inlineStr">
        <is>
          <t>days</t>
        </is>
      </c>
      <c r="E27" s="116" t="inlineStr">
        <is>
          <t>Used to turn a daily serving count into a monthly one.</t>
        </is>
      </c>
    </row>
    <row r="28" ht="24" customHeight="1" s="106">
      <c r="B28" s="113" t="inlineStr">
        <is>
          <t>Stores in the network</t>
        </is>
      </c>
      <c r="C28" s="117" t="n">
        <v>6</v>
      </c>
      <c r="D28" s="115" t="inlineStr">
        <is>
          <t>stores</t>
        </is>
      </c>
      <c r="E28" s="116" t="inlineStr">
        <is>
          <t>The Kitchen Workflow OPS pack sizes the central kitchen for 4-10 outlets; 6 is the midpoint. Set to 1 for single-store economics.</t>
        </is>
      </c>
    </row>
    <row r="29" ht="24" customHeight="1" s="106">
      <c r="B29" s="113" t="inlineStr">
        <is>
          <t>Price point A</t>
        </is>
      </c>
      <c r="C29" s="119" t="n">
        <v>85</v>
      </c>
      <c r="D29" s="115" t="inlineStr">
        <is>
          <t>R incl</t>
        </is>
      </c>
      <c r="E29" s="116" t="inlineStr">
        <is>
          <t>Low anchor for the price-sensitivity grid on 12 Final Menu.</t>
        </is>
      </c>
    </row>
    <row r="30" ht="24" customHeight="1" s="106">
      <c r="B30" s="113" t="inlineStr">
        <is>
          <t>Price point B</t>
        </is>
      </c>
      <c r="C30" s="119" t="n">
        <v>110</v>
      </c>
      <c r="D30" s="115" t="inlineStr">
        <is>
          <t>R incl</t>
        </is>
      </c>
      <c r="E30" s="116" t="inlineStr">
        <is>
          <t>Mid anchor.</t>
        </is>
      </c>
    </row>
    <row r="31" ht="24" customHeight="1" s="106">
      <c r="B31" s="113" t="inlineStr">
        <is>
          <t>Price point C</t>
        </is>
      </c>
      <c r="C31" s="119" t="n">
        <v>135</v>
      </c>
      <c r="D31" s="115" t="inlineStr">
        <is>
          <t>R incl</t>
        </is>
      </c>
      <c r="E31" s="116" t="inlineStr">
        <is>
          <t>High anchor.</t>
        </is>
      </c>
    </row>
    <row r="33" ht="15" customHeight="1" s="106">
      <c r="B33" s="109" t="inlineStr">
        <is>
          <t>HOW THIS WORKBOOK WORKS</t>
        </is>
      </c>
      <c r="C33" s="110" t="n"/>
      <c r="D33" s="110" t="n"/>
      <c r="E33" s="111" t="n"/>
    </row>
    <row r="34" ht="21.75" customHeight="1" s="106">
      <c r="B34" s="112" t="inlineStr">
        <is>
          <t>Tab</t>
        </is>
      </c>
      <c r="C34" s="112" t="inlineStr">
        <is>
          <t>What it does</t>
        </is>
      </c>
      <c r="D34" s="110" t="n"/>
      <c r="E34" s="111" t="n"/>
    </row>
    <row r="35" ht="30" customHeight="1" s="106">
      <c r="B35" s="120" t="inlineStr">
        <is>
          <t>03 Suppliers</t>
        </is>
      </c>
      <c r="C35" s="116" t="inlineStr">
        <is>
          <t>Your supplier list. Add every business you approach here first, then use the name in the price tabs.</t>
        </is>
      </c>
      <c r="D35" s="110" t="n"/>
      <c r="E35" s="111" t="n"/>
    </row>
    <row r="36" ht="30" customHeight="1" s="106">
      <c r="B36" s="120" t="inlineStr">
        <is>
          <t>04 SKU Master</t>
        </is>
      </c>
      <c r="C36" s="116" t="inlineStr">
        <is>
          <t>THE ENGINE - and the tab your team types into. One row per ingredient, five supplier price slots side by side. Columns AK-AQ automatically pick the CHEAPEST price, name the supplier who gave it, and divide by yield to get the usable cost. This is the only ingredient price the rest of the model ever reads.</t>
        </is>
      </c>
      <c r="D36" s="110" t="n"/>
      <c r="E36" s="111" t="n"/>
    </row>
    <row r="37" ht="30" customHeight="1" s="106">
      <c r="B37" s="120" t="inlineStr">
        <is>
          <t>05 Packaging Master</t>
        </is>
      </c>
      <c r="C37" s="116" t="inlineStr">
        <is>
          <t>Identical five-supplier structure for packaging - store, central kitchen and retail.</t>
        </is>
      </c>
      <c r="D37" s="110" t="n"/>
      <c r="E37" s="111" t="n"/>
    </row>
    <row r="38" ht="30" customHeight="1" s="106">
      <c r="B38" s="120" t="inlineStr">
        <is>
          <t>06 Pasta Dough BOM</t>
        </is>
      </c>
      <c r="C38" s="116" t="inlineStr">
        <is>
          <t>The four Golden Balance formulas the franchisee makes in-store. Baker's % -&gt; 10 kg batch -&gt; cost per 140 g serving.</t>
        </is>
      </c>
      <c r="D38" s="110" t="n"/>
      <c r="E38" s="111" t="n"/>
    </row>
    <row r="39" ht="30" customHeight="1" s="106">
      <c r="B39" s="120" t="inlineStr">
        <is>
          <t>07 Sauce BOM (CK)</t>
        </is>
      </c>
      <c r="C39" s="116" t="inlineStr">
        <is>
          <t>The nine core sauces the Central Kitchen makes. Batch cost -&gt; cost per kg -&gt; + CK labour, overhead and pouch -&gt; + CK margin = the transfer price the franchisee pays.</t>
        </is>
      </c>
      <c r="D39" s="110" t="n"/>
      <c r="E39" s="111" t="n"/>
    </row>
    <row r="40" ht="30" customHeight="1" s="106">
      <c r="B40" s="120" t="inlineStr">
        <is>
          <t>09 Cost Index</t>
        </is>
      </c>
      <c r="C40" s="116" t="inlineStr">
        <is>
          <t>Auto-built bridge. Turns each dough and sauce into a single cost-per-gram the menu tabs can look up.</t>
        </is>
      </c>
      <c r="D40" s="110" t="n"/>
      <c r="E40" s="111" t="n"/>
    </row>
    <row r="41" ht="30" customHeight="1" s="106">
      <c r="B41" s="120" t="inlineStr">
        <is>
          <t>10 Core Menu BOM</t>
        </is>
      </c>
      <c r="C41" s="116" t="inlineStr">
        <is>
          <t>Tier 1 - the nine signature dishes, three salads and the add-ons, line by line.</t>
        </is>
      </c>
      <c r="D41" s="110" t="n"/>
      <c r="E41" s="111" t="n"/>
    </row>
    <row r="42" ht="30" customHeight="1" s="106">
      <c r="B42" s="120" t="inlineStr">
        <is>
          <t>11 Seasonal Menu BOM</t>
        </is>
      </c>
      <c r="C42" s="116" t="inlineStr">
        <is>
          <t>Tier 2 - all 36 seasonal drops across the 3-year rotation, line by line.</t>
        </is>
      </c>
      <c r="D42" s="110" t="n"/>
      <c r="E42" s="111" t="n"/>
    </row>
    <row r="43" ht="30" customHeight="1" s="106">
      <c r="B43" s="120" t="inlineStr">
        <is>
          <t>11 Final Menu</t>
        </is>
      </c>
      <c r="C43" s="116" t="inlineStr">
        <is>
          <t>The answer sheet. Every dish, its cost, its GP and its selling price. Read this one.</t>
        </is>
      </c>
      <c r="D43" s="110" t="n"/>
      <c r="E43" s="111" t="n"/>
    </row>
    <row r="44" ht="30" customHeight="1" s="106">
      <c r="B44" s="120" t="inlineStr">
        <is>
          <t>17 Quote Log</t>
        </is>
      </c>
      <c r="C44" s="116" t="inlineStr">
        <is>
          <t>The paper trail. Every quote you are ever given, dated, with the reference. Slot 6 and beyond live here, and it is where MOQ, lead time and the quote reference are recorded.</t>
        </is>
      </c>
      <c r="D44" s="110" t="n"/>
      <c r="E44" s="111" t="n"/>
    </row>
    <row r="45" ht="30" customHeight="1" s="106">
      <c r="B45" s="120" t="inlineStr">
        <is>
          <t>18 Production Capacity</t>
        </is>
      </c>
      <c r="C45" s="116" t="inlineStr">
        <is>
          <t>THE EQUIPMENT TAB. The 9-pot cooker, the sauce warmers, the wok cookers, the extruder and the drying racks as variables - covers per hour by station, the binding bottleneck, and whether the store can dry enough pasta overnight to serve what it can sell tomorrow. Also the sauce station loadout: which sauce sits in a warmer and which is finished to order.</t>
        </is>
      </c>
      <c r="D45" s="110" t="n"/>
      <c r="E45" s="111" t="n"/>
    </row>
    <row r="46">
      <c r="B46" s="121" t="inlineStr">
        <is>
          <t>19 Seasonal Sources</t>
        </is>
      </c>
      <c r="C46" s="122" t="inlineStr">
        <is>
          <t>READ ME - the 3-year seasonal drop calendar: flavour source, hero, sourcing plan and campaign hook per dish, from the concept build (02.02.1).</t>
        </is>
      </c>
    </row>
    <row r="47" ht="15" customHeight="1" s="106">
      <c r="B47" s="121" t="inlineStr">
        <is>
          <t>20 Quote Coverage</t>
        </is>
      </c>
      <c r="C47" s="122" t="inlineStr">
        <is>
          <t>READ ME - which SKUs still need supplier quotes; turns green as quotes land on 04/05.</t>
        </is>
      </c>
    </row>
    <row r="48" ht="15" customHeight="1" s="106"/>
    <row r="49" ht="15" customHeight="1" s="106">
      <c r="B49" s="123" t="inlineStr">
        <is>
          <t>COLOUR LEGEND</t>
        </is>
      </c>
      <c r="C49" s="110" t="n"/>
      <c r="D49" s="110" t="n"/>
      <c r="E49" s="111" t="n"/>
    </row>
    <row r="50" ht="15" customHeight="1" s="106">
      <c r="B50" s="124" t="inlineStr">
        <is>
          <t>Yellow fill, blue text</t>
        </is>
      </c>
      <c r="C50" s="116" t="inlineStr">
        <is>
          <t>You type here. An input you own.</t>
        </is>
      </c>
      <c r="D50" s="110" t="n"/>
      <c r="E50" s="111" t="n"/>
    </row>
    <row r="51" ht="15" customHeight="1" s="106">
      <c r="B51" s="125" t="inlineStr">
        <is>
          <t>White / grey, black text</t>
        </is>
      </c>
      <c r="C51" s="116" t="inlineStr">
        <is>
          <t>Formula. Do not overtype - it will break the chain.</t>
        </is>
      </c>
      <c r="D51" s="110" t="n"/>
      <c r="E51" s="111" t="n"/>
    </row>
    <row r="52">
      <c r="B52" s="126" t="inlineStr">
        <is>
          <t>Green fill</t>
        </is>
      </c>
      <c r="C52" s="116" t="inlineStr">
        <is>
          <t>A final answer the rest of the model reads.</t>
        </is>
      </c>
      <c r="D52" s="110" t="n"/>
      <c r="E52" s="111" t="n"/>
    </row>
    <row r="53">
      <c r="B53" s="127" t="inlineStr">
        <is>
          <t>Red text</t>
        </is>
      </c>
      <c r="C53" s="116" t="inlineStr">
        <is>
          <t>A flag that needs your decision.</t>
        </is>
      </c>
      <c r="D53" s="110" t="n"/>
      <c r="E53" s="111" t="n"/>
    </row>
    <row r="54" ht="15" customHeight="1" s="106"/>
    <row r="55" ht="21.75" customHeight="1" s="106"/>
    <row r="56" ht="39.75" customHeight="1" s="106">
      <c r="B56" s="128" t="inlineStr">
        <is>
          <t>LOCKED  -  settled decisions. Everything below is closed; do not reopen it in the model.</t>
        </is>
      </c>
      <c r="C56" s="110" t="n"/>
      <c r="D56" s="110" t="n"/>
      <c r="E56" s="111" t="n"/>
    </row>
    <row r="57" ht="39.75" customHeight="1" s="106">
      <c r="B57" s="112" t="n"/>
      <c r="C57" s="112" t="inlineStr">
        <is>
          <t>What is now fixed</t>
        </is>
      </c>
      <c r="D57" s="111" t="n"/>
      <c r="E57" s="112" t="inlineStr">
        <is>
          <t>Detail</t>
        </is>
      </c>
    </row>
    <row r="58" ht="39.75" customHeight="1" s="106">
      <c r="B58" s="129" t="inlineStr">
        <is>
          <t>DRIED IN STORE, SERVED FRESH.  (Ricardo, 6 Sep 2026 - closes the fresh-vs-dried conflict)</t>
        </is>
      </c>
      <c r="C58" s="130" t="n"/>
      <c r="D58" s="111" t="n"/>
      <c r="E58" s="116" t="inlineStr">
        <is>
          <t>Extrude on the GUSGT108, dry on fan-assisted mesh racks, re-bag into sealed ambient bins, portion DRIED into the basket, boil 90-180 s, finish in the wok. The Kitchen Workflow OPS pack was right about the process; the brand position stays 'fresh' - made in this store, this morning, in front of the customer. Portion is 111 g dried, set to hold DRY MATTER constant against the old 140 g fresh portion (140 x 70% = 98 g solids; 111 x 88% = 97.7 g). That is deliberate: the plate the customer eats, the servings per batch and every Aug-2026 cost benchmark are all unchanged.</t>
        </is>
      </c>
    </row>
    <row r="59" ht="39.75" customHeight="1" s="106">
      <c r="B59" s="129" t="inlineStr">
        <is>
          <t>Ambient pasta storage. No pasta fridge in store.</t>
        </is>
      </c>
      <c r="C59" s="130" t="n"/>
      <c r="D59" s="111" t="n"/>
      <c r="E59" s="116" t="inlineStr">
        <is>
          <t>Dried pasta goes into sealed bins at room temperature with roughly a 30-day life, not 5-7 chilled days. This is what resolves the OPS pack's missing refrigerated pasta storage - there was never meant to be any. The undercounter fridges stay for sauces, mise en place and toppings.</t>
        </is>
      </c>
    </row>
    <row r="60" ht="39.75" customHeight="1" s="106">
      <c r="B60" s="129" t="inlineStr">
        <is>
          <t>The line is a 9-pot cooker, sauce warmers and 3-4 automatic wok cookers.  (Ricardo, 6 Sep 2026)</t>
        </is>
      </c>
      <c r="C60" s="130" t="n"/>
      <c r="D60" s="111" t="n"/>
      <c r="E60" s="116" t="inlineStr">
        <is>
          <t>This supersedes the OPS pack's 2-basket boiler, 3 lidded vessels and 2-plate hob. Every one of these is a variable on 18 Production Capacity, which works out covers per hour by station and names the binding bottleneck.</t>
        </is>
      </c>
    </row>
    <row r="61" ht="39.75" customHeight="1" s="106">
      <c r="B61" s="129" t="inlineStr">
        <is>
          <t>Sauce service method is a TASTE rule, not a capacity rule.</t>
        </is>
      </c>
      <c r="C61" s="130" t="n"/>
      <c r="D61" s="111" t="n"/>
      <c r="E61" s="116" t="inlineStr">
        <is>
          <t>A sauce is held in a warmer only where four hours at 63 C makes it the same or better - the tomato bases, the two braises and the two stabilised creams. Carbonara, Quattro Formaggi and Aglio e Olio are finished to order in the wok because holding them ruins them; pesto and chermoula are never heated at all. The wok cookers are what make that affordable. Full allocation on 18 Production Capacity.</t>
        </is>
      </c>
    </row>
    <row r="62" ht="39.75" customHeight="1" s="106">
      <c r="B62" s="129" t="inlineStr">
        <is>
          <t>Board prices: SET B (Menu Concepts pack) is the print set.  (Ricardo, 6 Sep 2026 - 'fix it')</t>
        </is>
      </c>
      <c r="C62" s="130" t="n"/>
      <c r="D62" s="111" t="n"/>
      <c r="E62" s="116" t="inlineStr">
        <is>
          <t>Set B is adopted and pre-loaded into Approved Sell on 12 Final Menu. It is the only set that carries the whole menu - beverages, Build Your Own and the add-on ladder - and its lower entry price (R65 Napoletana, R85 Bolognese) suits a volume-driven QSR. Set A survives on 16 Menu Price Reference as the pre-agreed step-up if landed costs come in high.</t>
        </is>
      </c>
    </row>
    <row r="63" ht="39.75" customHeight="1" s="106">
      <c r="B63" s="129" t="inlineStr">
        <is>
          <t>Four formulas, one machine, one backbone.</t>
        </is>
      </c>
      <c r="C63" s="130" t="n"/>
      <c r="D63" s="111" t="n"/>
      <c r="E63" s="116" t="inlineStr">
        <is>
          <t>Bokgat Base, Protein+ Pro, Farmhouse, Chickpea Power Pro. Baker's percentages unchanged from the spec. Ingredient ceilings are carried on the SKU notes: lupin 20%, lion's mane 5%, microgreens 3%, chickpea 25%, inulin ~12%.</t>
        </is>
      </c>
    </row>
    <row r="64" ht="39.75" customHeight="1" s="106">
      <c r="B64" s="129" t="inlineStr">
        <is>
          <t>Yield is a mass balance, not the manual's 70.</t>
        </is>
      </c>
      <c r="C64" s="130" t="n"/>
      <c r="D64" s="111" t="n"/>
      <c r="E64" s="116" t="inlineStr">
        <is>
          <t>Dry blend x (1 - flour moisture) + salt = dry solids; solids / (1 - finished pasta moisture) = fresh output; then process loss. That gives 87-88 servings planning and 91-93 ceiling per 10 kg batch. The manual's 70 would need 143 g of dry blend per 140 g portion, which is not physically possible - it is carried as a worst-case reference line only.</t>
        </is>
      </c>
    </row>
    <row r="65" ht="39.75" customHeight="1" s="106">
      <c r="B65" s="129" t="inlineStr">
        <is>
          <t>No in-store drying cabinet.</t>
        </is>
      </c>
      <c r="C65" s="130" t="n"/>
      <c r="D65" s="111" t="n"/>
      <c r="E65" s="116" t="inlineStr">
        <is>
          <t>Fan-assisted mesh drying racks replace it - 6 racks x 10 trays x 2 kg wet is the planning figure on 18 Production Capacity, and rack space is a real constraint on a dried process. The TBD dryer line comes out of the capex model.</t>
        </is>
      </c>
    </row>
    <row r="66">
      <c r="B66" s="129" t="inlineStr">
        <is>
          <t>Machine: Gustotek GT Line GUSGT108.</t>
        </is>
      </c>
      <c r="C66" s="130" t="n"/>
      <c r="D66" s="111" t="n"/>
      <c r="E66" s="116" t="inlineStr">
        <is>
          <t>16-20 kg/h, Culinary Equipment Co., Lanseria, 011 701 2200. A locally stocked SA SKU - no freight, no FX, no import lead time on the extruder.</t>
        </is>
      </c>
    </row>
    <row r="67" ht="15" customHeight="1" s="106">
      <c r="B67" s="129" t="inlineStr">
        <is>
          <t>The Aug-2026 per-serving costs are sound.</t>
        </is>
      </c>
      <c r="C67" s="130" t="n"/>
      <c r="D67" s="111" t="n"/>
      <c r="E67" s="116" t="inlineStr">
        <is>
          <t>They were already computed on the ~98 g dry-matter basis, not on the 70-serving divisor. They are carried on tab 06 as a benchmark band so live quotes can be checked against them the moment they land.</t>
        </is>
      </c>
    </row>
    <row r="68" ht="21.75" customHeight="1" s="106"/>
    <row r="69" ht="39.75" customHeight="1" s="106">
      <c r="B69" s="131" t="inlineStr">
        <is>
          <t>OPEN DECISIONS - these change the numbers, so they need your call</t>
        </is>
      </c>
      <c r="C69" s="110" t="n"/>
      <c r="D69" s="110" t="n"/>
      <c r="E69" s="111" t="n"/>
    </row>
    <row r="70" ht="39.75" customHeight="1" s="106">
      <c r="B70" s="112" t="inlineStr">
        <is>
          <t>#</t>
        </is>
      </c>
      <c r="C70" s="112" t="inlineStr">
        <is>
          <t>Decision</t>
        </is>
      </c>
      <c r="D70" s="111" t="n"/>
      <c r="E70" s="112" t="inlineStr">
        <is>
          <t>Why it matters</t>
        </is>
      </c>
    </row>
    <row r="71" ht="39.75" customHeight="1" s="106">
      <c r="B71" s="132" t="n">
        <v>1</v>
      </c>
      <c r="C71" s="133" t="inlineStr">
        <is>
          <t>CONFLICT: the OPS pack says sauces arrive CHILLED at 5 C or below, not frozen.</t>
        </is>
      </c>
      <c r="D71" s="111" t="n"/>
      <c r="E71" s="116" t="inlineStr">
        <is>
          <t>It reads 'chilled sauces: probe and log - must read &lt;=5 C', 'reheat ONCE to &gt;=75 C core, then hold &gt;=63 C', with a 4-hour hot window. You told me frozen for overnight defrost, and this model prices freeze-grade pouches on that basis. Chilled is a different pouch, a different cold chain and a shorter delivery cycle. Gap G10 in that pack already flags the delivery temperature as an assumption.</t>
        </is>
      </c>
    </row>
    <row r="72" ht="39.75" customHeight="1" s="106">
      <c r="B72" s="132" t="n">
        <v>2</v>
      </c>
      <c r="C72" s="133" t="inlineStr">
        <is>
          <t>Run one witnessed 10 kg batch and weigh the output off the racks.</t>
        </is>
      </c>
      <c r="D72" s="111" t="n"/>
      <c r="E72" s="116" t="inlineStr">
        <is>
          <t>This is the single biggest unknown left in the pasta line. It collapses the 87-vs-91 servings band AND the drying-rack density estimate in one morning's work. Until it happens every batch-planning figure carries a range.</t>
        </is>
      </c>
    </row>
    <row r="73" ht="39.75" customHeight="1" s="106">
      <c r="B73" s="132" t="n">
        <v>3</v>
      </c>
      <c r="C73" s="133" t="inlineStr">
        <is>
          <t>Four commissary pre-blends, or four in-store formulas?</t>
        </is>
      </c>
      <c r="D73" s="111" t="n"/>
      <c r="E73" s="116" t="inlineStr">
        <is>
          <t>This one restructures the model. Pre-blends keep the 'franchisee never blends flour' moat: the dough becomes a Central Kitchen product with a transfer price, exactly like the sauces on 07 and 08, and tab 06 gets rebuilt as a CK tab. In-store formulas leave it as it is now - a franchise raw-material build off 04 SKU Master. Say which and I will restructure it.</t>
        </is>
      </c>
    </row>
    <row r="74" ht="39.75" customHeight="1" s="106">
      <c r="B74" s="132" t="n">
        <v>4</v>
      </c>
      <c r="C74" s="133" t="inlineStr">
        <is>
          <t>Extruder in every store, or central production with refrigerated distribution?</t>
        </is>
      </c>
      <c r="D74" s="111" t="n"/>
      <c r="E74" s="116" t="inlineStr">
        <is>
          <t>Central production solves the drying-space problem and the consistency problem at once - but it takes the extruder out of the store, and the in-store Pasta Theatre with it. That is a brand call, not an operations one.</t>
        </is>
      </c>
    </row>
    <row r="75" ht="39.75" customHeight="1" s="106">
      <c r="B75" s="132" t="n">
        <v>5</v>
      </c>
      <c r="C75" s="133" t="inlineStr">
        <is>
          <t>Sauce warmer wells: 6 is the model's assumption. Confirm the actual well count.</t>
        </is>
      </c>
      <c r="D75" s="111" t="n"/>
      <c r="E75" s="116" t="inlineStr">
        <is>
          <t>The core menu needs 5 wells held at once (Napoletana, Bolognese, Alfredo, Arrabbiata, Boscaiola) and the live seasonal drop needs 1-2 more. Six is the minimum that runs the full menu; eight gives you a spare well for a second seasonal and for changeover. Below six, a core sauce has to come off the line. Set the real number on 18 Production Capacity and the check on 14 Model Health will tell you if the menu still fits.</t>
        </is>
      </c>
    </row>
    <row r="76" ht="39.75" customHeight="1" s="106">
      <c r="B76" s="132" t="n">
        <v>6</v>
      </c>
      <c r="C76" s="133" t="inlineStr">
        <is>
          <t>Wok cookers: 3 or 4? The model says 4.</t>
        </is>
      </c>
      <c r="D76" s="111" t="n"/>
      <c r="E76" s="116" t="inlineStr">
        <is>
          <t>Every bowl passes through a wok. Three woks give about 135 covers/hour and the woks become the binding station; four give about 180, which pushes the binding station up to the 9-pot cooker at about 162. So the fourth wok buys roughly 27 covers/hour and moves the constraint onto a machine you have already bought. The OPS pack's peak planning figure was 60-80 covers/hour, so even three clears it on paper - but with three, the wok station is the only one with no headroom and the cooker upstream sits idle. Take the fourth.</t>
        </is>
      </c>
    </row>
    <row r="77" ht="39.75" customHeight="1" s="106">
      <c r="B77" s="132" t="n">
        <v>7</v>
      </c>
      <c r="C77" s="133" t="inlineStr">
        <is>
          <t>Slushee machine bowls: 6 flavours are now specced, 4 bowls are assumed.</t>
        </is>
      </c>
      <c r="D77" s="111" t="n"/>
      <c r="E77" s="116" t="inlineStr">
        <is>
          <t>Rooibos, Naartjie, Granadilla, Strawberry, Blue Bubblegum, Ginger-Lime and Papa's Red plus cream soda and lemonade is nine possible flavours against four live bowls. Rooibos and Blue Bubblegum should be permanent (the SA hero and the kids anchor); the other two bowls rotate. Confirm the machine's bowl count.</t>
        </is>
      </c>
    </row>
    <row r="78" ht="39.75" customHeight="1" s="106">
      <c r="B78" s="132" t="n">
        <v>8</v>
      </c>
      <c r="C78" s="133" t="inlineStr">
        <is>
          <t>Quote baobab first.</t>
        </is>
      </c>
      <c r="D78" s="111" t="n"/>
      <c r="E78" s="116" t="inlineStr">
        <is>
          <t>It is the largest single cost swing in three of the four formulas. Every dough cost on tab 06 stays blank until it and the other flours are priced.</t>
        </is>
      </c>
    </row>
    <row r="79" ht="39.75" customHeight="1" s="106">
      <c r="B79" s="132" t="n">
        <v>9</v>
      </c>
      <c r="C79" s="133" t="inlineStr">
        <is>
          <t>Farmhouse total dry blend: 10.20 kg here, 10.00 kg in the spec sheet.</t>
        </is>
      </c>
      <c r="D79" s="111" t="n"/>
      <c r="E79" s="116" t="inlineStr">
        <is>
          <t>The spec's own baker's percentages for Farmhouse sum to 102%, which is 10.20 kg on a 10 kg batch - so its stated 10.00 kg total does not match its own recipe. This model uses the actual line quantities (10.20 kg), which puts Farmhouse at 88 planning servings rather than 87. Confirm which is right.</t>
        </is>
      </c>
    </row>
    <row r="80" ht="39.75" customHeight="1" s="106">
      <c r="B80" s="132" t="n">
        <v>10</v>
      </c>
      <c r="C80" s="133" t="inlineStr">
        <is>
          <t>Pork and chicken SKUs from the starter sheet have been removed.</t>
        </is>
      </c>
      <c r="D80" s="111" t="n"/>
      <c r="E80" s="116" t="inlineStr">
        <is>
          <t>The concept doc sets a brand-wide halaal standard: 100% pork-free, beef the only meat. Pork chunks and chicken strips were live SKUs in the old sheet. Confirm they are gone for good.</t>
        </is>
      </c>
    </row>
    <row r="81" ht="39.75" customHeight="1" s="106">
      <c r="B81" s="132" t="n">
        <v>11</v>
      </c>
      <c r="C81" s="133" t="inlineStr">
        <is>
          <t>Boscaiola is costed on Fusilli, not Rigatoni.</t>
        </is>
      </c>
      <c r="D81" s="111" t="n"/>
      <c r="E81" s="116" t="inlineStr">
        <is>
          <t>The old sheet used PP-PASTA-RIG-BOSC. The concept doc assigns Boscaiola to Fusilli. This model follows the doc - the SKU is now PP-PASTA-FUS-BOSC.</t>
        </is>
      </c>
    </row>
    <row r="82" ht="39.75" customHeight="1" s="106">
      <c r="B82" s="132" t="n">
        <v>12</v>
      </c>
      <c r="C82" s="133" t="inlineStr">
        <is>
          <t>Four supplier quotes look like pack prices, not per-kg prices.</t>
        </is>
      </c>
      <c r="D82" s="111" t="n"/>
      <c r="E82" s="116" t="inlineStr">
        <is>
          <t>Peas R348.50/kg, Asparagus R439.50/kg, Carrots R148.00/kg and Radish microgreens R19.06/kg are out of line with the rest of the Ferreira Fresh and TLF lists. Re-confirm the unit before these hit a menu price.</t>
        </is>
      </c>
    </row>
    <row r="83" ht="39.75" customHeight="1" s="106">
      <c r="B83" s="132" t="n">
        <v>13</v>
      </c>
      <c r="C83" s="133" t="inlineStr">
        <is>
          <t>Central Kitchen labour, overhead and margin are placeholders.</t>
        </is>
      </c>
      <c r="D83" s="111" t="n"/>
      <c r="E83" s="116" t="inlineStr">
        <is>
          <t>R6.50/kg labour, R4.00/kg overhead and 25% margin drive every sauce transfer price on 07 and 08. Replace with real CK numbers before any franchisee sees a price list.</t>
        </is>
      </c>
    </row>
    <row r="84">
      <c r="B84" s="132" t="n">
        <v>14</v>
      </c>
      <c r="C84" s="133" t="inlineStr">
        <is>
          <t>Seven seasonal drops were given their OWN Central Kitchen base on tab 08; the other 29 run on a core base from 07.</t>
        </is>
      </c>
      <c r="D84" s="111" t="n"/>
      <c r="E84" s="116" t="inlineStr">
        <is>
          <t>The split follows the concept doc wherever it names a distinct base - Durban's special curry-tomato base, the coconut-cream base, the Cape Malay curry-cream base, the peanut-cream base, plus the oxtail-style ragu, the chakalaka relish and the chermoula paste. Everything else is a core base with up to two specials, per the &lt;=2-SKU guardrail in 02.02.1. Peri-peri baste and harissa are the closest calls that currently do not have their own base. BBQ, buffalo and Cajun are treated as bought-in sauce SKUs, not CK production.</t>
        </is>
      </c>
    </row>
    <row r="85" ht="15" customHeight="1" s="106">
      <c r="B85" s="132" t="n">
        <v>15</v>
      </c>
      <c r="C85" s="133" t="inlineStr">
        <is>
          <t>Sauce pouches are sized at 2 kg (1 kg for pesto, the Aglio kit, chakalaka and chermoula).</t>
        </is>
      </c>
      <c r="D85" s="111" t="n"/>
      <c r="E85" s="116" t="inlineStr">
        <is>
          <t>Thawed shelf life is one trading day, so a pouch should be one day-part of demand. Seasonal bases run 13-week windows, so their pouch sizing matters more - an oversized pouch on a slow drop is straight waste. Confirm against forecast covers per store.</t>
        </is>
      </c>
    </row>
    <row r="86" ht="15" customHeight="1" s="106"/>
    <row r="87" ht="19.4" customHeight="1" s="106">
      <c r="B87" s="128" t="inlineStr">
        <is>
          <t>OPERATING FACTS TAKEN FROM THE DRIVE  -  Kitchen Workflow OPS pack v1.0, 1 Sep 2026</t>
        </is>
      </c>
      <c r="C87" s="110" t="n"/>
      <c r="D87" s="110" t="n"/>
      <c r="E87" s="111" t="n"/>
    </row>
    <row r="88" ht="15" customHeight="1" s="106">
      <c r="B88" s="134" t="inlineStr">
        <is>
          <t>Central kitchen sized for</t>
        </is>
      </c>
      <c r="C88" s="116" t="inlineStr">
        <is>
          <t>4-10 outlets (this model now defaults to 6)</t>
        </is>
      </c>
      <c r="D88" s="110" t="n"/>
      <c r="E88" s="111" t="n"/>
    </row>
    <row r="89" ht="15" customHeight="1" s="106">
      <c r="B89" s="134" t="inlineStr">
        <is>
          <t>Peak store capacity</t>
        </is>
      </c>
      <c r="C89" s="116" t="inlineStr">
        <is>
          <t>OPS pack planning estimate was 60-80 covers/hour with 3-4 crew. The 9-pot / 4-wok line modelled on 18 Production Capacity is well above that - see the bottleneck line</t>
        </is>
      </c>
      <c r="D89" s="110" t="n"/>
      <c r="E89" s="111" t="n"/>
    </row>
    <row r="90" ht="19.4" customHeight="1" s="106">
      <c r="B90" s="134" t="inlineStr">
        <is>
          <t>Crew modes</t>
        </is>
      </c>
      <c r="C90" s="116" t="inlineStr">
        <is>
          <t>2 quiet / 3 standard / 4 peak</t>
        </is>
      </c>
      <c r="D90" s="110" t="n"/>
      <c r="E90" s="111" t="n"/>
    </row>
    <row r="91" ht="19.4" customHeight="1" s="106">
      <c r="B91" s="134" t="inlineStr">
        <is>
          <t>Order to collect target</t>
        </is>
      </c>
      <c r="C91" s="116" t="inlineStr">
        <is>
          <t>5 minutes at peak; 90-180 s boil plus about 60 s finish</t>
        </is>
      </c>
      <c r="D91" s="110" t="n"/>
      <c r="E91" s="111" t="n"/>
    </row>
    <row r="92" ht="19.4" customHeight="1" s="106">
      <c r="B92" s="134" t="inlineStr">
        <is>
          <t>Sauce holding on the line</t>
        </is>
      </c>
      <c r="C92" s="116" t="inlineStr">
        <is>
          <t>SUPERSEDED. Now sauce warmer wells (6 assumed) at 63 C or above for 4 hours, then chill or discard. Only the sauces that taste the same or better held go in them</t>
        </is>
      </c>
      <c r="D92" s="110" t="n"/>
      <c r="E92" s="111" t="n"/>
    </row>
    <row r="93" ht="19.4" customHeight="1" s="106">
      <c r="B93" s="134" t="inlineStr">
        <is>
          <t>Pasta theatre</t>
        </is>
      </c>
      <c r="C93" s="116" t="inlineStr">
        <is>
          <t>Real production, watched. Extrude in the window, dry overnight on the racks, cook tomorrow. The dried batch sits in sealed ambient bins by the cooker</t>
        </is>
      </c>
      <c r="D93" s="110" t="n"/>
      <c r="E93" s="111" t="n"/>
    </row>
    <row r="94">
      <c r="B94" s="134" t="inlineStr">
        <is>
          <t>Line equipment (Ricardo, 6 Sep)</t>
        </is>
      </c>
      <c r="C94" s="116" t="inlineStr">
        <is>
          <t>9-pot pasta cooker, sauce warmers, 3-4 automatic wok cookers finishing pasta and sauce together. All variables on 18 Production Capacity</t>
        </is>
      </c>
      <c r="D94" s="110" t="n"/>
      <c r="E94" s="111" t="n"/>
    </row>
    <row r="95" ht="28.35" customHeight="1" s="106">
      <c r="B95" s="134" t="inlineStr">
        <is>
          <t>Menu price status</t>
        </is>
      </c>
      <c r="C95" s="116" t="inlineStr">
        <is>
          <t>Set B (Menu Concepts) adopted 6 Sep and pre-loaded into Approved Sell on 12 Final Menu. Still to be re-tested against landed costs the moment quotes arrive - see 16 Menu Price Reference</t>
        </is>
      </c>
      <c r="D95" s="110" t="n"/>
      <c r="E95" s="111" t="n"/>
    </row>
    <row r="96"/>
    <row r="97">
      <c r="B97" s="135" t="inlineStr">
        <is>
          <t>Built 2026-09-06. Pasta: Papa Pasta Dough &amp; Yield Specification v1.0 (5 Sep 2026), which supersedes Coda 02.03. Menu, sauces and seasonal rotation: the Papa Pasta Concept Build doc (02.01 Core Menu, 02.01.2 The Nine Core Sauces, 02.02.1 Seasonal Drops). Plus the existing WorkDrive starter sheet. Sauce and dish quantities are engineering estimates for costing - confirm on a production run. No price has been invented: every cost cell is blank until a real supplier quote is entered.</t>
        </is>
      </c>
    </row>
  </sheetData>
  <sheetProtection selectLockedCells="0" selectUnlockedCells="0" sheet="1" objects="0" insertRows="1" insertHyperlinks="1" autoFilter="0" scenarios="0" formatColumns="0" deleteColumns="1" insertColumns="1" pivotTables="1" deleteRows="1" formatCells="0" formatRows="0" sort="0"/>
  <mergeCells count="62">
    <mergeCell ref="C77:D77"/>
    <mergeCell ref="C50:E50"/>
    <mergeCell ref="C44:E44"/>
    <mergeCell ref="C62:D62"/>
    <mergeCell ref="C40:E40"/>
    <mergeCell ref="C58:D58"/>
    <mergeCell ref="C64:D64"/>
    <mergeCell ref="C79:D79"/>
    <mergeCell ref="C95:E95"/>
    <mergeCell ref="C73:D73"/>
    <mergeCell ref="C51:E51"/>
    <mergeCell ref="C36:E36"/>
    <mergeCell ref="C85:D85"/>
    <mergeCell ref="C65:D65"/>
    <mergeCell ref="B97:E97"/>
    <mergeCell ref="C63:D63"/>
    <mergeCell ref="C75:D75"/>
    <mergeCell ref="C84:D84"/>
    <mergeCell ref="C80:D80"/>
    <mergeCell ref="C91:E91"/>
    <mergeCell ref="C59:D59"/>
    <mergeCell ref="B56:E56"/>
    <mergeCell ref="C37:E37"/>
    <mergeCell ref="C76:D76"/>
    <mergeCell ref="C61:D61"/>
    <mergeCell ref="C92:E92"/>
    <mergeCell ref="C70:D70"/>
    <mergeCell ref="C34:E34"/>
    <mergeCell ref="C42:E42"/>
    <mergeCell ref="C67:D67"/>
    <mergeCell ref="B69:E69"/>
    <mergeCell ref="B87:E87"/>
    <mergeCell ref="C83:D83"/>
    <mergeCell ref="C94:E94"/>
    <mergeCell ref="C41:E41"/>
    <mergeCell ref="B49:E49"/>
    <mergeCell ref="C93:E93"/>
    <mergeCell ref="B33:E33"/>
    <mergeCell ref="C74:D74"/>
    <mergeCell ref="A1:H1"/>
    <mergeCell ref="C90:E90"/>
    <mergeCell ref="C43:E43"/>
    <mergeCell ref="C46:E46"/>
    <mergeCell ref="B4:E4"/>
    <mergeCell ref="C52:E52"/>
    <mergeCell ref="C39:E39"/>
    <mergeCell ref="C38:E38"/>
    <mergeCell ref="C60:D60"/>
    <mergeCell ref="C53:E53"/>
    <mergeCell ref="A2:H2"/>
    <mergeCell ref="C71:D71"/>
    <mergeCell ref="C89:E89"/>
    <mergeCell ref="C82:D82"/>
    <mergeCell ref="C72:D72"/>
    <mergeCell ref="C45:E45"/>
    <mergeCell ref="C81:D81"/>
    <mergeCell ref="C57:D57"/>
    <mergeCell ref="C88:E88"/>
    <mergeCell ref="C66:D66"/>
    <mergeCell ref="C35:E35"/>
    <mergeCell ref="C78:D78"/>
    <mergeCell ref="C47:E47"/>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I18"/>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4" customWidth="1" style="105" min="1" max="2"/>
    <col width="44" customWidth="1" style="105" min="3" max="3"/>
    <col width="4" customWidth="1" style="105" min="4" max="4"/>
    <col width="16" customWidth="1" style="105" min="5" max="5"/>
    <col width="18" customWidth="1" style="105" min="6" max="6"/>
    <col width="14" customWidth="1" style="105" min="7" max="7"/>
    <col width="16" customWidth="1" style="105" min="8" max="8"/>
    <col width="22" customWidth="1" style="105" min="9" max="9"/>
  </cols>
  <sheetData>
    <row r="1" ht="30" customHeight="1" s="106">
      <c r="A1" s="107" t="inlineStr">
        <is>
          <t>LISTS &amp; UNIT CONVERSIONS</t>
        </is>
      </c>
    </row>
    <row r="2" ht="18" customHeight="1" s="106">
      <c r="A2" s="108" t="inlineStr">
        <is>
          <t>The conversion table turns a pack price into a cost per gram, millilitre or unit. Add a row if you buy in a unit that is not listed. The lists on the right feed every dropdown in the workbook.</t>
        </is>
      </c>
    </row>
    <row r="4" ht="24" customHeight="1" s="106">
      <c r="A4" s="112" t="inlineStr">
        <is>
          <t>Pack Unit</t>
        </is>
      </c>
      <c r="B4" s="112" t="inlineStr">
        <is>
          <t>Base Units</t>
        </is>
      </c>
      <c r="C4" s="112" t="inlineStr">
        <is>
          <t>Meaning</t>
        </is>
      </c>
      <c r="E4" s="112" t="inlineStr">
        <is>
          <t>Base Unit</t>
        </is>
      </c>
      <c r="F4" s="112" t="inlineStr">
        <is>
          <t>Component Type</t>
        </is>
      </c>
      <c r="G4" s="112" t="inlineStr">
        <is>
          <t>VAT Basis</t>
        </is>
      </c>
      <c r="H4" s="112" t="inlineStr">
        <is>
          <t>RFQ Status</t>
        </is>
      </c>
      <c r="I4" s="112" t="inlineStr">
        <is>
          <t>Team Member</t>
        </is>
      </c>
    </row>
    <row r="5" ht="15" customHeight="1" s="106">
      <c r="A5" s="136" t="inlineStr">
        <is>
          <t>g</t>
        </is>
      </c>
      <c r="B5" s="137" t="n">
        <v>1</v>
      </c>
      <c r="C5" s="138" t="inlineStr">
        <is>
          <t>gram</t>
        </is>
      </c>
      <c r="E5" s="139" t="inlineStr">
        <is>
          <t>g</t>
        </is>
      </c>
      <c r="F5" s="139" t="inlineStr">
        <is>
          <t>Pasta</t>
        </is>
      </c>
      <c r="G5" s="139" t="inlineStr">
        <is>
          <t>Excl VAT</t>
        </is>
      </c>
      <c r="H5" s="139" t="inlineStr">
        <is>
          <t>Not started</t>
        </is>
      </c>
      <c r="I5" s="119" t="inlineStr">
        <is>
          <t>PPP1</t>
        </is>
      </c>
    </row>
    <row r="6" ht="15" customHeight="1" s="106">
      <c r="A6" s="136" t="inlineStr">
        <is>
          <t>kg</t>
        </is>
      </c>
      <c r="B6" s="137" t="n">
        <v>1000</v>
      </c>
      <c r="C6" s="138" t="inlineStr">
        <is>
          <t>kilogram</t>
        </is>
      </c>
      <c r="E6" s="139" t="inlineStr">
        <is>
          <t>ml</t>
        </is>
      </c>
      <c r="F6" s="139" t="inlineStr">
        <is>
          <t>Sauce</t>
        </is>
      </c>
      <c r="G6" s="139" t="inlineStr">
        <is>
          <t>Incl VAT</t>
        </is>
      </c>
      <c r="H6" s="139" t="inlineStr">
        <is>
          <t>Requested</t>
        </is>
      </c>
      <c r="I6" s="119" t="inlineStr">
        <is>
          <t>PPP2</t>
        </is>
      </c>
    </row>
    <row r="7" ht="15" customHeight="1" s="106">
      <c r="A7" s="136" t="inlineStr">
        <is>
          <t>mg</t>
        </is>
      </c>
      <c r="B7" s="137" t="n">
        <v>0.001</v>
      </c>
      <c r="C7" s="138" t="inlineStr">
        <is>
          <t>milligram</t>
        </is>
      </c>
      <c r="E7" s="139" t="inlineStr">
        <is>
          <t>ea</t>
        </is>
      </c>
      <c r="F7" s="139" t="inlineStr">
        <is>
          <t>Protein</t>
        </is>
      </c>
      <c r="H7" s="139" t="inlineStr">
        <is>
          <t>Chasing</t>
        </is>
      </c>
      <c r="I7" s="119" t="inlineStr">
        <is>
          <t>Ricardo</t>
        </is>
      </c>
    </row>
    <row r="8" ht="15" customHeight="1" s="106">
      <c r="A8" s="136" t="inlineStr">
        <is>
          <t>ml</t>
        </is>
      </c>
      <c r="B8" s="137" t="n">
        <v>1</v>
      </c>
      <c r="C8" s="138" t="inlineStr">
        <is>
          <t>millilitre</t>
        </is>
      </c>
      <c r="F8" s="139" t="inlineStr">
        <is>
          <t>Ingredient</t>
        </is>
      </c>
      <c r="H8" s="139" t="inlineStr">
        <is>
          <t>Quoted</t>
        </is>
      </c>
    </row>
    <row r="9" ht="15" customHeight="1" s="106">
      <c r="A9" s="136" t="inlineStr">
        <is>
          <t>L</t>
        </is>
      </c>
      <c r="B9" s="137" t="n">
        <v>1000</v>
      </c>
      <c r="C9" s="138" t="inlineStr">
        <is>
          <t>litre</t>
        </is>
      </c>
      <c r="F9" s="139" t="inlineStr">
        <is>
          <t>Finish</t>
        </is>
      </c>
      <c r="H9" s="139" t="inlineStr">
        <is>
          <t>Declined</t>
        </is>
      </c>
    </row>
    <row r="10" ht="15" customHeight="1" s="106">
      <c r="A10" s="136" t="inlineStr">
        <is>
          <t>ea</t>
        </is>
      </c>
      <c r="B10" s="137" t="n">
        <v>1</v>
      </c>
      <c r="C10" s="138" t="inlineStr">
        <is>
          <t>each / unit</t>
        </is>
      </c>
      <c r="F10" s="139" t="inlineStr">
        <is>
          <t>Packaging</t>
        </is>
      </c>
      <c r="H10" s="139" t="inlineStr">
        <is>
          <t>On hold</t>
        </is>
      </c>
    </row>
    <row r="11" ht="15" customHeight="1" s="106">
      <c r="A11" s="136" t="inlineStr">
        <is>
          <t>pack</t>
        </is>
      </c>
      <c r="B11" s="137" t="n">
        <v>1</v>
      </c>
      <c r="C11" s="138" t="inlineStr">
        <is>
          <t>pack treated as 1 unit</t>
        </is>
      </c>
    </row>
    <row r="12" ht="15" customHeight="1" s="106">
      <c r="A12" s="136" t="inlineStr">
        <is>
          <t>case</t>
        </is>
      </c>
      <c r="B12" s="137" t="n">
        <v>1</v>
      </c>
      <c r="C12" s="138" t="inlineStr">
        <is>
          <t>case treated as 1 unit - enter total units in Pack Qty</t>
        </is>
      </c>
    </row>
    <row r="13" ht="28.35" customHeight="1" s="106">
      <c r="A13" s="136" t="inlineStr">
        <is>
          <t>doz</t>
        </is>
      </c>
      <c r="B13" s="137" t="n">
        <v>12</v>
      </c>
      <c r="C13" s="138" t="inlineStr">
        <is>
          <t>dozen</t>
        </is>
      </c>
      <c r="E13" s="135" t="inlineStr">
        <is>
          <t>Team Member: two people collect quotes (PPP1, PPP2) and Ricardo is the third. Overtype the placeholders with real names here and every Assigned To dropdown on 15 RFQ Tracker and every Relationship Owner on 03 Suppliers picks up the change. Names already chosen on those tabs keep the old text, so rename before you allocate.</t>
        </is>
      </c>
    </row>
    <row r="14" ht="15" customHeight="1" s="106">
      <c r="A14" s="136" t="inlineStr">
        <is>
          <t>punnet</t>
        </is>
      </c>
      <c r="B14" s="137" t="n">
        <v>1</v>
      </c>
      <c r="C14" s="138" t="inlineStr">
        <is>
          <t>punnet as 1 unit</t>
        </is>
      </c>
    </row>
    <row r="15" ht="15" customHeight="1" s="106">
      <c r="A15" s="136" t="inlineStr">
        <is>
          <t>tray</t>
        </is>
      </c>
      <c r="B15" s="137" t="n">
        <v>1</v>
      </c>
      <c r="C15" s="138" t="inlineStr">
        <is>
          <t>tray as 1 unit</t>
        </is>
      </c>
    </row>
    <row r="16" ht="15" customHeight="1" s="106">
      <c r="A16" s="136" t="inlineStr">
        <is>
          <t>box</t>
        </is>
      </c>
      <c r="B16" s="137" t="n">
        <v>1</v>
      </c>
      <c r="C16" s="138" t="inlineStr">
        <is>
          <t>box as 1 unit</t>
        </is>
      </c>
    </row>
    <row r="17" ht="15" customHeight="1" s="106">
      <c r="A17" s="136" t="inlineStr">
        <is>
          <t>sleeve</t>
        </is>
      </c>
      <c r="B17" s="137" t="n">
        <v>1</v>
      </c>
      <c r="C17" s="138" t="inlineStr">
        <is>
          <t>sleeve as 1 unit</t>
        </is>
      </c>
    </row>
    <row r="18" ht="15" customHeight="1" s="106">
      <c r="A18" s="136" t="inlineStr">
        <is>
          <t>roll</t>
        </is>
      </c>
      <c r="B18" s="137" t="n">
        <v>1</v>
      </c>
      <c r="C18" s="138" t="inlineStr">
        <is>
          <t>roll as 1 unit</t>
        </is>
      </c>
    </row>
  </sheetData>
  <sheetProtection selectLockedCells="0" selectUnlockedCells="0" sheet="1" objects="0" insertRows="1" insertHyperlinks="1" autoFilter="0" scenarios="0" formatColumns="0" deleteColumns="1" insertColumns="1" pivotTables="1" deleteRows="1" formatCells="0" formatRows="0" sort="0"/>
  <mergeCells count="3">
    <mergeCell ref="A1:I1"/>
    <mergeCell ref="E13:I13"/>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R34"/>
  <sheetViews>
    <sheetView showFormulas="0" showGridLines="0"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cols>
    <col width="12" customWidth="1" style="105" min="1" max="1"/>
    <col width="30" customWidth="1" style="105" min="2" max="3"/>
    <col width="22" customWidth="1" style="105" min="4" max="4"/>
    <col width="18" customWidth="1" style="105" min="5" max="5"/>
    <col width="30" customWidth="1" style="105" min="6" max="6"/>
    <col width="14" customWidth="1" style="105" min="7" max="7"/>
    <col width="18" customWidth="1" style="105" min="8" max="8"/>
    <col width="14" customWidth="1" style="105" min="9" max="9"/>
    <col width="12" customWidth="1" style="105" min="10" max="10"/>
    <col width="16" customWidth="1" style="105" min="11" max="11"/>
    <col width="14" customWidth="1" style="105" min="12" max="12"/>
    <col width="40" customWidth="1" style="105" min="13" max="13"/>
    <col width="14" customWidth="1" style="105" min="14" max="14"/>
    <col width="20" customWidth="1" style="105" min="15" max="15"/>
    <col hidden="1" width="20" customWidth="1" style="105" min="17" max="18"/>
  </cols>
  <sheetData>
    <row r="1" ht="30" customHeight="1" s="106">
      <c r="A1" s="107" t="inlineStr">
        <is>
          <t>SUPPLIER REGISTER</t>
        </is>
      </c>
    </row>
    <row r="2" ht="18" customHeight="1" s="106">
      <c r="A2" s="108" t="inlineStr">
        <is>
          <t>Every supplier you approach goes here first. Use the exact Supplier Name in the price tabs so the cheapest-price formula can name them back to you. QUOTES ARE is important: if a supplier quotes you INCLUDING VAT, set it here and the model strips the VAT for you automatically. Getting this wrong makes every cost from that supplier 15% too high.</t>
        </is>
      </c>
    </row>
    <row r="4" ht="31.5" customHeight="1" s="106">
      <c r="A4" s="112" t="inlineStr">
        <is>
          <t>Supplier Code</t>
        </is>
      </c>
      <c r="B4" s="112" t="inlineStr">
        <is>
          <t>Supplier Name</t>
        </is>
      </c>
      <c r="C4" s="112" t="inlineStr">
        <is>
          <t>Categories Supplied</t>
        </is>
      </c>
      <c r="D4" s="112" t="inlineStr">
        <is>
          <t>Contact Person</t>
        </is>
      </c>
      <c r="E4" s="112" t="inlineStr">
        <is>
          <t>Phone</t>
        </is>
      </c>
      <c r="F4" s="112" t="inlineStr">
        <is>
          <t>Email</t>
        </is>
      </c>
      <c r="G4" s="112" t="inlineStr">
        <is>
          <t>Status</t>
        </is>
      </c>
      <c r="H4" s="112" t="inlineStr">
        <is>
          <t>Payment Terms</t>
        </is>
      </c>
      <c r="I4" s="112" t="inlineStr">
        <is>
          <t>Lead Time (days)</t>
        </is>
      </c>
      <c r="J4" s="112" t="inlineStr">
        <is>
          <t>MOQ</t>
        </is>
      </c>
      <c r="K4" s="112" t="inlineStr">
        <is>
          <t>Delivery Days</t>
        </is>
      </c>
      <c r="L4" s="112" t="inlineStr">
        <is>
          <t>Halaal Certified</t>
        </is>
      </c>
      <c r="M4" s="112" t="inlineStr">
        <is>
          <t>Notes</t>
        </is>
      </c>
      <c r="N4" s="112" t="inlineStr">
        <is>
          <t>Quotes Are</t>
        </is>
      </c>
      <c r="O4" s="112" t="inlineStr">
        <is>
          <t>Relationship Owner</t>
        </is>
      </c>
    </row>
    <row r="5" ht="15" customHeight="1" s="106">
      <c r="A5" s="136" t="inlineStr">
        <is>
          <t>SUP-001</t>
        </is>
      </c>
      <c r="B5" s="140" t="inlineStr">
        <is>
          <t>Ferreira Fresh</t>
        </is>
      </c>
      <c r="C5" s="140" t="inlineStr">
        <is>
          <t>Fresh produce</t>
        </is>
      </c>
      <c r="D5" s="140" t="n"/>
      <c r="E5" s="140" t="n"/>
      <c r="F5" s="140" t="n"/>
      <c r="G5" s="140" t="inlineStr">
        <is>
          <t>Quoting</t>
        </is>
      </c>
      <c r="H5" s="140" t="n"/>
      <c r="I5" s="140" t="n"/>
      <c r="J5" s="140" t="n"/>
      <c r="K5" s="140" t="n"/>
      <c r="L5" s="140" t="n"/>
      <c r="M5" s="116" t="inlineStr">
        <is>
          <t>Existing quotes 16-17 Aug 2026</t>
        </is>
      </c>
      <c r="N5" s="119" t="inlineStr">
        <is>
          <t>Excl VAT</t>
        </is>
      </c>
      <c r="O5" s="141" t="n"/>
      <c r="Q5" s="142">
        <f>'02 Lists'!$G$5&amp;""</f>
        <v/>
      </c>
      <c r="R5" s="142">
        <f>'02 Lists'!$I$5&amp;""</f>
        <v/>
      </c>
    </row>
    <row r="6" ht="15" customHeight="1" s="106">
      <c r="A6" s="136" t="inlineStr">
        <is>
          <t>SUP-002</t>
        </is>
      </c>
      <c r="B6" s="140" t="inlineStr">
        <is>
          <t>The Local Farmer</t>
        </is>
      </c>
      <c r="C6" s="140" t="inlineStr">
        <is>
          <t>Mushrooms &amp; microgreens</t>
        </is>
      </c>
      <c r="D6" s="140" t="n"/>
      <c r="E6" s="140" t="n"/>
      <c r="F6" s="140" t="n"/>
      <c r="G6" s="140" t="inlineStr">
        <is>
          <t>Quoting</t>
        </is>
      </c>
      <c r="H6" s="140" t="n"/>
      <c r="I6" s="140" t="n"/>
      <c r="J6" s="140" t="n"/>
      <c r="K6" s="140" t="n"/>
      <c r="L6" s="140" t="n"/>
      <c r="M6" s="116" t="inlineStr">
        <is>
          <t>TLF - also the Farmhouse powder supply chain</t>
        </is>
      </c>
      <c r="N6" s="119" t="inlineStr">
        <is>
          <t>Excl VAT</t>
        </is>
      </c>
      <c r="O6" s="141" t="n"/>
      <c r="Q6" s="142">
        <f>'02 Lists'!$G$6&amp;""</f>
        <v/>
      </c>
      <c r="R6" s="142">
        <f>'02 Lists'!$I$6&amp;""</f>
        <v/>
      </c>
    </row>
    <row r="7" ht="15" customHeight="1" s="106">
      <c r="A7" s="136" t="inlineStr">
        <is>
          <t>SUP-003</t>
        </is>
      </c>
      <c r="B7" s="140" t="n"/>
      <c r="C7" s="140" t="n"/>
      <c r="D7" s="140" t="n"/>
      <c r="E7" s="140" t="n"/>
      <c r="F7" s="140" t="n"/>
      <c r="G7" s="140" t="inlineStr">
        <is>
          <t>To approach</t>
        </is>
      </c>
      <c r="H7" s="140" t="n"/>
      <c r="I7" s="140" t="n"/>
      <c r="J7" s="140" t="n"/>
      <c r="K7" s="140" t="n"/>
      <c r="L7" s="140" t="n"/>
      <c r="M7" s="116" t="n"/>
      <c r="N7" s="119" t="inlineStr">
        <is>
          <t>Excl VAT</t>
        </is>
      </c>
      <c r="O7" s="141" t="n"/>
      <c r="R7" s="142">
        <f>'02 Lists'!$I$7&amp;""</f>
        <v/>
      </c>
    </row>
    <row r="8" ht="15" customHeight="1" s="106">
      <c r="A8" s="136" t="inlineStr">
        <is>
          <t>SUP-004</t>
        </is>
      </c>
      <c r="B8" s="140" t="n"/>
      <c r="C8" s="140" t="n"/>
      <c r="D8" s="140" t="n"/>
      <c r="E8" s="140" t="n"/>
      <c r="F8" s="140" t="n"/>
      <c r="G8" s="140" t="inlineStr">
        <is>
          <t>To approach</t>
        </is>
      </c>
      <c r="H8" s="140" t="n"/>
      <c r="I8" s="140" t="n"/>
      <c r="J8" s="140" t="n"/>
      <c r="K8" s="140" t="n"/>
      <c r="L8" s="140" t="n"/>
      <c r="M8" s="116" t="n"/>
      <c r="N8" s="119" t="inlineStr">
        <is>
          <t>Excl VAT</t>
        </is>
      </c>
      <c r="O8" s="141" t="n"/>
    </row>
    <row r="9" ht="15" customHeight="1" s="106">
      <c r="A9" s="136" t="inlineStr">
        <is>
          <t>SUP-005</t>
        </is>
      </c>
      <c r="B9" s="140" t="n"/>
      <c r="C9" s="140" t="n"/>
      <c r="D9" s="140" t="n"/>
      <c r="E9" s="140" t="n"/>
      <c r="F9" s="140" t="n"/>
      <c r="G9" s="140" t="inlineStr">
        <is>
          <t>To approach</t>
        </is>
      </c>
      <c r="H9" s="140" t="n"/>
      <c r="I9" s="140" t="n"/>
      <c r="J9" s="140" t="n"/>
      <c r="K9" s="140" t="n"/>
      <c r="L9" s="140" t="n"/>
      <c r="M9" s="116" t="n"/>
      <c r="N9" s="119" t="inlineStr">
        <is>
          <t>Excl VAT</t>
        </is>
      </c>
      <c r="O9" s="141" t="n"/>
    </row>
    <row r="10" ht="15" customHeight="1" s="106">
      <c r="A10" s="136" t="inlineStr">
        <is>
          <t>SUP-006</t>
        </is>
      </c>
      <c r="B10" s="140" t="n"/>
      <c r="C10" s="140" t="n"/>
      <c r="D10" s="140" t="n"/>
      <c r="E10" s="140" t="n"/>
      <c r="F10" s="140" t="n"/>
      <c r="G10" s="140" t="inlineStr">
        <is>
          <t>To approach</t>
        </is>
      </c>
      <c r="H10" s="140" t="n"/>
      <c r="I10" s="140" t="n"/>
      <c r="J10" s="140" t="n"/>
      <c r="K10" s="140" t="n"/>
      <c r="L10" s="140" t="n"/>
      <c r="M10" s="116" t="n"/>
      <c r="N10" s="119" t="inlineStr">
        <is>
          <t>Excl VAT</t>
        </is>
      </c>
      <c r="O10" s="141" t="n"/>
    </row>
    <row r="11" ht="15" customHeight="1" s="106">
      <c r="A11" s="136" t="inlineStr">
        <is>
          <t>SUP-007</t>
        </is>
      </c>
      <c r="B11" s="140" t="n"/>
      <c r="C11" s="140" t="n"/>
      <c r="D11" s="140" t="n"/>
      <c r="E11" s="140" t="n"/>
      <c r="F11" s="140" t="n"/>
      <c r="G11" s="140" t="inlineStr">
        <is>
          <t>To approach</t>
        </is>
      </c>
      <c r="H11" s="140" t="n"/>
      <c r="I11" s="140" t="n"/>
      <c r="J11" s="140" t="n"/>
      <c r="K11" s="140" t="n"/>
      <c r="L11" s="140" t="n"/>
      <c r="M11" s="116" t="n"/>
      <c r="N11" s="119" t="inlineStr">
        <is>
          <t>Excl VAT</t>
        </is>
      </c>
      <c r="O11" s="141" t="n"/>
    </row>
    <row r="12" ht="15" customHeight="1" s="106">
      <c r="A12" s="136" t="inlineStr">
        <is>
          <t>SUP-008</t>
        </is>
      </c>
      <c r="B12" s="140" t="n"/>
      <c r="C12" s="140" t="n"/>
      <c r="D12" s="140" t="n"/>
      <c r="E12" s="140" t="n"/>
      <c r="F12" s="140" t="n"/>
      <c r="G12" s="140" t="inlineStr">
        <is>
          <t>To approach</t>
        </is>
      </c>
      <c r="H12" s="140" t="n"/>
      <c r="I12" s="140" t="n"/>
      <c r="J12" s="140" t="n"/>
      <c r="K12" s="140" t="n"/>
      <c r="L12" s="140" t="n"/>
      <c r="M12" s="116" t="n"/>
      <c r="N12" s="119" t="inlineStr">
        <is>
          <t>Excl VAT</t>
        </is>
      </c>
      <c r="O12" s="141" t="n"/>
    </row>
    <row r="13" ht="15" customHeight="1" s="106">
      <c r="A13" s="143" t="n"/>
      <c r="B13" s="140" t="n"/>
      <c r="C13" s="140" t="n"/>
      <c r="D13" s="140" t="n"/>
      <c r="E13" s="140" t="n"/>
      <c r="F13" s="140" t="n"/>
      <c r="G13" s="140" t="n"/>
      <c r="H13" s="140" t="n"/>
      <c r="I13" s="140" t="n"/>
      <c r="J13" s="140" t="n"/>
      <c r="K13" s="140" t="n"/>
      <c r="L13" s="140" t="n"/>
      <c r="M13" s="140" t="n"/>
      <c r="N13" s="141" t="inlineStr">
        <is>
          <t>Excl VAT</t>
        </is>
      </c>
      <c r="O13" s="140" t="n"/>
    </row>
    <row r="14" ht="15" customHeight="1" s="106">
      <c r="A14" s="143" t="n"/>
      <c r="B14" s="140" t="n"/>
      <c r="C14" s="140" t="n"/>
      <c r="D14" s="140" t="n"/>
      <c r="E14" s="140" t="n"/>
      <c r="F14" s="140" t="n"/>
      <c r="G14" s="140" t="n"/>
      <c r="H14" s="140" t="n"/>
      <c r="I14" s="140" t="n"/>
      <c r="J14" s="140" t="n"/>
      <c r="K14" s="140" t="n"/>
      <c r="L14" s="140" t="n"/>
      <c r="M14" s="140" t="n"/>
      <c r="N14" s="141" t="inlineStr">
        <is>
          <t>Excl VAT</t>
        </is>
      </c>
      <c r="O14" s="140" t="n"/>
    </row>
    <row r="15" ht="15" customHeight="1" s="106">
      <c r="A15" s="143" t="n"/>
      <c r="B15" s="140" t="n"/>
      <c r="C15" s="140" t="n"/>
      <c r="D15" s="140" t="n"/>
      <c r="E15" s="140" t="n"/>
      <c r="F15" s="140" t="n"/>
      <c r="G15" s="140" t="n"/>
      <c r="H15" s="140" t="n"/>
      <c r="I15" s="140" t="n"/>
      <c r="J15" s="140" t="n"/>
      <c r="K15" s="140" t="n"/>
      <c r="L15" s="140" t="n"/>
      <c r="M15" s="140" t="n"/>
      <c r="N15" s="141" t="inlineStr">
        <is>
          <t>Excl VAT</t>
        </is>
      </c>
      <c r="O15" s="140" t="n"/>
    </row>
    <row r="16" ht="15" customHeight="1" s="106">
      <c r="A16" s="143" t="n"/>
      <c r="B16" s="140" t="n"/>
      <c r="C16" s="140" t="n"/>
      <c r="D16" s="140" t="n"/>
      <c r="E16" s="140" t="n"/>
      <c r="F16" s="140" t="n"/>
      <c r="G16" s="140" t="n"/>
      <c r="H16" s="140" t="n"/>
      <c r="I16" s="140" t="n"/>
      <c r="J16" s="140" t="n"/>
      <c r="K16" s="140" t="n"/>
      <c r="L16" s="140" t="n"/>
      <c r="M16" s="140" t="n"/>
      <c r="N16" s="141" t="inlineStr">
        <is>
          <t>Excl VAT</t>
        </is>
      </c>
      <c r="O16" s="140" t="n"/>
    </row>
    <row r="17" ht="15" customHeight="1" s="106">
      <c r="A17" s="143" t="n"/>
      <c r="B17" s="140" t="n"/>
      <c r="C17" s="140" t="n"/>
      <c r="D17" s="140" t="n"/>
      <c r="E17" s="140" t="n"/>
      <c r="F17" s="140" t="n"/>
      <c r="G17" s="140" t="n"/>
      <c r="H17" s="140" t="n"/>
      <c r="I17" s="140" t="n"/>
      <c r="J17" s="140" t="n"/>
      <c r="K17" s="140" t="n"/>
      <c r="L17" s="140" t="n"/>
      <c r="M17" s="140" t="n"/>
      <c r="N17" s="141" t="inlineStr">
        <is>
          <t>Excl VAT</t>
        </is>
      </c>
      <c r="O17" s="140" t="n"/>
    </row>
    <row r="18" ht="15" customHeight="1" s="106">
      <c r="A18" s="143" t="n"/>
      <c r="B18" s="140" t="n"/>
      <c r="C18" s="140" t="n"/>
      <c r="D18" s="140" t="n"/>
      <c r="E18" s="140" t="n"/>
      <c r="F18" s="140" t="n"/>
      <c r="G18" s="140" t="n"/>
      <c r="H18" s="140" t="n"/>
      <c r="I18" s="140" t="n"/>
      <c r="J18" s="140" t="n"/>
      <c r="K18" s="140" t="n"/>
      <c r="L18" s="140" t="n"/>
      <c r="M18" s="140" t="n"/>
      <c r="N18" s="141" t="inlineStr">
        <is>
          <t>Excl VAT</t>
        </is>
      </c>
      <c r="O18" s="140" t="n"/>
    </row>
    <row r="19" ht="15" customHeight="1" s="106">
      <c r="A19" s="143" t="n"/>
      <c r="B19" s="140" t="n"/>
      <c r="C19" s="140" t="n"/>
      <c r="D19" s="140" t="n"/>
      <c r="E19" s="140" t="n"/>
      <c r="F19" s="140" t="n"/>
      <c r="G19" s="140" t="n"/>
      <c r="H19" s="140" t="n"/>
      <c r="I19" s="140" t="n"/>
      <c r="J19" s="140" t="n"/>
      <c r="K19" s="140" t="n"/>
      <c r="L19" s="140" t="n"/>
      <c r="M19" s="140" t="n"/>
      <c r="N19" s="141" t="inlineStr">
        <is>
          <t>Excl VAT</t>
        </is>
      </c>
      <c r="O19" s="140" t="n"/>
    </row>
    <row r="20" ht="15" customHeight="1" s="106">
      <c r="A20" s="143" t="n"/>
      <c r="B20" s="140" t="n"/>
      <c r="C20" s="140" t="n"/>
      <c r="D20" s="140" t="n"/>
      <c r="E20" s="140" t="n"/>
      <c r="F20" s="140" t="n"/>
      <c r="G20" s="140" t="n"/>
      <c r="H20" s="140" t="n"/>
      <c r="I20" s="140" t="n"/>
      <c r="J20" s="140" t="n"/>
      <c r="K20" s="140" t="n"/>
      <c r="L20" s="140" t="n"/>
      <c r="M20" s="140" t="n"/>
      <c r="N20" s="141" t="inlineStr">
        <is>
          <t>Excl VAT</t>
        </is>
      </c>
      <c r="O20" s="140" t="n"/>
    </row>
    <row r="21" ht="15" customHeight="1" s="106">
      <c r="A21" s="143" t="n"/>
      <c r="B21" s="140" t="n"/>
      <c r="C21" s="140" t="n"/>
      <c r="D21" s="140" t="n"/>
      <c r="E21" s="140" t="n"/>
      <c r="F21" s="140" t="n"/>
      <c r="G21" s="140" t="n"/>
      <c r="H21" s="140" t="n"/>
      <c r="I21" s="140" t="n"/>
      <c r="J21" s="140" t="n"/>
      <c r="K21" s="140" t="n"/>
      <c r="L21" s="140" t="n"/>
      <c r="M21" s="140" t="n"/>
      <c r="N21" s="141" t="inlineStr">
        <is>
          <t>Excl VAT</t>
        </is>
      </c>
      <c r="O21" s="140" t="n"/>
    </row>
    <row r="22" ht="15" customHeight="1" s="106">
      <c r="A22" s="143" t="n"/>
      <c r="B22" s="140" t="n"/>
      <c r="C22" s="140" t="n"/>
      <c r="D22" s="140" t="n"/>
      <c r="E22" s="140" t="n"/>
      <c r="F22" s="140" t="n"/>
      <c r="G22" s="140" t="n"/>
      <c r="H22" s="140" t="n"/>
      <c r="I22" s="140" t="n"/>
      <c r="J22" s="140" t="n"/>
      <c r="K22" s="140" t="n"/>
      <c r="L22" s="140" t="n"/>
      <c r="M22" s="140" t="n"/>
      <c r="N22" s="141" t="inlineStr">
        <is>
          <t>Excl VAT</t>
        </is>
      </c>
      <c r="O22" s="140" t="n"/>
    </row>
    <row r="23" ht="15" customHeight="1" s="106">
      <c r="A23" s="143" t="n"/>
      <c r="B23" s="140" t="n"/>
      <c r="C23" s="140" t="n"/>
      <c r="D23" s="140" t="n"/>
      <c r="E23" s="140" t="n"/>
      <c r="F23" s="140" t="n"/>
      <c r="G23" s="140" t="n"/>
      <c r="H23" s="140" t="n"/>
      <c r="I23" s="140" t="n"/>
      <c r="J23" s="140" t="n"/>
      <c r="K23" s="140" t="n"/>
      <c r="L23" s="140" t="n"/>
      <c r="M23" s="140" t="n"/>
      <c r="N23" s="141" t="inlineStr">
        <is>
          <t>Excl VAT</t>
        </is>
      </c>
      <c r="O23" s="140" t="n"/>
    </row>
    <row r="24" ht="15" customHeight="1" s="106">
      <c r="A24" s="143" t="n"/>
      <c r="B24" s="140" t="n"/>
      <c r="C24" s="140" t="n"/>
      <c r="D24" s="140" t="n"/>
      <c r="E24" s="140" t="n"/>
      <c r="F24" s="140" t="n"/>
      <c r="G24" s="140" t="n"/>
      <c r="H24" s="140" t="n"/>
      <c r="I24" s="140" t="n"/>
      <c r="J24" s="140" t="n"/>
      <c r="K24" s="140" t="n"/>
      <c r="L24" s="140" t="n"/>
      <c r="M24" s="140" t="n"/>
      <c r="N24" s="141" t="inlineStr">
        <is>
          <t>Excl VAT</t>
        </is>
      </c>
      <c r="O24" s="140" t="n"/>
    </row>
    <row r="25" ht="15" customHeight="1" s="106">
      <c r="A25" s="143" t="n"/>
      <c r="B25" s="140" t="n"/>
      <c r="C25" s="140" t="n"/>
      <c r="D25" s="140" t="n"/>
      <c r="E25" s="140" t="n"/>
      <c r="F25" s="140" t="n"/>
      <c r="G25" s="140" t="n"/>
      <c r="H25" s="140" t="n"/>
      <c r="I25" s="140" t="n"/>
      <c r="J25" s="140" t="n"/>
      <c r="K25" s="140" t="n"/>
      <c r="L25" s="140" t="n"/>
      <c r="M25" s="140" t="n"/>
      <c r="N25" s="141" t="inlineStr">
        <is>
          <t>Excl VAT</t>
        </is>
      </c>
      <c r="O25" s="140" t="n"/>
    </row>
    <row r="26" ht="15" customHeight="1" s="106">
      <c r="A26" s="143" t="n"/>
      <c r="B26" s="140" t="n"/>
      <c r="C26" s="140" t="n"/>
      <c r="D26" s="140" t="n"/>
      <c r="E26" s="140" t="n"/>
      <c r="F26" s="140" t="n"/>
      <c r="G26" s="140" t="n"/>
      <c r="H26" s="140" t="n"/>
      <c r="I26" s="140" t="n"/>
      <c r="J26" s="140" t="n"/>
      <c r="K26" s="140" t="n"/>
      <c r="L26" s="140" t="n"/>
      <c r="M26" s="140" t="n"/>
      <c r="N26" s="141" t="inlineStr">
        <is>
          <t>Excl VAT</t>
        </is>
      </c>
      <c r="O26" s="140" t="n"/>
    </row>
    <row r="27" ht="15" customHeight="1" s="106">
      <c r="A27" s="143" t="n"/>
      <c r="B27" s="140" t="n"/>
      <c r="C27" s="140" t="n"/>
      <c r="D27" s="140" t="n"/>
      <c r="E27" s="140" t="n"/>
      <c r="F27" s="140" t="n"/>
      <c r="G27" s="140" t="n"/>
      <c r="H27" s="140" t="n"/>
      <c r="I27" s="140" t="n"/>
      <c r="J27" s="140" t="n"/>
      <c r="K27" s="140" t="n"/>
      <c r="L27" s="140" t="n"/>
      <c r="M27" s="140" t="n"/>
      <c r="N27" s="141" t="inlineStr">
        <is>
          <t>Excl VAT</t>
        </is>
      </c>
      <c r="O27" s="140" t="n"/>
    </row>
    <row r="28" ht="15" customHeight="1" s="106">
      <c r="A28" s="143" t="n"/>
      <c r="B28" s="140" t="n"/>
      <c r="C28" s="140" t="n"/>
      <c r="D28" s="140" t="n"/>
      <c r="E28" s="140" t="n"/>
      <c r="F28" s="140" t="n"/>
      <c r="G28" s="140" t="n"/>
      <c r="H28" s="140" t="n"/>
      <c r="I28" s="140" t="n"/>
      <c r="J28" s="140" t="n"/>
      <c r="K28" s="140" t="n"/>
      <c r="L28" s="140" t="n"/>
      <c r="M28" s="140" t="n"/>
      <c r="N28" s="141" t="inlineStr">
        <is>
          <t>Excl VAT</t>
        </is>
      </c>
      <c r="O28" s="140" t="n"/>
    </row>
    <row r="29" ht="15" customHeight="1" s="106">
      <c r="A29" s="143" t="n"/>
      <c r="B29" s="140" t="n"/>
      <c r="C29" s="140" t="n"/>
      <c r="D29" s="140" t="n"/>
      <c r="E29" s="140" t="n"/>
      <c r="F29" s="140" t="n"/>
      <c r="G29" s="140" t="n"/>
      <c r="H29" s="140" t="n"/>
      <c r="I29" s="140" t="n"/>
      <c r="J29" s="140" t="n"/>
      <c r="K29" s="140" t="n"/>
      <c r="L29" s="140" t="n"/>
      <c r="M29" s="140" t="n"/>
      <c r="N29" s="141" t="inlineStr">
        <is>
          <t>Excl VAT</t>
        </is>
      </c>
      <c r="O29" s="140" t="n"/>
    </row>
    <row r="30" ht="15" customHeight="1" s="106">
      <c r="A30" s="143" t="n"/>
      <c r="B30" s="140" t="n"/>
      <c r="C30" s="140" t="n"/>
      <c r="D30" s="140" t="n"/>
      <c r="E30" s="140" t="n"/>
      <c r="F30" s="140" t="n"/>
      <c r="G30" s="140" t="n"/>
      <c r="H30" s="140" t="n"/>
      <c r="I30" s="140" t="n"/>
      <c r="J30" s="140" t="n"/>
      <c r="K30" s="140" t="n"/>
      <c r="L30" s="140" t="n"/>
      <c r="M30" s="140" t="n"/>
      <c r="N30" s="141" t="inlineStr">
        <is>
          <t>Excl VAT</t>
        </is>
      </c>
      <c r="O30" s="140" t="n"/>
    </row>
    <row r="31" ht="15" customHeight="1" s="106">
      <c r="A31" s="143" t="n"/>
      <c r="B31" s="140" t="n"/>
      <c r="C31" s="140" t="n"/>
      <c r="D31" s="140" t="n"/>
      <c r="E31" s="140" t="n"/>
      <c r="F31" s="140" t="n"/>
      <c r="G31" s="140" t="n"/>
      <c r="H31" s="140" t="n"/>
      <c r="I31" s="140" t="n"/>
      <c r="J31" s="140" t="n"/>
      <c r="K31" s="140" t="n"/>
      <c r="L31" s="140" t="n"/>
      <c r="M31" s="140" t="n"/>
      <c r="N31" s="141" t="inlineStr">
        <is>
          <t>Excl VAT</t>
        </is>
      </c>
      <c r="O31" s="140" t="n"/>
    </row>
    <row r="32" ht="15" customHeight="1" s="106">
      <c r="A32" s="143" t="n"/>
      <c r="B32" s="140" t="n"/>
      <c r="C32" s="140" t="n"/>
      <c r="D32" s="140" t="n"/>
      <c r="E32" s="140" t="n"/>
      <c r="F32" s="140" t="n"/>
      <c r="G32" s="140" t="n"/>
      <c r="H32" s="140" t="n"/>
      <c r="I32" s="140" t="n"/>
      <c r="J32" s="140" t="n"/>
      <c r="K32" s="140" t="n"/>
      <c r="L32" s="140" t="n"/>
      <c r="M32" s="140" t="n"/>
      <c r="N32" s="141" t="inlineStr">
        <is>
          <t>Excl VAT</t>
        </is>
      </c>
      <c r="O32" s="140" t="n"/>
    </row>
    <row r="33" ht="15" customHeight="1" s="106">
      <c r="A33" s="143" t="n"/>
      <c r="B33" s="140" t="n"/>
      <c r="C33" s="140" t="n"/>
      <c r="D33" s="140" t="n"/>
      <c r="E33" s="140" t="n"/>
      <c r="F33" s="140" t="n"/>
      <c r="G33" s="140" t="n"/>
      <c r="H33" s="140" t="n"/>
      <c r="I33" s="140" t="n"/>
      <c r="J33" s="140" t="n"/>
      <c r="K33" s="140" t="n"/>
      <c r="L33" s="140" t="n"/>
      <c r="M33" s="140" t="n"/>
      <c r="N33" s="141" t="inlineStr">
        <is>
          <t>Excl VAT</t>
        </is>
      </c>
      <c r="O33" s="140" t="n"/>
    </row>
    <row r="34" ht="15" customHeight="1" s="106">
      <c r="A34" s="143" t="n"/>
      <c r="B34" s="140" t="n"/>
      <c r="C34" s="140" t="n"/>
      <c r="D34" s="140" t="n"/>
      <c r="E34" s="140" t="n"/>
      <c r="F34" s="140" t="n"/>
      <c r="G34" s="140" t="n"/>
      <c r="H34" s="140" t="n"/>
      <c r="I34" s="140" t="n"/>
      <c r="J34" s="140" t="n"/>
      <c r="K34" s="140" t="n"/>
      <c r="L34" s="140" t="n"/>
      <c r="M34" s="140" t="n"/>
      <c r="N34" s="141" t="inlineStr">
        <is>
          <t>Excl VAT</t>
        </is>
      </c>
      <c r="O34" s="140" t="n"/>
    </row>
  </sheetData>
  <sheetProtection selectLockedCells="0" selectUnlockedCells="0" sheet="1" objects="0" insertRows="1" insertHyperlinks="1" autoFilter="0" scenarios="0" formatColumns="0" deleteColumns="1" insertColumns="1" pivotTables="1" deleteRows="1" formatCells="0" formatRows="0" sort="0"/>
  <autoFilter ref="A4:O34"/>
  <mergeCells count="2">
    <mergeCell ref="A1:O1"/>
    <mergeCell ref="A2:O2"/>
  </mergeCells>
  <dataValidations count="2">
    <dataValidation sqref="N5:N34" showDropDown="0" showInputMessage="0" showErrorMessage="1" allowBlank="0" errorTitle="VAT basis" error="Pick Excl VAT or Incl VAT. This decides whether the model strips VAT from that supplier's prices." type="list" errorStyle="stop" operator="between">
      <formula1>$Q$5:$Q$6</formula1>
      <formula2>0</formula2>
    </dataValidation>
    <dataValidation sqref="O5:O34" showDropDown="0" showInputMessage="0" showErrorMessage="0" allowBlank="1" type="list" errorStyle="stop" operator="between">
      <formula1>$R$5:$R$7</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AT167"/>
  <sheetViews>
    <sheetView showFormulas="0" showGridLines="0" showRowColHeaders="1" showZeros="1" rightToLeft="0" tabSelected="0" showOutlineSymbols="1" defaultGridColor="1"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baseColWidth="8" defaultColWidth="8.6796875" defaultRowHeight="15" zeroHeight="0" outlineLevelRow="0"/>
  <cols>
    <col width="22" customWidth="1" style="105" min="1" max="1"/>
    <col width="18" customWidth="1" style="105" min="2" max="2"/>
    <col width="42" customWidth="1" style="105" min="3" max="3"/>
    <col width="10" customWidth="1" style="105" min="4" max="4"/>
    <col width="11" customWidth="1" style="105" min="5" max="5"/>
    <col width="40" customWidth="1" style="105" min="6" max="6"/>
    <col width="22" customWidth="1" style="105" min="7" max="7"/>
    <col width="10" customWidth="1" style="105" min="8" max="8"/>
    <col width="11" customWidth="1" style="105" min="9" max="9"/>
    <col width="14" customWidth="1" style="105" min="10" max="10"/>
    <col width="13" customWidth="1" style="105" min="11" max="11"/>
    <col width="15" customWidth="1" style="105" min="12" max="12"/>
    <col width="22" customWidth="1" style="105" min="13" max="13"/>
    <col width="10" customWidth="1" style="105" min="14" max="14"/>
    <col width="11" customWidth="1" style="105" min="15" max="15"/>
    <col width="14" customWidth="1" style="105" min="16" max="16"/>
    <col width="13" customWidth="1" style="105" min="17" max="17"/>
    <col width="15" customWidth="1" style="105" min="18" max="18"/>
    <col width="22" customWidth="1" style="105" min="19" max="19"/>
    <col width="10" customWidth="1" style="105" min="20" max="20"/>
    <col width="11" customWidth="1" style="105" min="21" max="21"/>
    <col width="14" customWidth="1" style="105" min="22" max="22"/>
    <col width="13" customWidth="1" style="105" min="23" max="23"/>
    <col width="15" customWidth="1" style="105" min="24" max="24"/>
    <col width="22" customWidth="1" style="105" min="25" max="25"/>
    <col width="10" customWidth="1" style="105" min="26" max="26"/>
    <col width="11" customWidth="1" style="105" min="27" max="27"/>
    <col width="14" customWidth="1" style="105" min="28" max="28"/>
    <col width="13" customWidth="1" style="105" min="29" max="29"/>
    <col width="15" customWidth="1" style="105" min="30" max="30"/>
    <col width="22" customWidth="1" style="105" min="31" max="31"/>
    <col width="10" customWidth="1" style="105" min="32" max="32"/>
    <col width="11" customWidth="1" style="105" min="33" max="33"/>
    <col width="14" customWidth="1" style="105" min="34" max="34"/>
    <col width="13" customWidth="1" style="105" min="35" max="35"/>
    <col width="15" customWidth="1" style="105" min="36" max="36"/>
    <col width="16" customWidth="1" style="105" min="37" max="37"/>
    <col width="24" customWidth="1" style="105" min="38" max="38"/>
    <col width="17" customWidth="1" style="105" min="39" max="39"/>
    <col width="9" customWidth="1" style="105" min="40" max="40"/>
    <col width="16" customWidth="1" style="105" min="41" max="41"/>
    <col width="11" customWidth="1" style="105" min="42" max="42"/>
    <col width="14" customWidth="1" style="105" min="43" max="43"/>
    <col hidden="1" width="20" customWidth="1" style="105" min="45" max="46"/>
  </cols>
  <sheetData>
    <row r="1" ht="30" customHeight="1" s="106">
      <c r="A1" s="107" t="inlineStr">
        <is>
          <t>INGREDIENT SKU MASTER  -  5 SUPPLIER PRICE SLOTS</t>
        </is>
      </c>
    </row>
    <row r="2" ht="18" customHeight="1" s="106">
      <c r="A2" s="108" t="inlineStr">
        <is>
          <t>Type each supplier's pack price into their slot. Columns AK-AQ pick the cheapest automatically. USABLE Cost per Base Unit (column AM) is the single number every recipe in this workbook reads.</t>
        </is>
      </c>
    </row>
    <row r="3" ht="15" customHeight="1" s="106">
      <c r="A3" s="109" t="inlineStr">
        <is>
          <t>THE ITEM</t>
        </is>
      </c>
      <c r="B3" s="110" t="n"/>
      <c r="C3" s="110" t="n"/>
      <c r="D3" s="110" t="n"/>
      <c r="E3" s="110" t="n"/>
      <c r="F3" s="111" t="n"/>
      <c r="G3" s="144" t="inlineStr">
        <is>
          <t>SUPPLIER 1</t>
        </is>
      </c>
      <c r="H3" s="110" t="n"/>
      <c r="I3" s="110" t="n"/>
      <c r="J3" s="110" t="n"/>
      <c r="K3" s="110" t="n"/>
      <c r="L3" s="111" t="n"/>
      <c r="M3" s="145" t="inlineStr">
        <is>
          <t>SUPPLIER 2</t>
        </is>
      </c>
      <c r="N3" s="110" t="n"/>
      <c r="O3" s="110" t="n"/>
      <c r="P3" s="110" t="n"/>
      <c r="Q3" s="110" t="n"/>
      <c r="R3" s="111" t="n"/>
      <c r="S3" s="144" t="inlineStr">
        <is>
          <t>SUPPLIER 3</t>
        </is>
      </c>
      <c r="T3" s="110" t="n"/>
      <c r="U3" s="110" t="n"/>
      <c r="V3" s="110" t="n"/>
      <c r="W3" s="110" t="n"/>
      <c r="X3" s="111" t="n"/>
      <c r="Y3" s="145" t="inlineStr">
        <is>
          <t>SUPPLIER 4</t>
        </is>
      </c>
      <c r="Z3" s="110" t="n"/>
      <c r="AA3" s="110" t="n"/>
      <c r="AB3" s="110" t="n"/>
      <c r="AC3" s="110" t="n"/>
      <c r="AD3" s="111" t="n"/>
      <c r="AE3" s="144" t="inlineStr">
        <is>
          <t>SUPPLIER 5</t>
        </is>
      </c>
      <c r="AF3" s="110" t="n"/>
      <c r="AG3" s="110" t="n"/>
      <c r="AH3" s="110" t="n"/>
      <c r="AI3" s="110" t="n"/>
      <c r="AJ3" s="111" t="n"/>
      <c r="AK3" s="128" t="inlineStr">
        <is>
          <t>LOWEST PRICE  -  CALCULATED, DO NOT TYPE HERE</t>
        </is>
      </c>
      <c r="AL3" s="110" t="n"/>
      <c r="AM3" s="110" t="n"/>
      <c r="AN3" s="110" t="n"/>
      <c r="AO3" s="110" t="n"/>
      <c r="AP3" s="110" t="n"/>
      <c r="AQ3" s="111" t="n"/>
    </row>
    <row r="4" ht="43.5" customHeight="1" s="106">
      <c r="A4" s="112" t="inlineStr">
        <is>
          <t>Ingredient SKU</t>
        </is>
      </c>
      <c r="B4" s="112" t="inlineStr">
        <is>
          <t>Category</t>
        </is>
      </c>
      <c r="C4" s="112" t="inlineStr">
        <is>
          <t>Item Description</t>
        </is>
      </c>
      <c r="D4" s="112" t="inlineStr">
        <is>
          <t>Base Unit</t>
        </is>
      </c>
      <c r="E4" s="112" t="inlineStr">
        <is>
          <t>Yield %</t>
        </is>
      </c>
      <c r="F4" s="112" t="inlineStr">
        <is>
          <t>Spec / Notes</t>
        </is>
      </c>
      <c r="G4" s="112" t="inlineStr">
        <is>
          <t>Supplier Name</t>
        </is>
      </c>
      <c r="H4" s="112" t="inlineStr">
        <is>
          <t>Pack Qty</t>
        </is>
      </c>
      <c r="I4" s="112" t="inlineStr">
        <is>
          <t>Pack Unit</t>
        </is>
      </c>
      <c r="J4" s="112" t="inlineStr">
        <is>
          <t>Pack Cost
(as quoted)</t>
        </is>
      </c>
      <c r="K4" s="112" t="inlineStr">
        <is>
          <t>Quote Date</t>
        </is>
      </c>
      <c r="L4" s="112" t="inlineStr">
        <is>
          <t>Cost per
Base Unit</t>
        </is>
      </c>
      <c r="M4" s="112" t="inlineStr">
        <is>
          <t>Supplier Name</t>
        </is>
      </c>
      <c r="N4" s="112" t="inlineStr">
        <is>
          <t>Pack Qty</t>
        </is>
      </c>
      <c r="O4" s="112" t="inlineStr">
        <is>
          <t>Pack Unit</t>
        </is>
      </c>
      <c r="P4" s="112" t="inlineStr">
        <is>
          <t>Pack Cost
(as quoted)</t>
        </is>
      </c>
      <c r="Q4" s="112" t="inlineStr">
        <is>
          <t>Quote Date</t>
        </is>
      </c>
      <c r="R4" s="112" t="inlineStr">
        <is>
          <t>Cost per
Base Unit</t>
        </is>
      </c>
      <c r="S4" s="112" t="inlineStr">
        <is>
          <t>Supplier Name</t>
        </is>
      </c>
      <c r="T4" s="112" t="inlineStr">
        <is>
          <t>Pack Qty</t>
        </is>
      </c>
      <c r="U4" s="112" t="inlineStr">
        <is>
          <t>Pack Unit</t>
        </is>
      </c>
      <c r="V4" s="112" t="inlineStr">
        <is>
          <t>Pack Cost
(as quoted)</t>
        </is>
      </c>
      <c r="W4" s="112" t="inlineStr">
        <is>
          <t>Quote Date</t>
        </is>
      </c>
      <c r="X4" s="112" t="inlineStr">
        <is>
          <t>Cost per
Base Unit</t>
        </is>
      </c>
      <c r="Y4" s="112" t="inlineStr">
        <is>
          <t>Supplier Name</t>
        </is>
      </c>
      <c r="Z4" s="112" t="inlineStr">
        <is>
          <t>Pack Qty</t>
        </is>
      </c>
      <c r="AA4" s="112" t="inlineStr">
        <is>
          <t>Pack Unit</t>
        </is>
      </c>
      <c r="AB4" s="112" t="inlineStr">
        <is>
          <t>Pack Cost
(as quoted)</t>
        </is>
      </c>
      <c r="AC4" s="112" t="inlineStr">
        <is>
          <t>Quote Date</t>
        </is>
      </c>
      <c r="AD4" s="112" t="inlineStr">
        <is>
          <t>Cost per
Base Unit</t>
        </is>
      </c>
      <c r="AE4" s="112" t="inlineStr">
        <is>
          <t>Supplier Name</t>
        </is>
      </c>
      <c r="AF4" s="112" t="inlineStr">
        <is>
          <t>Pack Qty</t>
        </is>
      </c>
      <c r="AG4" s="112" t="inlineStr">
        <is>
          <t>Pack Unit</t>
        </is>
      </c>
      <c r="AH4" s="112" t="inlineStr">
        <is>
          <t>Pack Cost
(as quoted)</t>
        </is>
      </c>
      <c r="AI4" s="112" t="inlineStr">
        <is>
          <t>Quote Date</t>
        </is>
      </c>
      <c r="AJ4" s="112" t="inlineStr">
        <is>
          <t>Cost per
Base Unit</t>
        </is>
      </c>
      <c r="AK4" s="112" t="inlineStr">
        <is>
          <t>LOWEST Cost
per Base Unit</t>
        </is>
      </c>
      <c r="AL4" s="112" t="inlineStr">
        <is>
          <t>CHEAPEST Supplier</t>
        </is>
      </c>
      <c r="AM4" s="112" t="inlineStr">
        <is>
          <t>USABLE Cost
per Base Unit
(after yield)</t>
        </is>
      </c>
      <c r="AN4" s="112" t="inlineStr">
        <is>
          <t>Quotes
Held</t>
        </is>
      </c>
      <c r="AO4" s="112" t="inlineStr">
        <is>
          <t>Highest Cost
per Base Unit</t>
        </is>
      </c>
      <c r="AP4" s="112" t="inlineStr">
        <is>
          <t>Price
Spread</t>
        </is>
      </c>
      <c r="AQ4" s="112" t="inlineStr">
        <is>
          <t>Best Quote
Date</t>
        </is>
      </c>
    </row>
    <row r="5" ht="15" customHeight="1" s="106">
      <c r="A5" s="134" t="inlineStr">
        <is>
          <t>PP-WHEAT-SA</t>
        </is>
      </c>
      <c r="B5" s="138" t="inlineStr">
        <is>
          <t>Flour / Dough</t>
        </is>
      </c>
      <c r="C5" s="113" t="inlineStr">
        <is>
          <t>SA stone-milled whole wheat flour</t>
        </is>
      </c>
      <c r="D5" s="139" t="inlineStr">
        <is>
          <t>g</t>
        </is>
      </c>
      <c r="E5" s="146" t="n">
        <v>1</v>
      </c>
      <c r="F5" s="116" t="inlineStr">
        <is>
          <t>Strong bread wheat, protein &gt;=13%</t>
        </is>
      </c>
      <c r="G5" s="140" t="n"/>
      <c r="H5" s="147" t="n"/>
      <c r="I5" s="141" t="n"/>
      <c r="J5" s="148" t="n"/>
      <c r="K5" s="149" t="n"/>
      <c r="L5" s="150">
        <f>IF(OR($J5="",$H5="",$H5=0),"",$J5/(1+IF(IFERROR(INDEX('03 Suppliers'!$N$5:$N$34,MATCH($G5,'03 Suppliers'!$B$5:$B$34,0)),"Excl VAT")="Incl VAT",'01 Control'!$C$6,0))/($H5*IFERROR(VLOOKUP($I5,'02 Lists'!$A$5:$B$18,2,FALSE()),1)))</f>
        <v/>
      </c>
      <c r="M5" s="140" t="n"/>
      <c r="N5" s="147" t="n"/>
      <c r="O5" s="141" t="n"/>
      <c r="P5" s="148" t="n"/>
      <c r="Q5" s="149" t="n"/>
      <c r="R5" s="150">
        <f>IF(OR($P5="",$N5="",$N5=0),"",$P5/(1+IF(IFERROR(INDEX('03 Suppliers'!$N$5:$N$34,MATCH($M5,'03 Suppliers'!$B$5:$B$34,0)),"Excl VAT")="Incl VAT",'01 Control'!$C$6,0))/($N5*IFERROR(VLOOKUP($O5,'02 Lists'!$A$5:$B$18,2,FALSE()),1)))</f>
        <v/>
      </c>
      <c r="S5" s="140" t="n"/>
      <c r="T5" s="147" t="n"/>
      <c r="U5" s="141" t="n"/>
      <c r="V5" s="148" t="n"/>
      <c r="W5" s="149" t="n"/>
      <c r="X5" s="150">
        <f>IF(OR($V5="",$T5="",$T5=0),"",$V5/(1+IF(IFERROR(INDEX('03 Suppliers'!$N$5:$N$34,MATCH($S5,'03 Suppliers'!$B$5:$B$34,0)),"Excl VAT")="Incl VAT",'01 Control'!$C$6,0))/($T5*IFERROR(VLOOKUP($U5,'02 Lists'!$A$5:$B$18,2,FALSE()),1)))</f>
        <v/>
      </c>
      <c r="Y5" s="140" t="n"/>
      <c r="Z5" s="147" t="n"/>
      <c r="AA5" s="141" t="n"/>
      <c r="AB5" s="148" t="n"/>
      <c r="AC5" s="149" t="n"/>
      <c r="AD5" s="150">
        <f>IF(OR($AB5="",$Z5="",$Z5=0),"",$AB5/(1+IF(IFERROR(INDEX('03 Suppliers'!$N$5:$N$34,MATCH($Y5,'03 Suppliers'!$B$5:$B$34,0)),"Excl VAT")="Incl VAT",'01 Control'!$C$6,0))/($Z5*IFERROR(VLOOKUP($AA5,'02 Lists'!$A$5:$B$18,2,FALSE()),1)))</f>
        <v/>
      </c>
      <c r="AE5" s="140" t="n"/>
      <c r="AF5" s="147" t="n"/>
      <c r="AG5" s="141" t="n"/>
      <c r="AH5" s="148" t="n"/>
      <c r="AI5" s="149" t="n"/>
      <c r="AJ5" s="150">
        <f>IF(OR($AH5="",$AF5="",$AF5=0),"",$AH5/(1+IF(IFERROR(INDEX('03 Suppliers'!$N$5:$N$34,MATCH($AE5,'03 Suppliers'!$B$5:$B$34,0)),"Excl VAT")="Incl VAT",'01 Control'!$C$6,0))/($AF5*IFERROR(VLOOKUP($AG5,'02 Lists'!$A$5:$B$18,2,FALSE()),1)))</f>
        <v/>
      </c>
      <c r="AK5" s="151">
        <f>IF(COUNT(L5,R5,X5,AD5,AJ5)=0,"",MIN(L5,R5,X5,AD5,AJ5))</f>
        <v/>
      </c>
      <c r="AL5" s="126">
        <f>IF($AK5="","",IF(L5=$AK5,$G5,IF(R5=$AK5,$M5,IF(X5=$AK5,$S5,IF(AD5=$AK5,$Y5,IF(AJ5=$AK5,$AE5,""))))))</f>
        <v/>
      </c>
      <c r="AM5" s="151">
        <f>IF($AK5="","",$AK5/IF($E5="",1,$E5))</f>
        <v/>
      </c>
      <c r="AN5" s="152">
        <f>COUNT(L5,R5,X5,AD5,AJ5)</f>
        <v/>
      </c>
      <c r="AO5" s="150">
        <f>IF(COUNT(L5,R5,X5,AD5,AJ5)=0,"",MAX(L5,R5,X5,AD5,AJ5))</f>
        <v/>
      </c>
      <c r="AP5" s="153">
        <f>IF(OR($AK5="",$AO5="",$AO5=0),"",($AO5-$AK5)/$AO5)</f>
        <v/>
      </c>
      <c r="AQ5" s="154">
        <f>IF($AK5="","",IF(L5=$AK5,$K5,IF(R5=$AK5,$Q5,IF(X5=$AK5,$W5,IF(AD5=$AK5,$AC5,IF(AJ5=$AK5,$AI5,""))))))</f>
        <v/>
      </c>
      <c r="AS5" s="142">
        <f>'02 Lists'!$A$5&amp;""</f>
        <v/>
      </c>
      <c r="AT5" s="142">
        <f>'03 Suppliers'!$B$5&amp;""</f>
        <v/>
      </c>
    </row>
    <row r="6" ht="15" customHeight="1" s="106">
      <c r="A6" s="134" t="inlineStr">
        <is>
          <t>PP-DURUM-WHOLE</t>
        </is>
      </c>
      <c r="B6" s="138" t="inlineStr">
        <is>
          <t>Flour / Dough</t>
        </is>
      </c>
      <c r="C6" s="113" t="inlineStr">
        <is>
          <t>Whole durum wheat flour</t>
        </is>
      </c>
      <c r="D6" s="139" t="inlineStr">
        <is>
          <t>g</t>
        </is>
      </c>
      <c r="E6" s="146" t="n">
        <v>1</v>
      </c>
      <c r="F6" s="116" t="inlineStr">
        <is>
          <t>Stone-milled, protein &gt;=13-14%; Protein+ prefers &gt;=14%</t>
        </is>
      </c>
      <c r="G6" s="140" t="n"/>
      <c r="H6" s="147" t="n"/>
      <c r="I6" s="141" t="n"/>
      <c r="J6" s="148" t="n"/>
      <c r="K6" s="149" t="n"/>
      <c r="L6" s="150">
        <f>IF(OR($J6="",$H6="",$H6=0),"",$J6/(1+IF(IFERROR(INDEX('03 Suppliers'!$N$5:$N$34,MATCH($G6,'03 Suppliers'!$B$5:$B$34,0)),"Excl VAT")="Incl VAT",'01 Control'!$C$6,0))/($H6*IFERROR(VLOOKUP($I6,'02 Lists'!$A$5:$B$18,2,FALSE()),1)))</f>
        <v/>
      </c>
      <c r="M6" s="140" t="n"/>
      <c r="N6" s="147" t="n"/>
      <c r="O6" s="141" t="n"/>
      <c r="P6" s="148" t="n"/>
      <c r="Q6" s="149" t="n"/>
      <c r="R6" s="150">
        <f>IF(OR($P6="",$N6="",$N6=0),"",$P6/(1+IF(IFERROR(INDEX('03 Suppliers'!$N$5:$N$34,MATCH($M6,'03 Suppliers'!$B$5:$B$34,0)),"Excl VAT")="Incl VAT",'01 Control'!$C$6,0))/($N6*IFERROR(VLOOKUP($O6,'02 Lists'!$A$5:$B$18,2,FALSE()),1)))</f>
        <v/>
      </c>
      <c r="S6" s="140" t="n"/>
      <c r="T6" s="147" t="n"/>
      <c r="U6" s="141" t="n"/>
      <c r="V6" s="148" t="n"/>
      <c r="W6" s="149" t="n"/>
      <c r="X6" s="150">
        <f>IF(OR($V6="",$T6="",$T6=0),"",$V6/(1+IF(IFERROR(INDEX('03 Suppliers'!$N$5:$N$34,MATCH($S6,'03 Suppliers'!$B$5:$B$34,0)),"Excl VAT")="Incl VAT",'01 Control'!$C$6,0))/($T6*IFERROR(VLOOKUP($U6,'02 Lists'!$A$5:$B$18,2,FALSE()),1)))</f>
        <v/>
      </c>
      <c r="Y6" s="140" t="n"/>
      <c r="Z6" s="147" t="n"/>
      <c r="AA6" s="141" t="n"/>
      <c r="AB6" s="148" t="n"/>
      <c r="AC6" s="149" t="n"/>
      <c r="AD6" s="150">
        <f>IF(OR($AB6="",$Z6="",$Z6=0),"",$AB6/(1+IF(IFERROR(INDEX('03 Suppliers'!$N$5:$N$34,MATCH($Y6,'03 Suppliers'!$B$5:$B$34,0)),"Excl VAT")="Incl VAT",'01 Control'!$C$6,0))/($Z6*IFERROR(VLOOKUP($AA6,'02 Lists'!$A$5:$B$18,2,FALSE()),1)))</f>
        <v/>
      </c>
      <c r="AE6" s="140" t="n"/>
      <c r="AF6" s="147" t="n"/>
      <c r="AG6" s="141" t="n"/>
      <c r="AH6" s="148" t="n"/>
      <c r="AI6" s="149" t="n"/>
      <c r="AJ6" s="150">
        <f>IF(OR($AH6="",$AF6="",$AF6=0),"",$AH6/(1+IF(IFERROR(INDEX('03 Suppliers'!$N$5:$N$34,MATCH($AE6,'03 Suppliers'!$B$5:$B$34,0)),"Excl VAT")="Incl VAT",'01 Control'!$C$6,0))/($AF6*IFERROR(VLOOKUP($AG6,'02 Lists'!$A$5:$B$18,2,FALSE()),1)))</f>
        <v/>
      </c>
      <c r="AK6" s="151">
        <f>IF(COUNT(L6,R6,X6,AD6,AJ6)=0,"",MIN(L6,R6,X6,AD6,AJ6))</f>
        <v/>
      </c>
      <c r="AL6" s="126">
        <f>IF($AK6="","",IF(L6=$AK6,$G6,IF(R6=$AK6,$M6,IF(X6=$AK6,$S6,IF(AD6=$AK6,$Y6,IF(AJ6=$AK6,$AE6,""))))))</f>
        <v/>
      </c>
      <c r="AM6" s="151">
        <f>IF($AK6="","",$AK6/IF($E6="",1,$E6))</f>
        <v/>
      </c>
      <c r="AN6" s="152">
        <f>COUNT(L6,R6,X6,AD6,AJ6)</f>
        <v/>
      </c>
      <c r="AO6" s="150">
        <f>IF(COUNT(L6,R6,X6,AD6,AJ6)=0,"",MAX(L6,R6,X6,AD6,AJ6))</f>
        <v/>
      </c>
      <c r="AP6" s="153">
        <f>IF(OR($AK6="",$AO6="",$AO6=0),"",($AO6-$AK6)/$AO6)</f>
        <v/>
      </c>
      <c r="AQ6" s="154">
        <f>IF($AK6="","",IF(L6=$AK6,$K6,IF(R6=$AK6,$Q6,IF(X6=$AK6,$W6,IF(AD6=$AK6,$AC6,IF(AJ6=$AK6,$AI6,""))))))</f>
        <v/>
      </c>
      <c r="AS6" s="142">
        <f>'02 Lists'!$A$6&amp;""</f>
        <v/>
      </c>
      <c r="AT6" s="142">
        <f>'03 Suppliers'!$B$6&amp;""</f>
        <v/>
      </c>
    </row>
    <row r="7" ht="15" customHeight="1" s="106">
      <c r="A7" s="134" t="inlineStr">
        <is>
          <t>PP-SORGHUM-WHITE</t>
        </is>
      </c>
      <c r="B7" s="138" t="inlineStr">
        <is>
          <t>Flour / Dough</t>
        </is>
      </c>
      <c r="C7" s="113" t="inlineStr">
        <is>
          <t>SA white sorghum flour</t>
        </is>
      </c>
      <c r="D7" s="139" t="inlineStr">
        <is>
          <t>g</t>
        </is>
      </c>
      <c r="E7" s="146" t="n">
        <v>1</v>
      </c>
      <c r="F7" s="116" t="inlineStr">
        <is>
          <t>Dehulled, fine mill &lt;=200 um</t>
        </is>
      </c>
      <c r="G7" s="140" t="n"/>
      <c r="H7" s="147" t="n"/>
      <c r="I7" s="141" t="n"/>
      <c r="J7" s="148" t="n"/>
      <c r="K7" s="149" t="n"/>
      <c r="L7" s="150">
        <f>IF(OR($J7="",$H7="",$H7=0),"",$J7/(1+IF(IFERROR(INDEX('03 Suppliers'!$N$5:$N$34,MATCH($G7,'03 Suppliers'!$B$5:$B$34,0)),"Excl VAT")="Incl VAT",'01 Control'!$C$6,0))/($H7*IFERROR(VLOOKUP($I7,'02 Lists'!$A$5:$B$18,2,FALSE()),1)))</f>
        <v/>
      </c>
      <c r="M7" s="140" t="n"/>
      <c r="N7" s="147" t="n"/>
      <c r="O7" s="141" t="n"/>
      <c r="P7" s="148" t="n"/>
      <c r="Q7" s="149" t="n"/>
      <c r="R7" s="150">
        <f>IF(OR($P7="",$N7="",$N7=0),"",$P7/(1+IF(IFERROR(INDEX('03 Suppliers'!$N$5:$N$34,MATCH($M7,'03 Suppliers'!$B$5:$B$34,0)),"Excl VAT")="Incl VAT",'01 Control'!$C$6,0))/($N7*IFERROR(VLOOKUP($O7,'02 Lists'!$A$5:$B$18,2,FALSE()),1)))</f>
        <v/>
      </c>
      <c r="S7" s="140" t="n"/>
      <c r="T7" s="147" t="n"/>
      <c r="U7" s="141" t="n"/>
      <c r="V7" s="148" t="n"/>
      <c r="W7" s="149" t="n"/>
      <c r="X7" s="150">
        <f>IF(OR($V7="",$T7="",$T7=0),"",$V7/(1+IF(IFERROR(INDEX('03 Suppliers'!$N$5:$N$34,MATCH($S7,'03 Suppliers'!$B$5:$B$34,0)),"Excl VAT")="Incl VAT",'01 Control'!$C$6,0))/($T7*IFERROR(VLOOKUP($U7,'02 Lists'!$A$5:$B$18,2,FALSE()),1)))</f>
        <v/>
      </c>
      <c r="Y7" s="140" t="n"/>
      <c r="Z7" s="147" t="n"/>
      <c r="AA7" s="141" t="n"/>
      <c r="AB7" s="148" t="n"/>
      <c r="AC7" s="149" t="n"/>
      <c r="AD7" s="150">
        <f>IF(OR($AB7="",$Z7="",$Z7=0),"",$AB7/(1+IF(IFERROR(INDEX('03 Suppliers'!$N$5:$N$34,MATCH($Y7,'03 Suppliers'!$B$5:$B$34,0)),"Excl VAT")="Incl VAT",'01 Control'!$C$6,0))/($Z7*IFERROR(VLOOKUP($AA7,'02 Lists'!$A$5:$B$18,2,FALSE()),1)))</f>
        <v/>
      </c>
      <c r="AE7" s="140" t="n"/>
      <c r="AF7" s="147" t="n"/>
      <c r="AG7" s="141" t="n"/>
      <c r="AH7" s="148" t="n"/>
      <c r="AI7" s="149" t="n"/>
      <c r="AJ7" s="150">
        <f>IF(OR($AH7="",$AF7="",$AF7=0),"",$AH7/(1+IF(IFERROR(INDEX('03 Suppliers'!$N$5:$N$34,MATCH($AE7,'03 Suppliers'!$B$5:$B$34,0)),"Excl VAT")="Incl VAT",'01 Control'!$C$6,0))/($AF7*IFERROR(VLOOKUP($AG7,'02 Lists'!$A$5:$B$18,2,FALSE()),1)))</f>
        <v/>
      </c>
      <c r="AK7" s="151">
        <f>IF(COUNT(L7,R7,X7,AD7,AJ7)=0,"",MIN(L7,R7,X7,AD7,AJ7))</f>
        <v/>
      </c>
      <c r="AL7" s="126">
        <f>IF($AK7="","",IF(L7=$AK7,$G7,IF(R7=$AK7,$M7,IF(X7=$AK7,$S7,IF(AD7=$AK7,$Y7,IF(AJ7=$AK7,$AE7,""))))))</f>
        <v/>
      </c>
      <c r="AM7" s="151">
        <f>IF($AK7="","",$AK7/IF($E7="",1,$E7))</f>
        <v/>
      </c>
      <c r="AN7" s="152">
        <f>COUNT(L7,R7,X7,AD7,AJ7)</f>
        <v/>
      </c>
      <c r="AO7" s="150">
        <f>IF(COUNT(L7,R7,X7,AD7,AJ7)=0,"",MAX(L7,R7,X7,AD7,AJ7))</f>
        <v/>
      </c>
      <c r="AP7" s="153">
        <f>IF(OR($AK7="",$AO7="",$AO7=0),"",($AO7-$AK7)/$AO7)</f>
        <v/>
      </c>
      <c r="AQ7" s="154">
        <f>IF($AK7="","",IF(L7=$AK7,$K7,IF(R7=$AK7,$Q7,IF(X7=$AK7,$W7,IF(AD7=$AK7,$AC7,IF(AJ7=$AK7,$AI7,""))))))</f>
        <v/>
      </c>
      <c r="AS7" s="142">
        <f>'02 Lists'!$A$7&amp;""</f>
        <v/>
      </c>
      <c r="AT7" s="142">
        <f>'03 Suppliers'!$B$7&amp;""</f>
        <v/>
      </c>
    </row>
    <row r="8" ht="19.4" customHeight="1" s="106">
      <c r="A8" s="134" t="inlineStr">
        <is>
          <t>PP-BAOBAB</t>
        </is>
      </c>
      <c r="B8" s="138" t="inlineStr">
        <is>
          <t>Flour / Dough</t>
        </is>
      </c>
      <c r="C8" s="113" t="inlineStr">
        <is>
          <t>SA baobab fruit powder</t>
        </is>
      </c>
      <c r="D8" s="139" t="inlineStr">
        <is>
          <t>g</t>
        </is>
      </c>
      <c r="E8" s="146" t="n">
        <v>1</v>
      </c>
      <c r="F8" s="116" t="inlineStr">
        <is>
          <t>Soluble fibre + vitamin C. LARGEST SINGLE COST SWING in 3 of 4 formulas - quote this first</t>
        </is>
      </c>
      <c r="G8" s="140" t="n"/>
      <c r="H8" s="147" t="n"/>
      <c r="I8" s="141" t="n"/>
      <c r="J8" s="148" t="n"/>
      <c r="K8" s="149" t="n"/>
      <c r="L8" s="150">
        <f>IF(OR($J8="",$H8="",$H8=0),"",$J8/(1+IF(IFERROR(INDEX('03 Suppliers'!$N$5:$N$34,MATCH($G8,'03 Suppliers'!$B$5:$B$34,0)),"Excl VAT")="Incl VAT",'01 Control'!$C$6,0))/($H8*IFERROR(VLOOKUP($I8,'02 Lists'!$A$5:$B$18,2,FALSE()),1)))</f>
        <v/>
      </c>
      <c r="M8" s="140" t="n"/>
      <c r="N8" s="147" t="n"/>
      <c r="O8" s="141" t="n"/>
      <c r="P8" s="148" t="n"/>
      <c r="Q8" s="149" t="n"/>
      <c r="R8" s="150">
        <f>IF(OR($P8="",$N8="",$N8=0),"",$P8/(1+IF(IFERROR(INDEX('03 Suppliers'!$N$5:$N$34,MATCH($M8,'03 Suppliers'!$B$5:$B$34,0)),"Excl VAT")="Incl VAT",'01 Control'!$C$6,0))/($N8*IFERROR(VLOOKUP($O8,'02 Lists'!$A$5:$B$18,2,FALSE()),1)))</f>
        <v/>
      </c>
      <c r="S8" s="140" t="n"/>
      <c r="T8" s="147" t="n"/>
      <c r="U8" s="141" t="n"/>
      <c r="V8" s="148" t="n"/>
      <c r="W8" s="149" t="n"/>
      <c r="X8" s="150">
        <f>IF(OR($V8="",$T8="",$T8=0),"",$V8/(1+IF(IFERROR(INDEX('03 Suppliers'!$N$5:$N$34,MATCH($S8,'03 Suppliers'!$B$5:$B$34,0)),"Excl VAT")="Incl VAT",'01 Control'!$C$6,0))/($T8*IFERROR(VLOOKUP($U8,'02 Lists'!$A$5:$B$18,2,FALSE()),1)))</f>
        <v/>
      </c>
      <c r="Y8" s="140" t="n"/>
      <c r="Z8" s="147" t="n"/>
      <c r="AA8" s="141" t="n"/>
      <c r="AB8" s="148" t="n"/>
      <c r="AC8" s="149" t="n"/>
      <c r="AD8" s="150">
        <f>IF(OR($AB8="",$Z8="",$Z8=0),"",$AB8/(1+IF(IFERROR(INDEX('03 Suppliers'!$N$5:$N$34,MATCH($Y8,'03 Suppliers'!$B$5:$B$34,0)),"Excl VAT")="Incl VAT",'01 Control'!$C$6,0))/($Z8*IFERROR(VLOOKUP($AA8,'02 Lists'!$A$5:$B$18,2,FALSE()),1)))</f>
        <v/>
      </c>
      <c r="AE8" s="140" t="n"/>
      <c r="AF8" s="147" t="n"/>
      <c r="AG8" s="141" t="n"/>
      <c r="AH8" s="148" t="n"/>
      <c r="AI8" s="149" t="n"/>
      <c r="AJ8" s="150">
        <f>IF(OR($AH8="",$AF8="",$AF8=0),"",$AH8/(1+IF(IFERROR(INDEX('03 Suppliers'!$N$5:$N$34,MATCH($AE8,'03 Suppliers'!$B$5:$B$34,0)),"Excl VAT")="Incl VAT",'01 Control'!$C$6,0))/($AF8*IFERROR(VLOOKUP($AG8,'02 Lists'!$A$5:$B$18,2,FALSE()),1)))</f>
        <v/>
      </c>
      <c r="AK8" s="151">
        <f>IF(COUNT(L8,R8,X8,AD8,AJ8)=0,"",MIN(L8,R8,X8,AD8,AJ8))</f>
        <v/>
      </c>
      <c r="AL8" s="126">
        <f>IF($AK8="","",IF(L8=$AK8,$G8,IF(R8=$AK8,$M8,IF(X8=$AK8,$S8,IF(AD8=$AK8,$Y8,IF(AJ8=$AK8,$AE8,""))))))</f>
        <v/>
      </c>
      <c r="AM8" s="151">
        <f>IF($AK8="","",$AK8/IF($E8="",1,$E8))</f>
        <v/>
      </c>
      <c r="AN8" s="152">
        <f>COUNT(L8,R8,X8,AD8,AJ8)</f>
        <v/>
      </c>
      <c r="AO8" s="150">
        <f>IF(COUNT(L8,R8,X8,AD8,AJ8)=0,"",MAX(L8,R8,X8,AD8,AJ8))</f>
        <v/>
      </c>
      <c r="AP8" s="153">
        <f>IF(OR($AK8="",$AO8="",$AO8=0),"",($AO8-$AK8)/$AO8)</f>
        <v/>
      </c>
      <c r="AQ8" s="154">
        <f>IF($AK8="","",IF(L8=$AK8,$K8,IF(R8=$AK8,$Q8,IF(X8=$AK8,$W8,IF(AD8=$AK8,$AC8,IF(AJ8=$AK8,$AI8,""))))))</f>
        <v/>
      </c>
      <c r="AS8" s="142">
        <f>'02 Lists'!$A$8&amp;""</f>
        <v/>
      </c>
      <c r="AT8" s="142">
        <f>'03 Suppliers'!$B$8&amp;""</f>
        <v/>
      </c>
    </row>
    <row r="9" ht="15" customHeight="1" s="106">
      <c r="A9" s="134" t="inlineStr">
        <is>
          <t>PP-FLAX-GOLDEN</t>
        </is>
      </c>
      <c r="B9" s="138" t="inlineStr">
        <is>
          <t>Flour / Dough</t>
        </is>
      </c>
      <c r="C9" s="113" t="inlineStr">
        <is>
          <t>Golden flaxseed, cold-milled</t>
        </is>
      </c>
      <c r="D9" s="139" t="inlineStr">
        <is>
          <t>g</t>
        </is>
      </c>
      <c r="E9" s="146" t="n">
        <v>1</v>
      </c>
      <c r="F9" s="116" t="inlineStr">
        <is>
          <t>Fresh-milled, refrigerated (oxidation control)</t>
        </is>
      </c>
      <c r="G9" s="140" t="n"/>
      <c r="H9" s="147" t="n"/>
      <c r="I9" s="141" t="n"/>
      <c r="J9" s="148" t="n"/>
      <c r="K9" s="149" t="n"/>
      <c r="L9" s="150">
        <f>IF(OR($J9="",$H9="",$H9=0),"",$J9/(1+IF(IFERROR(INDEX('03 Suppliers'!$N$5:$N$34,MATCH($G9,'03 Suppliers'!$B$5:$B$34,0)),"Excl VAT")="Incl VAT",'01 Control'!$C$6,0))/($H9*IFERROR(VLOOKUP($I9,'02 Lists'!$A$5:$B$18,2,FALSE()),1)))</f>
        <v/>
      </c>
      <c r="M9" s="140" t="n"/>
      <c r="N9" s="147" t="n"/>
      <c r="O9" s="141" t="n"/>
      <c r="P9" s="148" t="n"/>
      <c r="Q9" s="149" t="n"/>
      <c r="R9" s="150">
        <f>IF(OR($P9="",$N9="",$N9=0),"",$P9/(1+IF(IFERROR(INDEX('03 Suppliers'!$N$5:$N$34,MATCH($M9,'03 Suppliers'!$B$5:$B$34,0)),"Excl VAT")="Incl VAT",'01 Control'!$C$6,0))/($N9*IFERROR(VLOOKUP($O9,'02 Lists'!$A$5:$B$18,2,FALSE()),1)))</f>
        <v/>
      </c>
      <c r="S9" s="140" t="n"/>
      <c r="T9" s="147" t="n"/>
      <c r="U9" s="141" t="n"/>
      <c r="V9" s="148" t="n"/>
      <c r="W9" s="149" t="n"/>
      <c r="X9" s="150">
        <f>IF(OR($V9="",$T9="",$T9=0),"",$V9/(1+IF(IFERROR(INDEX('03 Suppliers'!$N$5:$N$34,MATCH($S9,'03 Suppliers'!$B$5:$B$34,0)),"Excl VAT")="Incl VAT",'01 Control'!$C$6,0))/($T9*IFERROR(VLOOKUP($U9,'02 Lists'!$A$5:$B$18,2,FALSE()),1)))</f>
        <v/>
      </c>
      <c r="Y9" s="140" t="n"/>
      <c r="Z9" s="147" t="n"/>
      <c r="AA9" s="141" t="n"/>
      <c r="AB9" s="148" t="n"/>
      <c r="AC9" s="149" t="n"/>
      <c r="AD9" s="150">
        <f>IF(OR($AB9="",$Z9="",$Z9=0),"",$AB9/(1+IF(IFERROR(INDEX('03 Suppliers'!$N$5:$N$34,MATCH($Y9,'03 Suppliers'!$B$5:$B$34,0)),"Excl VAT")="Incl VAT",'01 Control'!$C$6,0))/($Z9*IFERROR(VLOOKUP($AA9,'02 Lists'!$A$5:$B$18,2,FALSE()),1)))</f>
        <v/>
      </c>
      <c r="AE9" s="140" t="n"/>
      <c r="AF9" s="147" t="n"/>
      <c r="AG9" s="141" t="n"/>
      <c r="AH9" s="148" t="n"/>
      <c r="AI9" s="149" t="n"/>
      <c r="AJ9" s="150">
        <f>IF(OR($AH9="",$AF9="",$AF9=0),"",$AH9/(1+IF(IFERROR(INDEX('03 Suppliers'!$N$5:$N$34,MATCH($AE9,'03 Suppliers'!$B$5:$B$34,0)),"Excl VAT")="Incl VAT",'01 Control'!$C$6,0))/($AF9*IFERROR(VLOOKUP($AG9,'02 Lists'!$A$5:$B$18,2,FALSE()),1)))</f>
        <v/>
      </c>
      <c r="AK9" s="151">
        <f>IF(COUNT(L9,R9,X9,AD9,AJ9)=0,"",MIN(L9,R9,X9,AD9,AJ9))</f>
        <v/>
      </c>
      <c r="AL9" s="126">
        <f>IF($AK9="","",IF(L9=$AK9,$G9,IF(R9=$AK9,$M9,IF(X9=$AK9,$S9,IF(AD9=$AK9,$Y9,IF(AJ9=$AK9,$AE9,""))))))</f>
        <v/>
      </c>
      <c r="AM9" s="151">
        <f>IF($AK9="","",$AK9/IF($E9="",1,$E9))</f>
        <v/>
      </c>
      <c r="AN9" s="152">
        <f>COUNT(L9,R9,X9,AD9,AJ9)</f>
        <v/>
      </c>
      <c r="AO9" s="150">
        <f>IF(COUNT(L9,R9,X9,AD9,AJ9)=0,"",MAX(L9,R9,X9,AD9,AJ9))</f>
        <v/>
      </c>
      <c r="AP9" s="153">
        <f>IF(OR($AK9="",$AO9="",$AO9=0),"",($AO9-$AK9)/$AO9)</f>
        <v/>
      </c>
      <c r="AQ9" s="154">
        <f>IF($AK9="","",IF(L9=$AK9,$K9,IF(R9=$AK9,$Q9,IF(X9=$AK9,$W9,IF(AD9=$AK9,$AC9,IF(AJ9=$AK9,$AI9,""))))))</f>
        <v/>
      </c>
      <c r="AS9" s="142">
        <f>'02 Lists'!$A$9&amp;""</f>
        <v/>
      </c>
      <c r="AT9" s="142">
        <f>'03 Suppliers'!$B$9&amp;""</f>
        <v/>
      </c>
    </row>
    <row r="10" ht="19.4" customHeight="1" s="106">
      <c r="A10" s="134" t="inlineStr">
        <is>
          <t>PP-LUPIN-SWEET</t>
        </is>
      </c>
      <c r="B10" s="138" t="inlineStr">
        <is>
          <t>Flour / Dough</t>
        </is>
      </c>
      <c r="C10" s="113" t="inlineStr">
        <is>
          <t>SA sweet lupin flour, fermented</t>
        </is>
      </c>
      <c r="D10" s="139" t="inlineStr">
        <is>
          <t>g</t>
        </is>
      </c>
      <c r="E10" s="146" t="n">
        <v>1</v>
      </c>
      <c r="F10" s="116" t="inlineStr">
        <is>
          <t>LUPIN ALLERGEN - declare CONTAINS LUPIN; dedicated line or full deep-clean. CEILING 20%</t>
        </is>
      </c>
      <c r="G10" s="140" t="n"/>
      <c r="H10" s="147" t="n"/>
      <c r="I10" s="141" t="n"/>
      <c r="J10" s="148" t="n"/>
      <c r="K10" s="149" t="n"/>
      <c r="L10" s="150">
        <f>IF(OR($J10="",$H10="",$H10=0),"",$J10/(1+IF(IFERROR(INDEX('03 Suppliers'!$N$5:$N$34,MATCH($G10,'03 Suppliers'!$B$5:$B$34,0)),"Excl VAT")="Incl VAT",'01 Control'!$C$6,0))/($H10*IFERROR(VLOOKUP($I10,'02 Lists'!$A$5:$B$18,2,FALSE()),1)))</f>
        <v/>
      </c>
      <c r="M10" s="140" t="n"/>
      <c r="N10" s="147" t="n"/>
      <c r="O10" s="141" t="n"/>
      <c r="P10" s="148" t="n"/>
      <c r="Q10" s="149" t="n"/>
      <c r="R10" s="150">
        <f>IF(OR($P10="",$N10="",$N10=0),"",$P10/(1+IF(IFERROR(INDEX('03 Suppliers'!$N$5:$N$34,MATCH($M10,'03 Suppliers'!$B$5:$B$34,0)),"Excl VAT")="Incl VAT",'01 Control'!$C$6,0))/($N10*IFERROR(VLOOKUP($O10,'02 Lists'!$A$5:$B$18,2,FALSE()),1)))</f>
        <v/>
      </c>
      <c r="S10" s="140" t="n"/>
      <c r="T10" s="147" t="n"/>
      <c r="U10" s="141" t="n"/>
      <c r="V10" s="148" t="n"/>
      <c r="W10" s="149" t="n"/>
      <c r="X10" s="150">
        <f>IF(OR($V10="",$T10="",$T10=0),"",$V10/(1+IF(IFERROR(INDEX('03 Suppliers'!$N$5:$N$34,MATCH($S10,'03 Suppliers'!$B$5:$B$34,0)),"Excl VAT")="Incl VAT",'01 Control'!$C$6,0))/($T10*IFERROR(VLOOKUP($U10,'02 Lists'!$A$5:$B$18,2,FALSE()),1)))</f>
        <v/>
      </c>
      <c r="Y10" s="140" t="n"/>
      <c r="Z10" s="147" t="n"/>
      <c r="AA10" s="141" t="n"/>
      <c r="AB10" s="148" t="n"/>
      <c r="AC10" s="149" t="n"/>
      <c r="AD10" s="150">
        <f>IF(OR($AB10="",$Z10="",$Z10=0),"",$AB10/(1+IF(IFERROR(INDEX('03 Suppliers'!$N$5:$N$34,MATCH($Y10,'03 Suppliers'!$B$5:$B$34,0)),"Excl VAT")="Incl VAT",'01 Control'!$C$6,0))/($Z10*IFERROR(VLOOKUP($AA10,'02 Lists'!$A$5:$B$18,2,FALSE()),1)))</f>
        <v/>
      </c>
      <c r="AE10" s="140" t="n"/>
      <c r="AF10" s="147" t="n"/>
      <c r="AG10" s="141" t="n"/>
      <c r="AH10" s="148" t="n"/>
      <c r="AI10" s="149" t="n"/>
      <c r="AJ10" s="150">
        <f>IF(OR($AH10="",$AF10="",$AF10=0),"",$AH10/(1+IF(IFERROR(INDEX('03 Suppliers'!$N$5:$N$34,MATCH($AE10,'03 Suppliers'!$B$5:$B$34,0)),"Excl VAT")="Incl VAT",'01 Control'!$C$6,0))/($AF10*IFERROR(VLOOKUP($AG10,'02 Lists'!$A$5:$B$18,2,FALSE()),1)))</f>
        <v/>
      </c>
      <c r="AK10" s="151">
        <f>IF(COUNT(L10,R10,X10,AD10,AJ10)=0,"",MIN(L10,R10,X10,AD10,AJ10))</f>
        <v/>
      </c>
      <c r="AL10" s="126">
        <f>IF($AK10="","",IF(L10=$AK10,$G10,IF(R10=$AK10,$M10,IF(X10=$AK10,$S10,IF(AD10=$AK10,$Y10,IF(AJ10=$AK10,$AE10,""))))))</f>
        <v/>
      </c>
      <c r="AM10" s="151">
        <f>IF($AK10="","",$AK10/IF($E10="",1,$E10))</f>
        <v/>
      </c>
      <c r="AN10" s="152">
        <f>COUNT(L10,R10,X10,AD10,AJ10)</f>
        <v/>
      </c>
      <c r="AO10" s="150">
        <f>IF(COUNT(L10,R10,X10,AD10,AJ10)=0,"",MAX(L10,R10,X10,AD10,AJ10))</f>
        <v/>
      </c>
      <c r="AP10" s="153">
        <f>IF(OR($AK10="",$AO10="",$AO10=0),"",($AO10-$AK10)/$AO10)</f>
        <v/>
      </c>
      <c r="AQ10" s="154">
        <f>IF($AK10="","",IF(L10=$AK10,$K10,IF(R10=$AK10,$Q10,IF(X10=$AK10,$W10,IF(AD10=$AK10,$AC10,IF(AJ10=$AK10,$AI10,""))))))</f>
        <v/>
      </c>
      <c r="AS10" s="142">
        <f>'02 Lists'!$A$10&amp;""</f>
        <v/>
      </c>
      <c r="AT10" s="142">
        <f>'03 Suppliers'!$B$10&amp;""</f>
        <v/>
      </c>
    </row>
    <row r="11" ht="19.4" customHeight="1" s="106">
      <c r="A11" s="134" t="inlineStr">
        <is>
          <t>PP-INULIN-HP</t>
        </is>
      </c>
      <c r="B11" s="138" t="inlineStr">
        <is>
          <t>Flour / Dough</t>
        </is>
      </c>
      <c r="C11" s="113" t="inlineStr">
        <is>
          <t>Inulin HP (DP &gt;=23)</t>
        </is>
      </c>
      <c r="D11" s="139" t="inlineStr">
        <is>
          <t>g</t>
        </is>
      </c>
      <c r="E11" s="146" t="n">
        <v>1</v>
      </c>
      <c r="F11" s="116" t="inlineStr">
        <is>
          <t>Long-chain, soluble fibre &gt;=90%; 1:1 swap with baobab. CEILING ~12%</t>
        </is>
      </c>
      <c r="G11" s="140" t="n"/>
      <c r="H11" s="147" t="n"/>
      <c r="I11" s="141" t="n"/>
      <c r="J11" s="148" t="n"/>
      <c r="K11" s="149" t="n"/>
      <c r="L11" s="150">
        <f>IF(OR($J11="",$H11="",$H11=0),"",$J11/(1+IF(IFERROR(INDEX('03 Suppliers'!$N$5:$N$34,MATCH($G11,'03 Suppliers'!$B$5:$B$34,0)),"Excl VAT")="Incl VAT",'01 Control'!$C$6,0))/($H11*IFERROR(VLOOKUP($I11,'02 Lists'!$A$5:$B$18,2,FALSE()),1)))</f>
        <v/>
      </c>
      <c r="M11" s="140" t="n"/>
      <c r="N11" s="147" t="n"/>
      <c r="O11" s="141" t="n"/>
      <c r="P11" s="148" t="n"/>
      <c r="Q11" s="149" t="n"/>
      <c r="R11" s="150">
        <f>IF(OR($P11="",$N11="",$N11=0),"",$P11/(1+IF(IFERROR(INDEX('03 Suppliers'!$N$5:$N$34,MATCH($M11,'03 Suppliers'!$B$5:$B$34,0)),"Excl VAT")="Incl VAT",'01 Control'!$C$6,0))/($N11*IFERROR(VLOOKUP($O11,'02 Lists'!$A$5:$B$18,2,FALSE()),1)))</f>
        <v/>
      </c>
      <c r="S11" s="140" t="n"/>
      <c r="T11" s="147" t="n"/>
      <c r="U11" s="141" t="n"/>
      <c r="V11" s="148" t="n"/>
      <c r="W11" s="149" t="n"/>
      <c r="X11" s="150">
        <f>IF(OR($V11="",$T11="",$T11=0),"",$V11/(1+IF(IFERROR(INDEX('03 Suppliers'!$N$5:$N$34,MATCH($S11,'03 Suppliers'!$B$5:$B$34,0)),"Excl VAT")="Incl VAT",'01 Control'!$C$6,0))/($T11*IFERROR(VLOOKUP($U11,'02 Lists'!$A$5:$B$18,2,FALSE()),1)))</f>
        <v/>
      </c>
      <c r="Y11" s="140" t="n"/>
      <c r="Z11" s="147" t="n"/>
      <c r="AA11" s="141" t="n"/>
      <c r="AB11" s="148" t="n"/>
      <c r="AC11" s="149" t="n"/>
      <c r="AD11" s="150">
        <f>IF(OR($AB11="",$Z11="",$Z11=0),"",$AB11/(1+IF(IFERROR(INDEX('03 Suppliers'!$N$5:$N$34,MATCH($Y11,'03 Suppliers'!$B$5:$B$34,0)),"Excl VAT")="Incl VAT",'01 Control'!$C$6,0))/($Z11*IFERROR(VLOOKUP($AA11,'02 Lists'!$A$5:$B$18,2,FALSE()),1)))</f>
        <v/>
      </c>
      <c r="AE11" s="140" t="n"/>
      <c r="AF11" s="147" t="n"/>
      <c r="AG11" s="141" t="n"/>
      <c r="AH11" s="148" t="n"/>
      <c r="AI11" s="149" t="n"/>
      <c r="AJ11" s="150">
        <f>IF(OR($AH11="",$AF11="",$AF11=0),"",$AH11/(1+IF(IFERROR(INDEX('03 Suppliers'!$N$5:$N$34,MATCH($AE11,'03 Suppliers'!$B$5:$B$34,0)),"Excl VAT")="Incl VAT",'01 Control'!$C$6,0))/($AF11*IFERROR(VLOOKUP($AG11,'02 Lists'!$A$5:$B$18,2,FALSE()),1)))</f>
        <v/>
      </c>
      <c r="AK11" s="151">
        <f>IF(COUNT(L11,R11,X11,AD11,AJ11)=0,"",MIN(L11,R11,X11,AD11,AJ11))</f>
        <v/>
      </c>
      <c r="AL11" s="126">
        <f>IF($AK11="","",IF(L11=$AK11,$G11,IF(R11=$AK11,$M11,IF(X11=$AK11,$S11,IF(AD11=$AK11,$Y11,IF(AJ11=$AK11,$AE11,""))))))</f>
        <v/>
      </c>
      <c r="AM11" s="151">
        <f>IF($AK11="","",$AK11/IF($E11="",1,$E11))</f>
        <v/>
      </c>
      <c r="AN11" s="152">
        <f>COUNT(L11,R11,X11,AD11,AJ11)</f>
        <v/>
      </c>
      <c r="AO11" s="150">
        <f>IF(COUNT(L11,R11,X11,AD11,AJ11)=0,"",MAX(L11,R11,X11,AD11,AJ11))</f>
        <v/>
      </c>
      <c r="AP11" s="153">
        <f>IF(OR($AK11="",$AO11="",$AO11=0),"",($AO11-$AK11)/$AO11)</f>
        <v/>
      </c>
      <c r="AQ11" s="154">
        <f>IF($AK11="","",IF(L11=$AK11,$K11,IF(R11=$AK11,$Q11,IF(X11=$AK11,$W11,IF(AD11=$AK11,$AC11,IF(AJ11=$AK11,$AI11,""))))))</f>
        <v/>
      </c>
      <c r="AS11" s="142">
        <f>'02 Lists'!$A$11&amp;""</f>
        <v/>
      </c>
      <c r="AT11" s="142">
        <f>'03 Suppliers'!$B$11&amp;""</f>
        <v/>
      </c>
    </row>
    <row r="12" ht="19.4" customHeight="1" s="106">
      <c r="A12" s="134" t="inlineStr">
        <is>
          <t>PP-CHICKPEA-KABULI</t>
        </is>
      </c>
      <c r="B12" s="138" t="inlineStr">
        <is>
          <t>Flour / Dough</t>
        </is>
      </c>
      <c r="C12" s="113" t="inlineStr">
        <is>
          <t>Kabuli chickpea flour, roasted + fermented</t>
        </is>
      </c>
      <c r="D12" s="139" t="inlineStr">
        <is>
          <t>g</t>
        </is>
      </c>
      <c r="E12" s="146" t="n">
        <v>1</v>
      </c>
      <c r="F12" s="116" t="inlineStr">
        <is>
          <t>Roast/de-hull then ferment. CEILING 25%. Declare voluntarily (not an SA declared allergen)</t>
        </is>
      </c>
      <c r="G12" s="140" t="n"/>
      <c r="H12" s="147" t="n"/>
      <c r="I12" s="141" t="n"/>
      <c r="J12" s="148" t="n"/>
      <c r="K12" s="149" t="n"/>
      <c r="L12" s="150">
        <f>IF(OR($J12="",$H12="",$H12=0),"",$J12/(1+IF(IFERROR(INDEX('03 Suppliers'!$N$5:$N$34,MATCH($G12,'03 Suppliers'!$B$5:$B$34,0)),"Excl VAT")="Incl VAT",'01 Control'!$C$6,0))/($H12*IFERROR(VLOOKUP($I12,'02 Lists'!$A$5:$B$18,2,FALSE()),1)))</f>
        <v/>
      </c>
      <c r="M12" s="140" t="n"/>
      <c r="N12" s="147" t="n"/>
      <c r="O12" s="141" t="n"/>
      <c r="P12" s="148" t="n"/>
      <c r="Q12" s="149" t="n"/>
      <c r="R12" s="150">
        <f>IF(OR($P12="",$N12="",$N12=0),"",$P12/(1+IF(IFERROR(INDEX('03 Suppliers'!$N$5:$N$34,MATCH($M12,'03 Suppliers'!$B$5:$B$34,0)),"Excl VAT")="Incl VAT",'01 Control'!$C$6,0))/($N12*IFERROR(VLOOKUP($O12,'02 Lists'!$A$5:$B$18,2,FALSE()),1)))</f>
        <v/>
      </c>
      <c r="S12" s="140" t="n"/>
      <c r="T12" s="147" t="n"/>
      <c r="U12" s="141" t="n"/>
      <c r="V12" s="148" t="n"/>
      <c r="W12" s="149" t="n"/>
      <c r="X12" s="150">
        <f>IF(OR($V12="",$T12="",$T12=0),"",$V12/(1+IF(IFERROR(INDEX('03 Suppliers'!$N$5:$N$34,MATCH($S12,'03 Suppliers'!$B$5:$B$34,0)),"Excl VAT")="Incl VAT",'01 Control'!$C$6,0))/($T12*IFERROR(VLOOKUP($U12,'02 Lists'!$A$5:$B$18,2,FALSE()),1)))</f>
        <v/>
      </c>
      <c r="Y12" s="140" t="n"/>
      <c r="Z12" s="147" t="n"/>
      <c r="AA12" s="141" t="n"/>
      <c r="AB12" s="148" t="n"/>
      <c r="AC12" s="149" t="n"/>
      <c r="AD12" s="150">
        <f>IF(OR($AB12="",$Z12="",$Z12=0),"",$AB12/(1+IF(IFERROR(INDEX('03 Suppliers'!$N$5:$N$34,MATCH($Y12,'03 Suppliers'!$B$5:$B$34,0)),"Excl VAT")="Incl VAT",'01 Control'!$C$6,0))/($Z12*IFERROR(VLOOKUP($AA12,'02 Lists'!$A$5:$B$18,2,FALSE()),1)))</f>
        <v/>
      </c>
      <c r="AE12" s="140" t="n"/>
      <c r="AF12" s="147" t="n"/>
      <c r="AG12" s="141" t="n"/>
      <c r="AH12" s="148" t="n"/>
      <c r="AI12" s="149" t="n"/>
      <c r="AJ12" s="150">
        <f>IF(OR($AH12="",$AF12="",$AF12=0),"",$AH12/(1+IF(IFERROR(INDEX('03 Suppliers'!$N$5:$N$34,MATCH($AE12,'03 Suppliers'!$B$5:$B$34,0)),"Excl VAT")="Incl VAT",'01 Control'!$C$6,0))/($AF12*IFERROR(VLOOKUP($AG12,'02 Lists'!$A$5:$B$18,2,FALSE()),1)))</f>
        <v/>
      </c>
      <c r="AK12" s="151">
        <f>IF(COUNT(L12,R12,X12,AD12,AJ12)=0,"",MIN(L12,R12,X12,AD12,AJ12))</f>
        <v/>
      </c>
      <c r="AL12" s="126">
        <f>IF($AK12="","",IF(L12=$AK12,$G12,IF(R12=$AK12,$M12,IF(X12=$AK12,$S12,IF(AD12=$AK12,$Y12,IF(AJ12=$AK12,$AE12,""))))))</f>
        <v/>
      </c>
      <c r="AM12" s="151">
        <f>IF($AK12="","",$AK12/IF($E12="",1,$E12))</f>
        <v/>
      </c>
      <c r="AN12" s="152">
        <f>COUNT(L12,R12,X12,AD12,AJ12)</f>
        <v/>
      </c>
      <c r="AO12" s="150">
        <f>IF(COUNT(L12,R12,X12,AD12,AJ12)=0,"",MAX(L12,R12,X12,AD12,AJ12))</f>
        <v/>
      </c>
      <c r="AP12" s="153">
        <f>IF(OR($AK12="",$AO12="",$AO12=0),"",($AO12-$AK12)/$AO12)</f>
        <v/>
      </c>
      <c r="AQ12" s="154">
        <f>IF($AK12="","",IF(L12=$AK12,$K12,IF(R12=$AK12,$Q12,IF(X12=$AK12,$W12,IF(AD12=$AK12,$AC12,IF(AJ12=$AK12,$AI12,""))))))</f>
        <v/>
      </c>
      <c r="AS12" s="142">
        <f>'02 Lists'!$A$12&amp;""</f>
        <v/>
      </c>
      <c r="AT12" s="142">
        <f>'03 Suppliers'!$B$12&amp;""</f>
        <v/>
      </c>
    </row>
    <row r="13" ht="15" customHeight="1" s="106">
      <c r="A13" s="134" t="inlineStr">
        <is>
          <t>PP-MUSHROOM-LIGHT</t>
        </is>
      </c>
      <c r="B13" s="138" t="inlineStr">
        <is>
          <t>Flour / Dough</t>
        </is>
      </c>
      <c r="C13" s="113" t="inlineStr">
        <is>
          <t>Light mushroom powder (umami layer)</t>
        </is>
      </c>
      <c r="D13" s="139" t="inlineStr">
        <is>
          <t>g</t>
        </is>
      </c>
      <c r="E13" s="146" t="n">
        <v>1</v>
      </c>
      <c r="F13" s="116" t="inlineStr">
        <is>
          <t>Light-coloured; savoury depth</t>
        </is>
      </c>
      <c r="G13" s="140" t="n"/>
      <c r="H13" s="147" t="n"/>
      <c r="I13" s="141" t="n"/>
      <c r="J13" s="148" t="n"/>
      <c r="K13" s="149" t="n"/>
      <c r="L13" s="150">
        <f>IF(OR($J13="",$H13="",$H13=0),"",$J13/(1+IF(IFERROR(INDEX('03 Suppliers'!$N$5:$N$34,MATCH($G13,'03 Suppliers'!$B$5:$B$34,0)),"Excl VAT")="Incl VAT",'01 Control'!$C$6,0))/($H13*IFERROR(VLOOKUP($I13,'02 Lists'!$A$5:$B$18,2,FALSE()),1)))</f>
        <v/>
      </c>
      <c r="M13" s="140" t="n"/>
      <c r="N13" s="147" t="n"/>
      <c r="O13" s="141" t="n"/>
      <c r="P13" s="148" t="n"/>
      <c r="Q13" s="149" t="n"/>
      <c r="R13" s="150">
        <f>IF(OR($P13="",$N13="",$N13=0),"",$P13/(1+IF(IFERROR(INDEX('03 Suppliers'!$N$5:$N$34,MATCH($M13,'03 Suppliers'!$B$5:$B$34,0)),"Excl VAT")="Incl VAT",'01 Control'!$C$6,0))/($N13*IFERROR(VLOOKUP($O13,'02 Lists'!$A$5:$B$18,2,FALSE()),1)))</f>
        <v/>
      </c>
      <c r="S13" s="140" t="n"/>
      <c r="T13" s="147" t="n"/>
      <c r="U13" s="141" t="n"/>
      <c r="V13" s="148" t="n"/>
      <c r="W13" s="149" t="n"/>
      <c r="X13" s="150">
        <f>IF(OR($V13="",$T13="",$T13=0),"",$V13/(1+IF(IFERROR(INDEX('03 Suppliers'!$N$5:$N$34,MATCH($S13,'03 Suppliers'!$B$5:$B$34,0)),"Excl VAT")="Incl VAT",'01 Control'!$C$6,0))/($T13*IFERROR(VLOOKUP($U13,'02 Lists'!$A$5:$B$18,2,FALSE()),1)))</f>
        <v/>
      </c>
      <c r="Y13" s="140" t="n"/>
      <c r="Z13" s="147" t="n"/>
      <c r="AA13" s="141" t="n"/>
      <c r="AB13" s="148" t="n"/>
      <c r="AC13" s="149" t="n"/>
      <c r="AD13" s="150">
        <f>IF(OR($AB13="",$Z13="",$Z13=0),"",$AB13/(1+IF(IFERROR(INDEX('03 Suppliers'!$N$5:$N$34,MATCH($Y13,'03 Suppliers'!$B$5:$B$34,0)),"Excl VAT")="Incl VAT",'01 Control'!$C$6,0))/($Z13*IFERROR(VLOOKUP($AA13,'02 Lists'!$A$5:$B$18,2,FALSE()),1)))</f>
        <v/>
      </c>
      <c r="AE13" s="140" t="n"/>
      <c r="AF13" s="147" t="n"/>
      <c r="AG13" s="141" t="n"/>
      <c r="AH13" s="148" t="n"/>
      <c r="AI13" s="149" t="n"/>
      <c r="AJ13" s="150">
        <f>IF(OR($AH13="",$AF13="",$AF13=0),"",$AH13/(1+IF(IFERROR(INDEX('03 Suppliers'!$N$5:$N$34,MATCH($AE13,'03 Suppliers'!$B$5:$B$34,0)),"Excl VAT")="Incl VAT",'01 Control'!$C$6,0))/($AF13*IFERROR(VLOOKUP($AG13,'02 Lists'!$A$5:$B$18,2,FALSE()),1)))</f>
        <v/>
      </c>
      <c r="AK13" s="151">
        <f>IF(COUNT(L13,R13,X13,AD13,AJ13)=0,"",MIN(L13,R13,X13,AD13,AJ13))</f>
        <v/>
      </c>
      <c r="AL13" s="126">
        <f>IF($AK13="","",IF(L13=$AK13,$G13,IF(R13=$AK13,$M13,IF(X13=$AK13,$S13,IF(AD13=$AK13,$Y13,IF(AJ13=$AK13,$AE13,""))))))</f>
        <v/>
      </c>
      <c r="AM13" s="151">
        <f>IF($AK13="","",$AK13/IF($E13="",1,$E13))</f>
        <v/>
      </c>
      <c r="AN13" s="152">
        <f>COUNT(L13,R13,X13,AD13,AJ13)</f>
        <v/>
      </c>
      <c r="AO13" s="150">
        <f>IF(COUNT(L13,R13,X13,AD13,AJ13)=0,"",MAX(L13,R13,X13,AD13,AJ13))</f>
        <v/>
      </c>
      <c r="AP13" s="153">
        <f>IF(OR($AK13="",$AO13="",$AO13=0),"",($AO13-$AK13)/$AO13)</f>
        <v/>
      </c>
      <c r="AQ13" s="154">
        <f>IF($AK13="","",IF(L13=$AK13,$K13,IF(R13=$AK13,$Q13,IF(X13=$AK13,$W13,IF(AD13=$AK13,$AC13,IF(AJ13=$AK13,$AI13,""))))))</f>
        <v/>
      </c>
      <c r="AS13" s="142">
        <f>'02 Lists'!$A$13&amp;""</f>
        <v/>
      </c>
      <c r="AT13" s="142">
        <f>'03 Suppliers'!$B$13&amp;""</f>
        <v/>
      </c>
    </row>
    <row r="14" ht="15" customHeight="1" s="106">
      <c r="A14" s="134" t="inlineStr">
        <is>
          <t>PP-OYSTER-POWDER</t>
        </is>
      </c>
      <c r="B14" s="138" t="inlineStr">
        <is>
          <t>Flour / Dough</t>
        </is>
      </c>
      <c r="C14" s="113" t="inlineStr">
        <is>
          <t>Oyster mushroom powder (The Local Farmer)</t>
        </is>
      </c>
      <c r="D14" s="139" t="inlineStr">
        <is>
          <t>g</t>
        </is>
      </c>
      <c r="E14" s="146" t="n">
        <v>1</v>
      </c>
      <c r="F14" s="116" t="inlineStr">
        <is>
          <t>Freeze-dried preferred; fine mill &lt;=200 um</t>
        </is>
      </c>
      <c r="G14" s="140" t="n"/>
      <c r="H14" s="147" t="n"/>
      <c r="I14" s="141" t="n"/>
      <c r="J14" s="148" t="n"/>
      <c r="K14" s="149" t="n"/>
      <c r="L14" s="150">
        <f>IF(OR($J14="",$H14="",$H14=0),"",$J14/(1+IF(IFERROR(INDEX('03 Suppliers'!$N$5:$N$34,MATCH($G14,'03 Suppliers'!$B$5:$B$34,0)),"Excl VAT")="Incl VAT",'01 Control'!$C$6,0))/($H14*IFERROR(VLOOKUP($I14,'02 Lists'!$A$5:$B$18,2,FALSE()),1)))</f>
        <v/>
      </c>
      <c r="M14" s="140" t="n"/>
      <c r="N14" s="147" t="n"/>
      <c r="O14" s="141" t="n"/>
      <c r="P14" s="148" t="n"/>
      <c r="Q14" s="149" t="n"/>
      <c r="R14" s="150">
        <f>IF(OR($P14="",$N14="",$N14=0),"",$P14/(1+IF(IFERROR(INDEX('03 Suppliers'!$N$5:$N$34,MATCH($M14,'03 Suppliers'!$B$5:$B$34,0)),"Excl VAT")="Incl VAT",'01 Control'!$C$6,0))/($N14*IFERROR(VLOOKUP($O14,'02 Lists'!$A$5:$B$18,2,FALSE()),1)))</f>
        <v/>
      </c>
      <c r="S14" s="140" t="n"/>
      <c r="T14" s="147" t="n"/>
      <c r="U14" s="141" t="n"/>
      <c r="V14" s="148" t="n"/>
      <c r="W14" s="149" t="n"/>
      <c r="X14" s="150">
        <f>IF(OR($V14="",$T14="",$T14=0),"",$V14/(1+IF(IFERROR(INDEX('03 Suppliers'!$N$5:$N$34,MATCH($S14,'03 Suppliers'!$B$5:$B$34,0)),"Excl VAT")="Incl VAT",'01 Control'!$C$6,0))/($T14*IFERROR(VLOOKUP($U14,'02 Lists'!$A$5:$B$18,2,FALSE()),1)))</f>
        <v/>
      </c>
      <c r="Y14" s="140" t="n"/>
      <c r="Z14" s="147" t="n"/>
      <c r="AA14" s="141" t="n"/>
      <c r="AB14" s="148" t="n"/>
      <c r="AC14" s="149" t="n"/>
      <c r="AD14" s="150">
        <f>IF(OR($AB14="",$Z14="",$Z14=0),"",$AB14/(1+IF(IFERROR(INDEX('03 Suppliers'!$N$5:$N$34,MATCH($Y14,'03 Suppliers'!$B$5:$B$34,0)),"Excl VAT")="Incl VAT",'01 Control'!$C$6,0))/($Z14*IFERROR(VLOOKUP($AA14,'02 Lists'!$A$5:$B$18,2,FALSE()),1)))</f>
        <v/>
      </c>
      <c r="AE14" s="140" t="n"/>
      <c r="AF14" s="147" t="n"/>
      <c r="AG14" s="141" t="n"/>
      <c r="AH14" s="148" t="n"/>
      <c r="AI14" s="149" t="n"/>
      <c r="AJ14" s="150">
        <f>IF(OR($AH14="",$AF14="",$AF14=0),"",$AH14/(1+IF(IFERROR(INDEX('03 Suppliers'!$N$5:$N$34,MATCH($AE14,'03 Suppliers'!$B$5:$B$34,0)),"Excl VAT")="Incl VAT",'01 Control'!$C$6,0))/($AF14*IFERROR(VLOOKUP($AG14,'02 Lists'!$A$5:$B$18,2,FALSE()),1)))</f>
        <v/>
      </c>
      <c r="AK14" s="151">
        <f>IF(COUNT(L14,R14,X14,AD14,AJ14)=0,"",MIN(L14,R14,X14,AD14,AJ14))</f>
        <v/>
      </c>
      <c r="AL14" s="126">
        <f>IF($AK14="","",IF(L14=$AK14,$G14,IF(R14=$AK14,$M14,IF(X14=$AK14,$S14,IF(AD14=$AK14,$Y14,IF(AJ14=$AK14,$AE14,""))))))</f>
        <v/>
      </c>
      <c r="AM14" s="151">
        <f>IF($AK14="","",$AK14/IF($E14="",1,$E14))</f>
        <v/>
      </c>
      <c r="AN14" s="152">
        <f>COUNT(L14,R14,X14,AD14,AJ14)</f>
        <v/>
      </c>
      <c r="AO14" s="150">
        <f>IF(COUNT(L14,R14,X14,AD14,AJ14)=0,"",MAX(L14,R14,X14,AD14,AJ14))</f>
        <v/>
      </c>
      <c r="AP14" s="153">
        <f>IF(OR($AK14="",$AO14="",$AO14=0),"",($AO14-$AK14)/$AO14)</f>
        <v/>
      </c>
      <c r="AQ14" s="154">
        <f>IF($AK14="","",IF(L14=$AK14,$K14,IF(R14=$AK14,$Q14,IF(X14=$AK14,$W14,IF(AD14=$AK14,$AC14,IF(AJ14=$AK14,$AI14,""))))))</f>
        <v/>
      </c>
      <c r="AS14" s="142">
        <f>'02 Lists'!$A$14&amp;""</f>
        <v/>
      </c>
      <c r="AT14" s="142">
        <f>'03 Suppliers'!$B$14&amp;""</f>
        <v/>
      </c>
    </row>
    <row r="15" ht="15" customHeight="1" s="106">
      <c r="A15" s="134" t="inlineStr">
        <is>
          <t>PP-LIONSMANE-POWDER</t>
        </is>
      </c>
      <c r="B15" s="138" t="inlineStr">
        <is>
          <t>Flour / Dough</t>
        </is>
      </c>
      <c r="C15" s="113" t="inlineStr">
        <is>
          <t>Lion's mane powder (The Local Farmer)</t>
        </is>
      </c>
      <c r="D15" s="139" t="inlineStr">
        <is>
          <t>g</t>
        </is>
      </c>
      <c r="E15" s="146" t="n">
        <v>1</v>
      </c>
      <c r="F15" s="116" t="inlineStr">
        <is>
          <t>CEILING 5% - sensory limit</t>
        </is>
      </c>
      <c r="G15" s="140" t="n"/>
      <c r="H15" s="147" t="n"/>
      <c r="I15" s="141" t="n"/>
      <c r="J15" s="148" t="n"/>
      <c r="K15" s="149" t="n"/>
      <c r="L15" s="150">
        <f>IF(OR($J15="",$H15="",$H15=0),"",$J15/(1+IF(IFERROR(INDEX('03 Suppliers'!$N$5:$N$34,MATCH($G15,'03 Suppliers'!$B$5:$B$34,0)),"Excl VAT")="Incl VAT",'01 Control'!$C$6,0))/($H15*IFERROR(VLOOKUP($I15,'02 Lists'!$A$5:$B$18,2,FALSE()),1)))</f>
        <v/>
      </c>
      <c r="M15" s="140" t="n"/>
      <c r="N15" s="147" t="n"/>
      <c r="O15" s="141" t="n"/>
      <c r="P15" s="148" t="n"/>
      <c r="Q15" s="149" t="n"/>
      <c r="R15" s="150">
        <f>IF(OR($P15="",$N15="",$N15=0),"",$P15/(1+IF(IFERROR(INDEX('03 Suppliers'!$N$5:$N$34,MATCH($M15,'03 Suppliers'!$B$5:$B$34,0)),"Excl VAT")="Incl VAT",'01 Control'!$C$6,0))/($N15*IFERROR(VLOOKUP($O15,'02 Lists'!$A$5:$B$18,2,FALSE()),1)))</f>
        <v/>
      </c>
      <c r="S15" s="140" t="n"/>
      <c r="T15" s="147" t="n"/>
      <c r="U15" s="141" t="n"/>
      <c r="V15" s="148" t="n"/>
      <c r="W15" s="149" t="n"/>
      <c r="X15" s="150">
        <f>IF(OR($V15="",$T15="",$T15=0),"",$V15/(1+IF(IFERROR(INDEX('03 Suppliers'!$N$5:$N$34,MATCH($S15,'03 Suppliers'!$B$5:$B$34,0)),"Excl VAT")="Incl VAT",'01 Control'!$C$6,0))/($T15*IFERROR(VLOOKUP($U15,'02 Lists'!$A$5:$B$18,2,FALSE()),1)))</f>
        <v/>
      </c>
      <c r="Y15" s="140" t="n"/>
      <c r="Z15" s="147" t="n"/>
      <c r="AA15" s="141" t="n"/>
      <c r="AB15" s="148" t="n"/>
      <c r="AC15" s="149" t="n"/>
      <c r="AD15" s="150">
        <f>IF(OR($AB15="",$Z15="",$Z15=0),"",$AB15/(1+IF(IFERROR(INDEX('03 Suppliers'!$N$5:$N$34,MATCH($Y15,'03 Suppliers'!$B$5:$B$34,0)),"Excl VAT")="Incl VAT",'01 Control'!$C$6,0))/($Z15*IFERROR(VLOOKUP($AA15,'02 Lists'!$A$5:$B$18,2,FALSE()),1)))</f>
        <v/>
      </c>
      <c r="AE15" s="140" t="n"/>
      <c r="AF15" s="147" t="n"/>
      <c r="AG15" s="141" t="n"/>
      <c r="AH15" s="148" t="n"/>
      <c r="AI15" s="149" t="n"/>
      <c r="AJ15" s="150">
        <f>IF(OR($AH15="",$AF15="",$AF15=0),"",$AH15/(1+IF(IFERROR(INDEX('03 Suppliers'!$N$5:$N$34,MATCH($AE15,'03 Suppliers'!$B$5:$B$34,0)),"Excl VAT")="Incl VAT",'01 Control'!$C$6,0))/($AF15*IFERROR(VLOOKUP($AG15,'02 Lists'!$A$5:$B$18,2,FALSE()),1)))</f>
        <v/>
      </c>
      <c r="AK15" s="151">
        <f>IF(COUNT(L15,R15,X15,AD15,AJ15)=0,"",MIN(L15,R15,X15,AD15,AJ15))</f>
        <v/>
      </c>
      <c r="AL15" s="126">
        <f>IF($AK15="","",IF(L15=$AK15,$G15,IF(R15=$AK15,$M15,IF(X15=$AK15,$S15,IF(AD15=$AK15,$Y15,IF(AJ15=$AK15,$AE15,""))))))</f>
        <v/>
      </c>
      <c r="AM15" s="151">
        <f>IF($AK15="","",$AK15/IF($E15="",1,$E15))</f>
        <v/>
      </c>
      <c r="AN15" s="152">
        <f>COUNT(L15,R15,X15,AD15,AJ15)</f>
        <v/>
      </c>
      <c r="AO15" s="150">
        <f>IF(COUNT(L15,R15,X15,AD15,AJ15)=0,"",MAX(L15,R15,X15,AD15,AJ15))</f>
        <v/>
      </c>
      <c r="AP15" s="153">
        <f>IF(OR($AK15="",$AO15="",$AO15=0),"",($AO15-$AK15)/$AO15)</f>
        <v/>
      </c>
      <c r="AQ15" s="154">
        <f>IF($AK15="","",IF(L15=$AK15,$K15,IF(R15=$AK15,$Q15,IF(X15=$AK15,$W15,IF(AD15=$AK15,$AC15,IF(AJ15=$AK15,$AI15,""))))))</f>
        <v/>
      </c>
      <c r="AS15" s="142">
        <f>'02 Lists'!$A$15&amp;""</f>
        <v/>
      </c>
      <c r="AT15" s="142">
        <f>'03 Suppliers'!$B$15&amp;""</f>
        <v/>
      </c>
    </row>
    <row r="16" ht="15" customHeight="1" s="106">
      <c r="A16" s="134" t="inlineStr">
        <is>
          <t>PP-MICROGREEN-POWDER</t>
        </is>
      </c>
      <c r="B16" s="138" t="inlineStr">
        <is>
          <t>Flour / Dough</t>
        </is>
      </c>
      <c r="C16" s="113" t="inlineStr">
        <is>
          <t>Microgreen powder (The Local Farmer)</t>
        </is>
      </c>
      <c r="D16" s="139" t="inlineStr">
        <is>
          <t>g</t>
        </is>
      </c>
      <c r="E16" s="146" t="n">
        <v>1</v>
      </c>
      <c r="F16" s="116" t="inlineStr">
        <is>
          <t>CEILING 3%; freeze-dry preferred for colour</t>
        </is>
      </c>
      <c r="G16" s="140" t="n"/>
      <c r="H16" s="147" t="n"/>
      <c r="I16" s="141" t="n"/>
      <c r="J16" s="148" t="n"/>
      <c r="K16" s="149" t="n"/>
      <c r="L16" s="150">
        <f>IF(OR($J16="",$H16="",$H16=0),"",$J16/(1+IF(IFERROR(INDEX('03 Suppliers'!$N$5:$N$34,MATCH($G16,'03 Suppliers'!$B$5:$B$34,0)),"Excl VAT")="Incl VAT",'01 Control'!$C$6,0))/($H16*IFERROR(VLOOKUP($I16,'02 Lists'!$A$5:$B$18,2,FALSE()),1)))</f>
        <v/>
      </c>
      <c r="M16" s="140" t="n"/>
      <c r="N16" s="147" t="n"/>
      <c r="O16" s="141" t="n"/>
      <c r="P16" s="148" t="n"/>
      <c r="Q16" s="149" t="n"/>
      <c r="R16" s="150">
        <f>IF(OR($P16="",$N16="",$N16=0),"",$P16/(1+IF(IFERROR(INDEX('03 Suppliers'!$N$5:$N$34,MATCH($M16,'03 Suppliers'!$B$5:$B$34,0)),"Excl VAT")="Incl VAT",'01 Control'!$C$6,0))/($N16*IFERROR(VLOOKUP($O16,'02 Lists'!$A$5:$B$18,2,FALSE()),1)))</f>
        <v/>
      </c>
      <c r="S16" s="140" t="n"/>
      <c r="T16" s="147" t="n"/>
      <c r="U16" s="141" t="n"/>
      <c r="V16" s="148" t="n"/>
      <c r="W16" s="149" t="n"/>
      <c r="X16" s="150">
        <f>IF(OR($V16="",$T16="",$T16=0),"",$V16/(1+IF(IFERROR(INDEX('03 Suppliers'!$N$5:$N$34,MATCH($S16,'03 Suppliers'!$B$5:$B$34,0)),"Excl VAT")="Incl VAT",'01 Control'!$C$6,0))/($T16*IFERROR(VLOOKUP($U16,'02 Lists'!$A$5:$B$18,2,FALSE()),1)))</f>
        <v/>
      </c>
      <c r="Y16" s="140" t="n"/>
      <c r="Z16" s="147" t="n"/>
      <c r="AA16" s="141" t="n"/>
      <c r="AB16" s="148" t="n"/>
      <c r="AC16" s="149" t="n"/>
      <c r="AD16" s="150">
        <f>IF(OR($AB16="",$Z16="",$Z16=0),"",$AB16/(1+IF(IFERROR(INDEX('03 Suppliers'!$N$5:$N$34,MATCH($Y16,'03 Suppliers'!$B$5:$B$34,0)),"Excl VAT")="Incl VAT",'01 Control'!$C$6,0))/($Z16*IFERROR(VLOOKUP($AA16,'02 Lists'!$A$5:$B$18,2,FALSE()),1)))</f>
        <v/>
      </c>
      <c r="AE16" s="140" t="n"/>
      <c r="AF16" s="147" t="n"/>
      <c r="AG16" s="141" t="n"/>
      <c r="AH16" s="148" t="n"/>
      <c r="AI16" s="149" t="n"/>
      <c r="AJ16" s="150">
        <f>IF(OR($AH16="",$AF16="",$AF16=0),"",$AH16/(1+IF(IFERROR(INDEX('03 Suppliers'!$N$5:$N$34,MATCH($AE16,'03 Suppliers'!$B$5:$B$34,0)),"Excl VAT")="Incl VAT",'01 Control'!$C$6,0))/($AF16*IFERROR(VLOOKUP($AG16,'02 Lists'!$A$5:$B$18,2,FALSE()),1)))</f>
        <v/>
      </c>
      <c r="AK16" s="151">
        <f>IF(COUNT(L16,R16,X16,AD16,AJ16)=0,"",MIN(L16,R16,X16,AD16,AJ16))</f>
        <v/>
      </c>
      <c r="AL16" s="126">
        <f>IF($AK16="","",IF(L16=$AK16,$G16,IF(R16=$AK16,$M16,IF(X16=$AK16,$S16,IF(AD16=$AK16,$Y16,IF(AJ16=$AK16,$AE16,""))))))</f>
        <v/>
      </c>
      <c r="AM16" s="151">
        <f>IF($AK16="","",$AK16/IF($E16="",1,$E16))</f>
        <v/>
      </c>
      <c r="AN16" s="152">
        <f>COUNT(L16,R16,X16,AD16,AJ16)</f>
        <v/>
      </c>
      <c r="AO16" s="150">
        <f>IF(COUNT(L16,R16,X16,AD16,AJ16)=0,"",MAX(L16,R16,X16,AD16,AJ16))</f>
        <v/>
      </c>
      <c r="AP16" s="153">
        <f>IF(OR($AK16="",$AO16="",$AO16=0),"",($AO16-$AK16)/$AO16)</f>
        <v/>
      </c>
      <c r="AQ16" s="154">
        <f>IF($AK16="","",IF(L16=$AK16,$K16,IF(R16=$AK16,$Q16,IF(X16=$AK16,$W16,IF(AD16=$AK16,$AC16,IF(AJ16=$AK16,$AI16,""))))))</f>
        <v/>
      </c>
      <c r="AS16" s="142">
        <f>'02 Lists'!$A$16&amp;""</f>
        <v/>
      </c>
      <c r="AT16" s="142">
        <f>'03 Suppliers'!$B$16&amp;""</f>
        <v/>
      </c>
    </row>
    <row r="17" ht="15" customHeight="1" s="106">
      <c r="A17" s="134" t="inlineStr">
        <is>
          <t>PP-WATER-PURIFIED</t>
        </is>
      </c>
      <c r="B17" s="138" t="inlineStr">
        <is>
          <t>Utilities</t>
        </is>
      </c>
      <c r="C17" s="113" t="inlineStr">
        <is>
          <t>Purified water (38-40 C)</t>
        </is>
      </c>
      <c r="D17" s="139" t="inlineStr">
        <is>
          <t>ml</t>
        </is>
      </c>
      <c r="E17" s="146" t="n">
        <v>1</v>
      </c>
      <c r="F17" s="116" t="inlineStr">
        <is>
          <t>Fresh-daily hydration water</t>
        </is>
      </c>
      <c r="G17" s="140" t="n"/>
      <c r="H17" s="147" t="n"/>
      <c r="I17" s="141" t="n"/>
      <c r="J17" s="148" t="n"/>
      <c r="K17" s="149" t="n"/>
      <c r="L17" s="150">
        <f>IF(OR($J17="",$H17="",$H17=0),"",$J17/(1+IF(IFERROR(INDEX('03 Suppliers'!$N$5:$N$34,MATCH($G17,'03 Suppliers'!$B$5:$B$34,0)),"Excl VAT")="Incl VAT",'01 Control'!$C$6,0))/($H17*IFERROR(VLOOKUP($I17,'02 Lists'!$A$5:$B$18,2,FALSE()),1)))</f>
        <v/>
      </c>
      <c r="M17" s="140" t="n"/>
      <c r="N17" s="147" t="n"/>
      <c r="O17" s="141" t="n"/>
      <c r="P17" s="148" t="n"/>
      <c r="Q17" s="149" t="n"/>
      <c r="R17" s="150">
        <f>IF(OR($P17="",$N17="",$N17=0),"",$P17/(1+IF(IFERROR(INDEX('03 Suppliers'!$N$5:$N$34,MATCH($M17,'03 Suppliers'!$B$5:$B$34,0)),"Excl VAT")="Incl VAT",'01 Control'!$C$6,0))/($N17*IFERROR(VLOOKUP($O17,'02 Lists'!$A$5:$B$18,2,FALSE()),1)))</f>
        <v/>
      </c>
      <c r="S17" s="140" t="n"/>
      <c r="T17" s="147" t="n"/>
      <c r="U17" s="141" t="n"/>
      <c r="V17" s="148" t="n"/>
      <c r="W17" s="149" t="n"/>
      <c r="X17" s="150">
        <f>IF(OR($V17="",$T17="",$T17=0),"",$V17/(1+IF(IFERROR(INDEX('03 Suppliers'!$N$5:$N$34,MATCH($S17,'03 Suppliers'!$B$5:$B$34,0)),"Excl VAT")="Incl VAT",'01 Control'!$C$6,0))/($T17*IFERROR(VLOOKUP($U17,'02 Lists'!$A$5:$B$18,2,FALSE()),1)))</f>
        <v/>
      </c>
      <c r="Y17" s="140" t="n"/>
      <c r="Z17" s="147" t="n"/>
      <c r="AA17" s="141" t="n"/>
      <c r="AB17" s="148" t="n"/>
      <c r="AC17" s="149" t="n"/>
      <c r="AD17" s="150">
        <f>IF(OR($AB17="",$Z17="",$Z17=0),"",$AB17/(1+IF(IFERROR(INDEX('03 Suppliers'!$N$5:$N$34,MATCH($Y17,'03 Suppliers'!$B$5:$B$34,0)),"Excl VAT")="Incl VAT",'01 Control'!$C$6,0))/($Z17*IFERROR(VLOOKUP($AA17,'02 Lists'!$A$5:$B$18,2,FALSE()),1)))</f>
        <v/>
      </c>
      <c r="AE17" s="140" t="n"/>
      <c r="AF17" s="147" t="n"/>
      <c r="AG17" s="141" t="n"/>
      <c r="AH17" s="148" t="n"/>
      <c r="AI17" s="149" t="n"/>
      <c r="AJ17" s="150">
        <f>IF(OR($AH17="",$AF17="",$AF17=0),"",$AH17/(1+IF(IFERROR(INDEX('03 Suppliers'!$N$5:$N$34,MATCH($AE17,'03 Suppliers'!$B$5:$B$34,0)),"Excl VAT")="Incl VAT",'01 Control'!$C$6,0))/($AF17*IFERROR(VLOOKUP($AG17,'02 Lists'!$A$5:$B$18,2,FALSE()),1)))</f>
        <v/>
      </c>
      <c r="AK17" s="151">
        <f>IF(COUNT(L17,R17,X17,AD17,AJ17)=0,"",MIN(L17,R17,X17,AD17,AJ17))</f>
        <v/>
      </c>
      <c r="AL17" s="126">
        <f>IF($AK17="","",IF(L17=$AK17,$G17,IF(R17=$AK17,$M17,IF(X17=$AK17,$S17,IF(AD17=$AK17,$Y17,IF(AJ17=$AK17,$AE17,""))))))</f>
        <v/>
      </c>
      <c r="AM17" s="151">
        <f>IF($AK17="","",$AK17/IF($E17="",1,$E17))</f>
        <v/>
      </c>
      <c r="AN17" s="152">
        <f>COUNT(L17,R17,X17,AD17,AJ17)</f>
        <v/>
      </c>
      <c r="AO17" s="150">
        <f>IF(COUNT(L17,R17,X17,AD17,AJ17)=0,"",MAX(L17,R17,X17,AD17,AJ17))</f>
        <v/>
      </c>
      <c r="AP17" s="153">
        <f>IF(OR($AK17="",$AO17="",$AO17=0),"",($AO17-$AK17)/$AO17)</f>
        <v/>
      </c>
      <c r="AQ17" s="154">
        <f>IF($AK17="","",IF(L17=$AK17,$K17,IF(R17=$AK17,$Q17,IF(X17=$AK17,$W17,IF(AD17=$AK17,$AC17,IF(AJ17=$AK17,$AI17,""))))))</f>
        <v/>
      </c>
      <c r="AS17" s="142">
        <f>'02 Lists'!$A$17&amp;""</f>
        <v/>
      </c>
      <c r="AT17" s="142">
        <f>'03 Suppliers'!$B$17&amp;""</f>
        <v/>
      </c>
    </row>
    <row r="18" ht="15" customHeight="1" s="106">
      <c r="A18" s="134" t="inlineStr">
        <is>
          <t>PP-SALT</t>
        </is>
      </c>
      <c r="B18" s="138" t="inlineStr">
        <is>
          <t>Dry Goods</t>
        </is>
      </c>
      <c r="C18" s="113" t="inlineStr">
        <is>
          <t>Salt</t>
        </is>
      </c>
      <c r="D18" s="139" t="inlineStr">
        <is>
          <t>g</t>
        </is>
      </c>
      <c r="E18" s="146" t="n">
        <v>1</v>
      </c>
      <c r="F18" s="116" t="inlineStr">
        <is>
          <t>Optional/recommended at 1-1.5% of dry weight</t>
        </is>
      </c>
      <c r="G18" s="140" t="n"/>
      <c r="H18" s="147" t="n"/>
      <c r="I18" s="141" t="n"/>
      <c r="J18" s="148" t="n"/>
      <c r="K18" s="149" t="n"/>
      <c r="L18" s="150">
        <f>IF(OR($J18="",$H18="",$H18=0),"",$J18/(1+IF(IFERROR(INDEX('03 Suppliers'!$N$5:$N$34,MATCH($G18,'03 Suppliers'!$B$5:$B$34,0)),"Excl VAT")="Incl VAT",'01 Control'!$C$6,0))/($H18*IFERROR(VLOOKUP($I18,'02 Lists'!$A$5:$B$18,2,FALSE()),1)))</f>
        <v/>
      </c>
      <c r="M18" s="140" t="n"/>
      <c r="N18" s="147" t="n"/>
      <c r="O18" s="141" t="n"/>
      <c r="P18" s="148" t="n"/>
      <c r="Q18" s="149" t="n"/>
      <c r="R18" s="150">
        <f>IF(OR($P18="",$N18="",$N18=0),"",$P18/(1+IF(IFERROR(INDEX('03 Suppliers'!$N$5:$N$34,MATCH($M18,'03 Suppliers'!$B$5:$B$34,0)),"Excl VAT")="Incl VAT",'01 Control'!$C$6,0))/($N18*IFERROR(VLOOKUP($O18,'02 Lists'!$A$5:$B$18,2,FALSE()),1)))</f>
        <v/>
      </c>
      <c r="S18" s="140" t="n"/>
      <c r="T18" s="147" t="n"/>
      <c r="U18" s="141" t="n"/>
      <c r="V18" s="148" t="n"/>
      <c r="W18" s="149" t="n"/>
      <c r="X18" s="150">
        <f>IF(OR($V18="",$T18="",$T18=0),"",$V18/(1+IF(IFERROR(INDEX('03 Suppliers'!$N$5:$N$34,MATCH($S18,'03 Suppliers'!$B$5:$B$34,0)),"Excl VAT")="Incl VAT",'01 Control'!$C$6,0))/($T18*IFERROR(VLOOKUP($U18,'02 Lists'!$A$5:$B$18,2,FALSE()),1)))</f>
        <v/>
      </c>
      <c r="Y18" s="140" t="n"/>
      <c r="Z18" s="147" t="n"/>
      <c r="AA18" s="141" t="n"/>
      <c r="AB18" s="148" t="n"/>
      <c r="AC18" s="149" t="n"/>
      <c r="AD18" s="150">
        <f>IF(OR($AB18="",$Z18="",$Z18=0),"",$AB18/(1+IF(IFERROR(INDEX('03 Suppliers'!$N$5:$N$34,MATCH($Y18,'03 Suppliers'!$B$5:$B$34,0)),"Excl VAT")="Incl VAT",'01 Control'!$C$6,0))/($Z18*IFERROR(VLOOKUP($AA18,'02 Lists'!$A$5:$B$18,2,FALSE()),1)))</f>
        <v/>
      </c>
      <c r="AE18" s="140" t="n"/>
      <c r="AF18" s="147" t="n"/>
      <c r="AG18" s="141" t="n"/>
      <c r="AH18" s="148" t="n"/>
      <c r="AI18" s="149" t="n"/>
      <c r="AJ18" s="150">
        <f>IF(OR($AH18="",$AF18="",$AF18=0),"",$AH18/(1+IF(IFERROR(INDEX('03 Suppliers'!$N$5:$N$34,MATCH($AE18,'03 Suppliers'!$B$5:$B$34,0)),"Excl VAT")="Incl VAT",'01 Control'!$C$6,0))/($AF18*IFERROR(VLOOKUP($AG18,'02 Lists'!$A$5:$B$18,2,FALSE()),1)))</f>
        <v/>
      </c>
      <c r="AK18" s="151">
        <f>IF(COUNT(L18,R18,X18,AD18,AJ18)=0,"",MIN(L18,R18,X18,AD18,AJ18))</f>
        <v/>
      </c>
      <c r="AL18" s="126">
        <f>IF($AK18="","",IF(L18=$AK18,$G18,IF(R18=$AK18,$M18,IF(X18=$AK18,$S18,IF(AD18=$AK18,$Y18,IF(AJ18=$AK18,$AE18,""))))))</f>
        <v/>
      </c>
      <c r="AM18" s="151">
        <f>IF($AK18="","",$AK18/IF($E18="",1,$E18))</f>
        <v/>
      </c>
      <c r="AN18" s="152">
        <f>COUNT(L18,R18,X18,AD18,AJ18)</f>
        <v/>
      </c>
      <c r="AO18" s="150">
        <f>IF(COUNT(L18,R18,X18,AD18,AJ18)=0,"",MAX(L18,R18,X18,AD18,AJ18))</f>
        <v/>
      </c>
      <c r="AP18" s="153">
        <f>IF(OR($AK18="",$AO18="",$AO18=0),"",($AO18-$AK18)/$AO18)</f>
        <v/>
      </c>
      <c r="AQ18" s="154">
        <f>IF($AK18="","",IF(L18=$AK18,$K18,IF(R18=$AK18,$Q18,IF(X18=$AK18,$W18,IF(AD18=$AK18,$AC18,IF(AJ18=$AK18,$AI18,""))))))</f>
        <v/>
      </c>
      <c r="AS18" s="142">
        <f>'02 Lists'!$A$18&amp;""</f>
        <v/>
      </c>
      <c r="AT18" s="142">
        <f>'03 Suppliers'!$B$18&amp;""</f>
        <v/>
      </c>
    </row>
    <row r="19" ht="15" customHeight="1" s="106">
      <c r="A19" s="134" t="inlineStr">
        <is>
          <t>PP-EVOO</t>
        </is>
      </c>
      <c r="B19" s="138" t="inlineStr">
        <is>
          <t>Oil / Fat</t>
        </is>
      </c>
      <c r="C19" s="113" t="inlineStr">
        <is>
          <t>Extra-virgin olive oil</t>
        </is>
      </c>
      <c r="D19" s="139" t="inlineStr">
        <is>
          <t>ml</t>
        </is>
      </c>
      <c r="E19" s="146" t="n">
        <v>1</v>
      </c>
      <c r="F19" s="116" t="inlineStr">
        <is>
          <t>Mouthfeel / aroma carrier; also a finishing item</t>
        </is>
      </c>
      <c r="G19" s="140" t="n"/>
      <c r="H19" s="147" t="n"/>
      <c r="I19" s="141" t="n"/>
      <c r="J19" s="148" t="n"/>
      <c r="K19" s="149" t="n"/>
      <c r="L19" s="150">
        <f>IF(OR($J19="",$H19="",$H19=0),"",$J19/(1+IF(IFERROR(INDEX('03 Suppliers'!$N$5:$N$34,MATCH($G19,'03 Suppliers'!$B$5:$B$34,0)),"Excl VAT")="Incl VAT",'01 Control'!$C$6,0))/($H19*IFERROR(VLOOKUP($I19,'02 Lists'!$A$5:$B$18,2,FALSE()),1)))</f>
        <v/>
      </c>
      <c r="M19" s="140" t="n"/>
      <c r="N19" s="147" t="n"/>
      <c r="O19" s="141" t="n"/>
      <c r="P19" s="148" t="n"/>
      <c r="Q19" s="149" t="n"/>
      <c r="R19" s="150">
        <f>IF(OR($P19="",$N19="",$N19=0),"",$P19/(1+IF(IFERROR(INDEX('03 Suppliers'!$N$5:$N$34,MATCH($M19,'03 Suppliers'!$B$5:$B$34,0)),"Excl VAT")="Incl VAT",'01 Control'!$C$6,0))/($N19*IFERROR(VLOOKUP($O19,'02 Lists'!$A$5:$B$18,2,FALSE()),1)))</f>
        <v/>
      </c>
      <c r="S19" s="140" t="n"/>
      <c r="T19" s="147" t="n"/>
      <c r="U19" s="141" t="n"/>
      <c r="V19" s="148" t="n"/>
      <c r="W19" s="149" t="n"/>
      <c r="X19" s="150">
        <f>IF(OR($V19="",$T19="",$T19=0),"",$V19/(1+IF(IFERROR(INDEX('03 Suppliers'!$N$5:$N$34,MATCH($S19,'03 Suppliers'!$B$5:$B$34,0)),"Excl VAT")="Incl VAT",'01 Control'!$C$6,0))/($T19*IFERROR(VLOOKUP($U19,'02 Lists'!$A$5:$B$18,2,FALSE()),1)))</f>
        <v/>
      </c>
      <c r="Y19" s="140" t="n"/>
      <c r="Z19" s="147" t="n"/>
      <c r="AA19" s="141" t="n"/>
      <c r="AB19" s="148" t="n"/>
      <c r="AC19" s="149" t="n"/>
      <c r="AD19" s="150">
        <f>IF(OR($AB19="",$Z19="",$Z19=0),"",$AB19/(1+IF(IFERROR(INDEX('03 Suppliers'!$N$5:$N$34,MATCH($Y19,'03 Suppliers'!$B$5:$B$34,0)),"Excl VAT")="Incl VAT",'01 Control'!$C$6,0))/($Z19*IFERROR(VLOOKUP($AA19,'02 Lists'!$A$5:$B$18,2,FALSE()),1)))</f>
        <v/>
      </c>
      <c r="AE19" s="140" t="n"/>
      <c r="AF19" s="147" t="n"/>
      <c r="AG19" s="141" t="n"/>
      <c r="AH19" s="148" t="n"/>
      <c r="AI19" s="149" t="n"/>
      <c r="AJ19" s="150">
        <f>IF(OR($AH19="",$AF19="",$AF19=0),"",$AH19/(1+IF(IFERROR(INDEX('03 Suppliers'!$N$5:$N$34,MATCH($AE19,'03 Suppliers'!$B$5:$B$34,0)),"Excl VAT")="Incl VAT",'01 Control'!$C$6,0))/($AF19*IFERROR(VLOOKUP($AG19,'02 Lists'!$A$5:$B$18,2,FALSE()),1)))</f>
        <v/>
      </c>
      <c r="AK19" s="151">
        <f>IF(COUNT(L19,R19,X19,AD19,AJ19)=0,"",MIN(L19,R19,X19,AD19,AJ19))</f>
        <v/>
      </c>
      <c r="AL19" s="126">
        <f>IF($AK19="","",IF(L19=$AK19,$G19,IF(R19=$AK19,$M19,IF(X19=$AK19,$S19,IF(AD19=$AK19,$Y19,IF(AJ19=$AK19,$AE19,""))))))</f>
        <v/>
      </c>
      <c r="AM19" s="151">
        <f>IF($AK19="","",$AK19/IF($E19="",1,$E19))</f>
        <v/>
      </c>
      <c r="AN19" s="152">
        <f>COUNT(L19,R19,X19,AD19,AJ19)</f>
        <v/>
      </c>
      <c r="AO19" s="150">
        <f>IF(COUNT(L19,R19,X19,AD19,AJ19)=0,"",MAX(L19,R19,X19,AD19,AJ19))</f>
        <v/>
      </c>
      <c r="AP19" s="153">
        <f>IF(OR($AK19="",$AO19="",$AO19=0),"",($AO19-$AK19)/$AO19)</f>
        <v/>
      </c>
      <c r="AQ19" s="154">
        <f>IF($AK19="","",IF(L19=$AK19,$K19,IF(R19=$AK19,$Q19,IF(X19=$AK19,$W19,IF(AD19=$AK19,$AC19,IF(AJ19=$AK19,$AI19,""))))))</f>
        <v/>
      </c>
      <c r="AS19" s="142">
        <f>'02 Lists'!$A$19&amp;""</f>
        <v/>
      </c>
      <c r="AT19" s="142">
        <f>'03 Suppliers'!$B$19&amp;""</f>
        <v/>
      </c>
    </row>
    <row r="20" ht="15" customHeight="1" s="106">
      <c r="A20" s="134" t="inlineStr">
        <is>
          <t>PP-OIL</t>
        </is>
      </c>
      <c r="B20" s="138" t="inlineStr">
        <is>
          <t>Oil / Fat</t>
        </is>
      </c>
      <c r="C20" s="113" t="inlineStr">
        <is>
          <t>Cooking oil (sunflower / canola)</t>
        </is>
      </c>
      <c r="D20" s="139" t="inlineStr">
        <is>
          <t>ml</t>
        </is>
      </c>
      <c r="E20" s="146" t="n">
        <v>1</v>
      </c>
      <c r="F20" s="116" t="inlineStr">
        <is>
          <t>Commissary soffritto base</t>
        </is>
      </c>
      <c r="G20" s="140" t="n"/>
      <c r="H20" s="147" t="n"/>
      <c r="I20" s="141" t="n"/>
      <c r="J20" s="148" t="n"/>
      <c r="K20" s="149" t="n"/>
      <c r="L20" s="150">
        <f>IF(OR($J20="",$H20="",$H20=0),"",$J20/(1+IF(IFERROR(INDEX('03 Suppliers'!$N$5:$N$34,MATCH($G20,'03 Suppliers'!$B$5:$B$34,0)),"Excl VAT")="Incl VAT",'01 Control'!$C$6,0))/($H20*IFERROR(VLOOKUP($I20,'02 Lists'!$A$5:$B$18,2,FALSE()),1)))</f>
        <v/>
      </c>
      <c r="M20" s="140" t="n"/>
      <c r="N20" s="147" t="n"/>
      <c r="O20" s="141" t="n"/>
      <c r="P20" s="148" t="n"/>
      <c r="Q20" s="149" t="n"/>
      <c r="R20" s="150">
        <f>IF(OR($P20="",$N20="",$N20=0),"",$P20/(1+IF(IFERROR(INDEX('03 Suppliers'!$N$5:$N$34,MATCH($M20,'03 Suppliers'!$B$5:$B$34,0)),"Excl VAT")="Incl VAT",'01 Control'!$C$6,0))/($N20*IFERROR(VLOOKUP($O20,'02 Lists'!$A$5:$B$18,2,FALSE()),1)))</f>
        <v/>
      </c>
      <c r="S20" s="140" t="n"/>
      <c r="T20" s="147" t="n"/>
      <c r="U20" s="141" t="n"/>
      <c r="V20" s="148" t="n"/>
      <c r="W20" s="149" t="n"/>
      <c r="X20" s="150">
        <f>IF(OR($V20="",$T20="",$T20=0),"",$V20/(1+IF(IFERROR(INDEX('03 Suppliers'!$N$5:$N$34,MATCH($S20,'03 Suppliers'!$B$5:$B$34,0)),"Excl VAT")="Incl VAT",'01 Control'!$C$6,0))/($T20*IFERROR(VLOOKUP($U20,'02 Lists'!$A$5:$B$18,2,FALSE()),1)))</f>
        <v/>
      </c>
      <c r="Y20" s="140" t="n"/>
      <c r="Z20" s="147" t="n"/>
      <c r="AA20" s="141" t="n"/>
      <c r="AB20" s="148" t="n"/>
      <c r="AC20" s="149" t="n"/>
      <c r="AD20" s="150">
        <f>IF(OR($AB20="",$Z20="",$Z20=0),"",$AB20/(1+IF(IFERROR(INDEX('03 Suppliers'!$N$5:$N$34,MATCH($Y20,'03 Suppliers'!$B$5:$B$34,0)),"Excl VAT")="Incl VAT",'01 Control'!$C$6,0))/($Z20*IFERROR(VLOOKUP($AA20,'02 Lists'!$A$5:$B$18,2,FALSE()),1)))</f>
        <v/>
      </c>
      <c r="AE20" s="140" t="n"/>
      <c r="AF20" s="147" t="n"/>
      <c r="AG20" s="141" t="n"/>
      <c r="AH20" s="148" t="n"/>
      <c r="AI20" s="149" t="n"/>
      <c r="AJ20" s="150">
        <f>IF(OR($AH20="",$AF20="",$AF20=0),"",$AH20/(1+IF(IFERROR(INDEX('03 Suppliers'!$N$5:$N$34,MATCH($AE20,'03 Suppliers'!$B$5:$B$34,0)),"Excl VAT")="Incl VAT",'01 Control'!$C$6,0))/($AF20*IFERROR(VLOOKUP($AG20,'02 Lists'!$A$5:$B$18,2,FALSE()),1)))</f>
        <v/>
      </c>
      <c r="AK20" s="151">
        <f>IF(COUNT(L20,R20,X20,AD20,AJ20)=0,"",MIN(L20,R20,X20,AD20,AJ20))</f>
        <v/>
      </c>
      <c r="AL20" s="126">
        <f>IF($AK20="","",IF(L20=$AK20,$G20,IF(R20=$AK20,$M20,IF(X20=$AK20,$S20,IF(AD20=$AK20,$Y20,IF(AJ20=$AK20,$AE20,""))))))</f>
        <v/>
      </c>
      <c r="AM20" s="151">
        <f>IF($AK20="","",$AK20/IF($E20="",1,$E20))</f>
        <v/>
      </c>
      <c r="AN20" s="152">
        <f>COUNT(L20,R20,X20,AD20,AJ20)</f>
        <v/>
      </c>
      <c r="AO20" s="150">
        <f>IF(COUNT(L20,R20,X20,AD20,AJ20)=0,"",MAX(L20,R20,X20,AD20,AJ20))</f>
        <v/>
      </c>
      <c r="AP20" s="153">
        <f>IF(OR($AK20="",$AO20="",$AO20=0),"",($AO20-$AK20)/$AO20)</f>
        <v/>
      </c>
      <c r="AQ20" s="154">
        <f>IF($AK20="","",IF(L20=$AK20,$K20,IF(R20=$AK20,$Q20,IF(X20=$AK20,$W20,IF(AD20=$AK20,$AC20,IF(AJ20=$AK20,$AI20,""))))))</f>
        <v/>
      </c>
      <c r="AS20" s="142">
        <f>'02 Lists'!$A$20&amp;""</f>
        <v/>
      </c>
      <c r="AT20" s="142">
        <f>'03 Suppliers'!$B$20&amp;""</f>
        <v/>
      </c>
    </row>
    <row r="21" ht="15" customHeight="1" s="106">
      <c r="A21" s="134" t="inlineStr">
        <is>
          <t>PP-BUTTER</t>
        </is>
      </c>
      <c r="B21" s="138" t="inlineStr">
        <is>
          <t>Dairy</t>
        </is>
      </c>
      <c r="C21" s="113" t="inlineStr">
        <is>
          <t>Butter, salted</t>
        </is>
      </c>
      <c r="D21" s="139" t="inlineStr">
        <is>
          <t>g</t>
        </is>
      </c>
      <c r="E21" s="146" t="n">
        <v>1</v>
      </c>
      <c r="F21" s="116" t="inlineStr">
        <is>
          <t>Cream sauce bases</t>
        </is>
      </c>
      <c r="G21" s="140" t="n"/>
      <c r="H21" s="147" t="n"/>
      <c r="I21" s="141" t="n"/>
      <c r="J21" s="148" t="n"/>
      <c r="K21" s="149" t="n"/>
      <c r="L21" s="150">
        <f>IF(OR($J21="",$H21="",$H21=0),"",$J21/(1+IF(IFERROR(INDEX('03 Suppliers'!$N$5:$N$34,MATCH($G21,'03 Suppliers'!$B$5:$B$34,0)),"Excl VAT")="Incl VAT",'01 Control'!$C$6,0))/($H21*IFERROR(VLOOKUP($I21,'02 Lists'!$A$5:$B$18,2,FALSE()),1)))</f>
        <v/>
      </c>
      <c r="M21" s="140" t="n"/>
      <c r="N21" s="147" t="n"/>
      <c r="O21" s="141" t="n"/>
      <c r="P21" s="148" t="n"/>
      <c r="Q21" s="149" t="n"/>
      <c r="R21" s="150">
        <f>IF(OR($P21="",$N21="",$N21=0),"",$P21/(1+IF(IFERROR(INDEX('03 Suppliers'!$N$5:$N$34,MATCH($M21,'03 Suppliers'!$B$5:$B$34,0)),"Excl VAT")="Incl VAT",'01 Control'!$C$6,0))/($N21*IFERROR(VLOOKUP($O21,'02 Lists'!$A$5:$B$18,2,FALSE()),1)))</f>
        <v/>
      </c>
      <c r="S21" s="140" t="n"/>
      <c r="T21" s="147" t="n"/>
      <c r="U21" s="141" t="n"/>
      <c r="V21" s="148" t="n"/>
      <c r="W21" s="149" t="n"/>
      <c r="X21" s="150">
        <f>IF(OR($V21="",$T21="",$T21=0),"",$V21/(1+IF(IFERROR(INDEX('03 Suppliers'!$N$5:$N$34,MATCH($S21,'03 Suppliers'!$B$5:$B$34,0)),"Excl VAT")="Incl VAT",'01 Control'!$C$6,0))/($T21*IFERROR(VLOOKUP($U21,'02 Lists'!$A$5:$B$18,2,FALSE()),1)))</f>
        <v/>
      </c>
      <c r="Y21" s="140" t="n"/>
      <c r="Z21" s="147" t="n"/>
      <c r="AA21" s="141" t="n"/>
      <c r="AB21" s="148" t="n"/>
      <c r="AC21" s="149" t="n"/>
      <c r="AD21" s="150">
        <f>IF(OR($AB21="",$Z21="",$Z21=0),"",$AB21/(1+IF(IFERROR(INDEX('03 Suppliers'!$N$5:$N$34,MATCH($Y21,'03 Suppliers'!$B$5:$B$34,0)),"Excl VAT")="Incl VAT",'01 Control'!$C$6,0))/($Z21*IFERROR(VLOOKUP($AA21,'02 Lists'!$A$5:$B$18,2,FALSE()),1)))</f>
        <v/>
      </c>
      <c r="AE21" s="140" t="n"/>
      <c r="AF21" s="147" t="n"/>
      <c r="AG21" s="141" t="n"/>
      <c r="AH21" s="148" t="n"/>
      <c r="AI21" s="149" t="n"/>
      <c r="AJ21" s="150">
        <f>IF(OR($AH21="",$AF21="",$AF21=0),"",$AH21/(1+IF(IFERROR(INDEX('03 Suppliers'!$N$5:$N$34,MATCH($AE21,'03 Suppliers'!$B$5:$B$34,0)),"Excl VAT")="Incl VAT",'01 Control'!$C$6,0))/($AF21*IFERROR(VLOOKUP($AG21,'02 Lists'!$A$5:$B$18,2,FALSE()),1)))</f>
        <v/>
      </c>
      <c r="AK21" s="151">
        <f>IF(COUNT(L21,R21,X21,AD21,AJ21)=0,"",MIN(L21,R21,X21,AD21,AJ21))</f>
        <v/>
      </c>
      <c r="AL21" s="126">
        <f>IF($AK21="","",IF(L21=$AK21,$G21,IF(R21=$AK21,$M21,IF(X21=$AK21,$S21,IF(AD21=$AK21,$Y21,IF(AJ21=$AK21,$AE21,""))))))</f>
        <v/>
      </c>
      <c r="AM21" s="151">
        <f>IF($AK21="","",$AK21/IF($E21="",1,$E21))</f>
        <v/>
      </c>
      <c r="AN21" s="152">
        <f>COUNT(L21,R21,X21,AD21,AJ21)</f>
        <v/>
      </c>
      <c r="AO21" s="150">
        <f>IF(COUNT(L21,R21,X21,AD21,AJ21)=0,"",MAX(L21,R21,X21,AD21,AJ21))</f>
        <v/>
      </c>
      <c r="AP21" s="153">
        <f>IF(OR($AK21="",$AO21="",$AO21=0),"",($AO21-$AK21)/$AO21)</f>
        <v/>
      </c>
      <c r="AQ21" s="154">
        <f>IF($AK21="","",IF(L21=$AK21,$K21,IF(R21=$AK21,$Q21,IF(X21=$AK21,$W21,IF(AD21=$AK21,$AC21,IF(AJ21=$AK21,$AI21,""))))))</f>
        <v/>
      </c>
      <c r="AS21" s="142">
        <f>'02 Lists'!$A$21&amp;""</f>
        <v/>
      </c>
      <c r="AT21" s="142">
        <f>'03 Suppliers'!$B$21&amp;""</f>
        <v/>
      </c>
    </row>
    <row r="22" ht="15" customHeight="1" s="106">
      <c r="A22" s="134" t="inlineStr">
        <is>
          <t>PP-CHILLI-OIL</t>
        </is>
      </c>
      <c r="B22" s="138" t="inlineStr">
        <is>
          <t>Oil / Fat</t>
        </is>
      </c>
      <c r="C22" s="113" t="inlineStr">
        <is>
          <t>Chilli oil (finishing, dial-a-heat)</t>
        </is>
      </c>
      <c r="D22" s="139" t="inlineStr">
        <is>
          <t>ml</t>
        </is>
      </c>
      <c r="E22" s="146" t="n">
        <v>1</v>
      </c>
      <c r="F22" s="116" t="inlineStr">
        <is>
          <t>Store finishing item - Mild/Medium/Hot</t>
        </is>
      </c>
      <c r="G22" s="140" t="n"/>
      <c r="H22" s="147" t="n"/>
      <c r="I22" s="141" t="n"/>
      <c r="J22" s="148" t="n"/>
      <c r="K22" s="149" t="n"/>
      <c r="L22" s="150">
        <f>IF(OR($J22="",$H22="",$H22=0),"",$J22/(1+IF(IFERROR(INDEX('03 Suppliers'!$N$5:$N$34,MATCH($G22,'03 Suppliers'!$B$5:$B$34,0)),"Excl VAT")="Incl VAT",'01 Control'!$C$6,0))/($H22*IFERROR(VLOOKUP($I22,'02 Lists'!$A$5:$B$18,2,FALSE()),1)))</f>
        <v/>
      </c>
      <c r="M22" s="140" t="n"/>
      <c r="N22" s="147" t="n"/>
      <c r="O22" s="141" t="n"/>
      <c r="P22" s="148" t="n"/>
      <c r="Q22" s="149" t="n"/>
      <c r="R22" s="150">
        <f>IF(OR($P22="",$N22="",$N22=0),"",$P22/(1+IF(IFERROR(INDEX('03 Suppliers'!$N$5:$N$34,MATCH($M22,'03 Suppliers'!$B$5:$B$34,0)),"Excl VAT")="Incl VAT",'01 Control'!$C$6,0))/($N22*IFERROR(VLOOKUP($O22,'02 Lists'!$A$5:$B$18,2,FALSE()),1)))</f>
        <v/>
      </c>
      <c r="S22" s="140" t="n"/>
      <c r="T22" s="147" t="n"/>
      <c r="U22" s="141" t="n"/>
      <c r="V22" s="148" t="n"/>
      <c r="W22" s="149" t="n"/>
      <c r="X22" s="150">
        <f>IF(OR($V22="",$T22="",$T22=0),"",$V22/(1+IF(IFERROR(INDEX('03 Suppliers'!$N$5:$N$34,MATCH($S22,'03 Suppliers'!$B$5:$B$34,0)),"Excl VAT")="Incl VAT",'01 Control'!$C$6,0))/($T22*IFERROR(VLOOKUP($U22,'02 Lists'!$A$5:$B$18,2,FALSE()),1)))</f>
        <v/>
      </c>
      <c r="Y22" s="140" t="n"/>
      <c r="Z22" s="147" t="n"/>
      <c r="AA22" s="141" t="n"/>
      <c r="AB22" s="148" t="n"/>
      <c r="AC22" s="149" t="n"/>
      <c r="AD22" s="150">
        <f>IF(OR($AB22="",$Z22="",$Z22=0),"",$AB22/(1+IF(IFERROR(INDEX('03 Suppliers'!$N$5:$N$34,MATCH($Y22,'03 Suppliers'!$B$5:$B$34,0)),"Excl VAT")="Incl VAT",'01 Control'!$C$6,0))/($Z22*IFERROR(VLOOKUP($AA22,'02 Lists'!$A$5:$B$18,2,FALSE()),1)))</f>
        <v/>
      </c>
      <c r="AE22" s="140" t="n"/>
      <c r="AF22" s="147" t="n"/>
      <c r="AG22" s="141" t="n"/>
      <c r="AH22" s="148" t="n"/>
      <c r="AI22" s="149" t="n"/>
      <c r="AJ22" s="150">
        <f>IF(OR($AH22="",$AF22="",$AF22=0),"",$AH22/(1+IF(IFERROR(INDEX('03 Suppliers'!$N$5:$N$34,MATCH($AE22,'03 Suppliers'!$B$5:$B$34,0)),"Excl VAT")="Incl VAT",'01 Control'!$C$6,0))/($AF22*IFERROR(VLOOKUP($AG22,'02 Lists'!$A$5:$B$18,2,FALSE()),1)))</f>
        <v/>
      </c>
      <c r="AK22" s="151">
        <f>IF(COUNT(L22,R22,X22,AD22,AJ22)=0,"",MIN(L22,R22,X22,AD22,AJ22))</f>
        <v/>
      </c>
      <c r="AL22" s="126">
        <f>IF($AK22="","",IF(L22=$AK22,$G22,IF(R22=$AK22,$M22,IF(X22=$AK22,$S22,IF(AD22=$AK22,$Y22,IF(AJ22=$AK22,$AE22,""))))))</f>
        <v/>
      </c>
      <c r="AM22" s="151">
        <f>IF($AK22="","",$AK22/IF($E22="",1,$E22))</f>
        <v/>
      </c>
      <c r="AN22" s="152">
        <f>COUNT(L22,R22,X22,AD22,AJ22)</f>
        <v/>
      </c>
      <c r="AO22" s="150">
        <f>IF(COUNT(L22,R22,X22,AD22,AJ22)=0,"",MAX(L22,R22,X22,AD22,AJ22))</f>
        <v/>
      </c>
      <c r="AP22" s="153">
        <f>IF(OR($AK22="",$AO22="",$AO22=0),"",($AO22-$AK22)/$AO22)</f>
        <v/>
      </c>
      <c r="AQ22" s="154">
        <f>IF($AK22="","",IF(L22=$AK22,$K22,IF(R22=$AK22,$Q22,IF(X22=$AK22,$W22,IF(AD22=$AK22,$AC22,IF(AJ22=$AK22,$AI22,""))))))</f>
        <v/>
      </c>
      <c r="AT22" s="142">
        <f>'03 Suppliers'!$B$22&amp;""</f>
        <v/>
      </c>
    </row>
    <row r="23" ht="15" customHeight="1" s="106">
      <c r="A23" s="134" t="inlineStr">
        <is>
          <t>PP-TOM-PLUM</t>
        </is>
      </c>
      <c r="B23" s="138" t="inlineStr">
        <is>
          <t>Tomato</t>
        </is>
      </c>
      <c r="C23" s="113" t="inlineStr">
        <is>
          <t>San Marzano-style plum tomatoes, tinned</t>
        </is>
      </c>
      <c r="D23" s="139" t="inlineStr">
        <is>
          <t>g</t>
        </is>
      </c>
      <c r="E23" s="146" t="n">
        <v>1</v>
      </c>
      <c r="F23" s="116" t="inlineStr">
        <is>
          <t>Napoletana / Bolognese / Arrabbiata base</t>
        </is>
      </c>
      <c r="G23" s="140" t="n"/>
      <c r="H23" s="147" t="n"/>
      <c r="I23" s="141" t="n"/>
      <c r="J23" s="148" t="n"/>
      <c r="K23" s="149" t="n"/>
      <c r="L23" s="150">
        <f>IF(OR($J23="",$H23="",$H23=0),"",$J23/(1+IF(IFERROR(INDEX('03 Suppliers'!$N$5:$N$34,MATCH($G23,'03 Suppliers'!$B$5:$B$34,0)),"Excl VAT")="Incl VAT",'01 Control'!$C$6,0))/($H23*IFERROR(VLOOKUP($I23,'02 Lists'!$A$5:$B$18,2,FALSE()),1)))</f>
        <v/>
      </c>
      <c r="M23" s="140" t="n"/>
      <c r="N23" s="147" t="n"/>
      <c r="O23" s="141" t="n"/>
      <c r="P23" s="148" t="n"/>
      <c r="Q23" s="149" t="n"/>
      <c r="R23" s="150">
        <f>IF(OR($P23="",$N23="",$N23=0),"",$P23/(1+IF(IFERROR(INDEX('03 Suppliers'!$N$5:$N$34,MATCH($M23,'03 Suppliers'!$B$5:$B$34,0)),"Excl VAT")="Incl VAT",'01 Control'!$C$6,0))/($N23*IFERROR(VLOOKUP($O23,'02 Lists'!$A$5:$B$18,2,FALSE()),1)))</f>
        <v/>
      </c>
      <c r="S23" s="140" t="n"/>
      <c r="T23" s="147" t="n"/>
      <c r="U23" s="141" t="n"/>
      <c r="V23" s="148" t="n"/>
      <c r="W23" s="149" t="n"/>
      <c r="X23" s="150">
        <f>IF(OR($V23="",$T23="",$T23=0),"",$V23/(1+IF(IFERROR(INDEX('03 Suppliers'!$N$5:$N$34,MATCH($S23,'03 Suppliers'!$B$5:$B$34,0)),"Excl VAT")="Incl VAT",'01 Control'!$C$6,0))/($T23*IFERROR(VLOOKUP($U23,'02 Lists'!$A$5:$B$18,2,FALSE()),1)))</f>
        <v/>
      </c>
      <c r="Y23" s="140" t="n"/>
      <c r="Z23" s="147" t="n"/>
      <c r="AA23" s="141" t="n"/>
      <c r="AB23" s="148" t="n"/>
      <c r="AC23" s="149" t="n"/>
      <c r="AD23" s="150">
        <f>IF(OR($AB23="",$Z23="",$Z23=0),"",$AB23/(1+IF(IFERROR(INDEX('03 Suppliers'!$N$5:$N$34,MATCH($Y23,'03 Suppliers'!$B$5:$B$34,0)),"Excl VAT")="Incl VAT",'01 Control'!$C$6,0))/($Z23*IFERROR(VLOOKUP($AA23,'02 Lists'!$A$5:$B$18,2,FALSE()),1)))</f>
        <v/>
      </c>
      <c r="AE23" s="140" t="n"/>
      <c r="AF23" s="147" t="n"/>
      <c r="AG23" s="141" t="n"/>
      <c r="AH23" s="148" t="n"/>
      <c r="AI23" s="149" t="n"/>
      <c r="AJ23" s="150">
        <f>IF(OR($AH23="",$AF23="",$AF23=0),"",$AH23/(1+IF(IFERROR(INDEX('03 Suppliers'!$N$5:$N$34,MATCH($AE23,'03 Suppliers'!$B$5:$B$34,0)),"Excl VAT")="Incl VAT",'01 Control'!$C$6,0))/($AF23*IFERROR(VLOOKUP($AG23,'02 Lists'!$A$5:$B$18,2,FALSE()),1)))</f>
        <v/>
      </c>
      <c r="AK23" s="151">
        <f>IF(COUNT(L23,R23,X23,AD23,AJ23)=0,"",MIN(L23,R23,X23,AD23,AJ23))</f>
        <v/>
      </c>
      <c r="AL23" s="126">
        <f>IF($AK23="","",IF(L23=$AK23,$G23,IF(R23=$AK23,$M23,IF(X23=$AK23,$S23,IF(AD23=$AK23,$Y23,IF(AJ23=$AK23,$AE23,""))))))</f>
        <v/>
      </c>
      <c r="AM23" s="151">
        <f>IF($AK23="","",$AK23/IF($E23="",1,$E23))</f>
        <v/>
      </c>
      <c r="AN23" s="152">
        <f>COUNT(L23,R23,X23,AD23,AJ23)</f>
        <v/>
      </c>
      <c r="AO23" s="150">
        <f>IF(COUNT(L23,R23,X23,AD23,AJ23)=0,"",MAX(L23,R23,X23,AD23,AJ23))</f>
        <v/>
      </c>
      <c r="AP23" s="153">
        <f>IF(OR($AK23="",$AO23="",$AO23=0),"",($AO23-$AK23)/$AO23)</f>
        <v/>
      </c>
      <c r="AQ23" s="154">
        <f>IF($AK23="","",IF(L23=$AK23,$K23,IF(R23=$AK23,$Q23,IF(X23=$AK23,$W23,IF(AD23=$AK23,$AC23,IF(AJ23=$AK23,$AI23,""))))))</f>
        <v/>
      </c>
      <c r="AT23" s="142">
        <f>'03 Suppliers'!$B$23&amp;""</f>
        <v/>
      </c>
    </row>
    <row r="24" ht="15" customHeight="1" s="106">
      <c r="A24" s="134" t="inlineStr">
        <is>
          <t>PP-TOM-PASTE</t>
        </is>
      </c>
      <c r="B24" s="138" t="inlineStr">
        <is>
          <t>Tomato</t>
        </is>
      </c>
      <c r="C24" s="113" t="inlineStr">
        <is>
          <t>Tomato paste / concentrate</t>
        </is>
      </c>
      <c r="D24" s="139" t="inlineStr">
        <is>
          <t>g</t>
        </is>
      </c>
      <c r="E24" s="146" t="n">
        <v>1</v>
      </c>
      <c r="F24" s="116" t="inlineStr">
        <is>
          <t>Depth without wine (alcohol-free build)</t>
        </is>
      </c>
      <c r="G24" s="140" t="n"/>
      <c r="H24" s="147" t="n"/>
      <c r="I24" s="141" t="n"/>
      <c r="J24" s="148" t="n"/>
      <c r="K24" s="149" t="n"/>
      <c r="L24" s="150">
        <f>IF(OR($J24="",$H24="",$H24=0),"",$J24/(1+IF(IFERROR(INDEX('03 Suppliers'!$N$5:$N$34,MATCH($G24,'03 Suppliers'!$B$5:$B$34,0)),"Excl VAT")="Incl VAT",'01 Control'!$C$6,0))/($H24*IFERROR(VLOOKUP($I24,'02 Lists'!$A$5:$B$18,2,FALSE()),1)))</f>
        <v/>
      </c>
      <c r="M24" s="140" t="n"/>
      <c r="N24" s="147" t="n"/>
      <c r="O24" s="141" t="n"/>
      <c r="P24" s="148" t="n"/>
      <c r="Q24" s="149" t="n"/>
      <c r="R24" s="150">
        <f>IF(OR($P24="",$N24="",$N24=0),"",$P24/(1+IF(IFERROR(INDEX('03 Suppliers'!$N$5:$N$34,MATCH($M24,'03 Suppliers'!$B$5:$B$34,0)),"Excl VAT")="Incl VAT",'01 Control'!$C$6,0))/($N24*IFERROR(VLOOKUP($O24,'02 Lists'!$A$5:$B$18,2,FALSE()),1)))</f>
        <v/>
      </c>
      <c r="S24" s="140" t="n"/>
      <c r="T24" s="147" t="n"/>
      <c r="U24" s="141" t="n"/>
      <c r="V24" s="148" t="n"/>
      <c r="W24" s="149" t="n"/>
      <c r="X24" s="150">
        <f>IF(OR($V24="",$T24="",$T24=0),"",$V24/(1+IF(IFERROR(INDEX('03 Suppliers'!$N$5:$N$34,MATCH($S24,'03 Suppliers'!$B$5:$B$34,0)),"Excl VAT")="Incl VAT",'01 Control'!$C$6,0))/($T24*IFERROR(VLOOKUP($U24,'02 Lists'!$A$5:$B$18,2,FALSE()),1)))</f>
        <v/>
      </c>
      <c r="Y24" s="140" t="n"/>
      <c r="Z24" s="147" t="n"/>
      <c r="AA24" s="141" t="n"/>
      <c r="AB24" s="148" t="n"/>
      <c r="AC24" s="149" t="n"/>
      <c r="AD24" s="150">
        <f>IF(OR($AB24="",$Z24="",$Z24=0),"",$AB24/(1+IF(IFERROR(INDEX('03 Suppliers'!$N$5:$N$34,MATCH($Y24,'03 Suppliers'!$B$5:$B$34,0)),"Excl VAT")="Incl VAT",'01 Control'!$C$6,0))/($Z24*IFERROR(VLOOKUP($AA24,'02 Lists'!$A$5:$B$18,2,FALSE()),1)))</f>
        <v/>
      </c>
      <c r="AE24" s="140" t="n"/>
      <c r="AF24" s="147" t="n"/>
      <c r="AG24" s="141" t="n"/>
      <c r="AH24" s="148" t="n"/>
      <c r="AI24" s="149" t="n"/>
      <c r="AJ24" s="150">
        <f>IF(OR($AH24="",$AF24="",$AF24=0),"",$AH24/(1+IF(IFERROR(INDEX('03 Suppliers'!$N$5:$N$34,MATCH($AE24,'03 Suppliers'!$B$5:$B$34,0)),"Excl VAT")="Incl VAT",'01 Control'!$C$6,0))/($AF24*IFERROR(VLOOKUP($AG24,'02 Lists'!$A$5:$B$18,2,FALSE()),1)))</f>
        <v/>
      </c>
      <c r="AK24" s="151">
        <f>IF(COUNT(L24,R24,X24,AD24,AJ24)=0,"",MIN(L24,R24,X24,AD24,AJ24))</f>
        <v/>
      </c>
      <c r="AL24" s="126">
        <f>IF($AK24="","",IF(L24=$AK24,$G24,IF(R24=$AK24,$M24,IF(X24=$AK24,$S24,IF(AD24=$AK24,$Y24,IF(AJ24=$AK24,$AE24,""))))))</f>
        <v/>
      </c>
      <c r="AM24" s="151">
        <f>IF($AK24="","",$AK24/IF($E24="",1,$E24))</f>
        <v/>
      </c>
      <c r="AN24" s="152">
        <f>COUNT(L24,R24,X24,AD24,AJ24)</f>
        <v/>
      </c>
      <c r="AO24" s="150">
        <f>IF(COUNT(L24,R24,X24,AD24,AJ24)=0,"",MAX(L24,R24,X24,AD24,AJ24))</f>
        <v/>
      </c>
      <c r="AP24" s="153">
        <f>IF(OR($AK24="",$AO24="",$AO24=0),"",($AO24-$AK24)/$AO24)</f>
        <v/>
      </c>
      <c r="AQ24" s="154">
        <f>IF($AK24="","",IF(L24=$AK24,$K24,IF(R24=$AK24,$Q24,IF(X24=$AK24,$W24,IF(AD24=$AK24,$AC24,IF(AJ24=$AK24,$AI24,""))))))</f>
        <v/>
      </c>
      <c r="AT24" s="142">
        <f>'03 Suppliers'!$B$24&amp;""</f>
        <v/>
      </c>
    </row>
    <row r="25" ht="15" customHeight="1" s="106">
      <c r="A25" s="134" t="inlineStr">
        <is>
          <t>PP-SUGAR</t>
        </is>
      </c>
      <c r="B25" s="138" t="inlineStr">
        <is>
          <t>Dry Goods</t>
        </is>
      </c>
      <c r="C25" s="113" t="inlineStr">
        <is>
          <t>Sugar (acidity balance)</t>
        </is>
      </c>
      <c r="D25" s="139" t="inlineStr">
        <is>
          <t>g</t>
        </is>
      </c>
      <c r="E25" s="146" t="n">
        <v>1</v>
      </c>
      <c r="F25" s="116" t="inlineStr">
        <is>
          <t>Whisper only - balance, not sweetness</t>
        </is>
      </c>
      <c r="G25" s="140" t="n"/>
      <c r="H25" s="147" t="n"/>
      <c r="I25" s="141" t="n"/>
      <c r="J25" s="148" t="n"/>
      <c r="K25" s="149" t="n"/>
      <c r="L25" s="150">
        <f>IF(OR($J25="",$H25="",$H25=0),"",$J25/(1+IF(IFERROR(INDEX('03 Suppliers'!$N$5:$N$34,MATCH($G25,'03 Suppliers'!$B$5:$B$34,0)),"Excl VAT")="Incl VAT",'01 Control'!$C$6,0))/($H25*IFERROR(VLOOKUP($I25,'02 Lists'!$A$5:$B$18,2,FALSE()),1)))</f>
        <v/>
      </c>
      <c r="M25" s="140" t="n"/>
      <c r="N25" s="147" t="n"/>
      <c r="O25" s="141" t="n"/>
      <c r="P25" s="148" t="n"/>
      <c r="Q25" s="149" t="n"/>
      <c r="R25" s="150">
        <f>IF(OR($P25="",$N25="",$N25=0),"",$P25/(1+IF(IFERROR(INDEX('03 Suppliers'!$N$5:$N$34,MATCH($M25,'03 Suppliers'!$B$5:$B$34,0)),"Excl VAT")="Incl VAT",'01 Control'!$C$6,0))/($N25*IFERROR(VLOOKUP($O25,'02 Lists'!$A$5:$B$18,2,FALSE()),1)))</f>
        <v/>
      </c>
      <c r="S25" s="140" t="n"/>
      <c r="T25" s="147" t="n"/>
      <c r="U25" s="141" t="n"/>
      <c r="V25" s="148" t="n"/>
      <c r="W25" s="149" t="n"/>
      <c r="X25" s="150">
        <f>IF(OR($V25="",$T25="",$T25=0),"",$V25/(1+IF(IFERROR(INDEX('03 Suppliers'!$N$5:$N$34,MATCH($S25,'03 Suppliers'!$B$5:$B$34,0)),"Excl VAT")="Incl VAT",'01 Control'!$C$6,0))/($T25*IFERROR(VLOOKUP($U25,'02 Lists'!$A$5:$B$18,2,FALSE()),1)))</f>
        <v/>
      </c>
      <c r="Y25" s="140" t="n"/>
      <c r="Z25" s="147" t="n"/>
      <c r="AA25" s="141" t="n"/>
      <c r="AB25" s="148" t="n"/>
      <c r="AC25" s="149" t="n"/>
      <c r="AD25" s="150">
        <f>IF(OR($AB25="",$Z25="",$Z25=0),"",$AB25/(1+IF(IFERROR(INDEX('03 Suppliers'!$N$5:$N$34,MATCH($Y25,'03 Suppliers'!$B$5:$B$34,0)),"Excl VAT")="Incl VAT",'01 Control'!$C$6,0))/($Z25*IFERROR(VLOOKUP($AA25,'02 Lists'!$A$5:$B$18,2,FALSE()),1)))</f>
        <v/>
      </c>
      <c r="AE25" s="140" t="n"/>
      <c r="AF25" s="147" t="n"/>
      <c r="AG25" s="141" t="n"/>
      <c r="AH25" s="148" t="n"/>
      <c r="AI25" s="149" t="n"/>
      <c r="AJ25" s="150">
        <f>IF(OR($AH25="",$AF25="",$AF25=0),"",$AH25/(1+IF(IFERROR(INDEX('03 Suppliers'!$N$5:$N$34,MATCH($AE25,'03 Suppliers'!$B$5:$B$34,0)),"Excl VAT")="Incl VAT",'01 Control'!$C$6,0))/($AF25*IFERROR(VLOOKUP($AG25,'02 Lists'!$A$5:$B$18,2,FALSE()),1)))</f>
        <v/>
      </c>
      <c r="AK25" s="151">
        <f>IF(COUNT(L25,R25,X25,AD25,AJ25)=0,"",MIN(L25,R25,X25,AD25,AJ25))</f>
        <v/>
      </c>
      <c r="AL25" s="126">
        <f>IF($AK25="","",IF(L25=$AK25,$G25,IF(R25=$AK25,$M25,IF(X25=$AK25,$S25,IF(AD25=$AK25,$Y25,IF(AJ25=$AK25,$AE25,""))))))</f>
        <v/>
      </c>
      <c r="AM25" s="151">
        <f>IF($AK25="","",$AK25/IF($E25="",1,$E25))</f>
        <v/>
      </c>
      <c r="AN25" s="152">
        <f>COUNT(L25,R25,X25,AD25,AJ25)</f>
        <v/>
      </c>
      <c r="AO25" s="150">
        <f>IF(COUNT(L25,R25,X25,AD25,AJ25)=0,"",MAX(L25,R25,X25,AD25,AJ25))</f>
        <v/>
      </c>
      <c r="AP25" s="153">
        <f>IF(OR($AK25="",$AO25="",$AO25=0),"",($AO25-$AK25)/$AO25)</f>
        <v/>
      </c>
      <c r="AQ25" s="154">
        <f>IF($AK25="","",IF(L25=$AK25,$K25,IF(R25=$AK25,$Q25,IF(X25=$AK25,$W25,IF(AD25=$AK25,$AC25,IF(AJ25=$AK25,$AI25,""))))))</f>
        <v/>
      </c>
      <c r="AT25" s="142">
        <f>'03 Suppliers'!$B$25&amp;""</f>
        <v/>
      </c>
    </row>
    <row r="26" ht="15" customHeight="1" s="106">
      <c r="A26" s="134" t="inlineStr">
        <is>
          <t>PP-STOCK-BEEF</t>
        </is>
      </c>
      <c r="B26" s="138" t="inlineStr">
        <is>
          <t>Dry Goods</t>
        </is>
      </c>
      <c r="C26" s="113" t="inlineStr">
        <is>
          <t>Beef stock / bouillon (halaal)</t>
        </is>
      </c>
      <c r="D26" s="139" t="inlineStr">
        <is>
          <t>ml</t>
        </is>
      </c>
      <c r="E26" s="146" t="n">
        <v>1</v>
      </c>
      <c r="F26" s="116" t="inlineStr">
        <is>
          <t>Halaal-certified</t>
        </is>
      </c>
      <c r="G26" s="140" t="n"/>
      <c r="H26" s="147" t="n"/>
      <c r="I26" s="141" t="n"/>
      <c r="J26" s="148" t="n"/>
      <c r="K26" s="149" t="n"/>
      <c r="L26" s="150">
        <f>IF(OR($J26="",$H26="",$H26=0),"",$J26/(1+IF(IFERROR(INDEX('03 Suppliers'!$N$5:$N$34,MATCH($G26,'03 Suppliers'!$B$5:$B$34,0)),"Excl VAT")="Incl VAT",'01 Control'!$C$6,0))/($H26*IFERROR(VLOOKUP($I26,'02 Lists'!$A$5:$B$18,2,FALSE()),1)))</f>
        <v/>
      </c>
      <c r="M26" s="140" t="n"/>
      <c r="N26" s="147" t="n"/>
      <c r="O26" s="141" t="n"/>
      <c r="P26" s="148" t="n"/>
      <c r="Q26" s="149" t="n"/>
      <c r="R26" s="150">
        <f>IF(OR($P26="",$N26="",$N26=0),"",$P26/(1+IF(IFERROR(INDEX('03 Suppliers'!$N$5:$N$34,MATCH($M26,'03 Suppliers'!$B$5:$B$34,0)),"Excl VAT")="Incl VAT",'01 Control'!$C$6,0))/($N26*IFERROR(VLOOKUP($O26,'02 Lists'!$A$5:$B$18,2,FALSE()),1)))</f>
        <v/>
      </c>
      <c r="S26" s="140" t="n"/>
      <c r="T26" s="147" t="n"/>
      <c r="U26" s="141" t="n"/>
      <c r="V26" s="148" t="n"/>
      <c r="W26" s="149" t="n"/>
      <c r="X26" s="150">
        <f>IF(OR($V26="",$T26="",$T26=0),"",$V26/(1+IF(IFERROR(INDEX('03 Suppliers'!$N$5:$N$34,MATCH($S26,'03 Suppliers'!$B$5:$B$34,0)),"Excl VAT")="Incl VAT",'01 Control'!$C$6,0))/($T26*IFERROR(VLOOKUP($U26,'02 Lists'!$A$5:$B$18,2,FALSE()),1)))</f>
        <v/>
      </c>
      <c r="Y26" s="140" t="n"/>
      <c r="Z26" s="147" t="n"/>
      <c r="AA26" s="141" t="n"/>
      <c r="AB26" s="148" t="n"/>
      <c r="AC26" s="149" t="n"/>
      <c r="AD26" s="150">
        <f>IF(OR($AB26="",$Z26="",$Z26=0),"",$AB26/(1+IF(IFERROR(INDEX('03 Suppliers'!$N$5:$N$34,MATCH($Y26,'03 Suppliers'!$B$5:$B$34,0)),"Excl VAT")="Incl VAT",'01 Control'!$C$6,0))/($Z26*IFERROR(VLOOKUP($AA26,'02 Lists'!$A$5:$B$18,2,FALSE()),1)))</f>
        <v/>
      </c>
      <c r="AE26" s="140" t="n"/>
      <c r="AF26" s="147" t="n"/>
      <c r="AG26" s="141" t="n"/>
      <c r="AH26" s="148" t="n"/>
      <c r="AI26" s="149" t="n"/>
      <c r="AJ26" s="150">
        <f>IF(OR($AH26="",$AF26="",$AF26=0),"",$AH26/(1+IF(IFERROR(INDEX('03 Suppliers'!$N$5:$N$34,MATCH($AE26,'03 Suppliers'!$B$5:$B$34,0)),"Excl VAT")="Incl VAT",'01 Control'!$C$6,0))/($AF26*IFERROR(VLOOKUP($AG26,'02 Lists'!$A$5:$B$18,2,FALSE()),1)))</f>
        <v/>
      </c>
      <c r="AK26" s="151">
        <f>IF(COUNT(L26,R26,X26,AD26,AJ26)=0,"",MIN(L26,R26,X26,AD26,AJ26))</f>
        <v/>
      </c>
      <c r="AL26" s="126">
        <f>IF($AK26="","",IF(L26=$AK26,$G26,IF(R26=$AK26,$M26,IF(X26=$AK26,$S26,IF(AD26=$AK26,$Y26,IF(AJ26=$AK26,$AE26,""))))))</f>
        <v/>
      </c>
      <c r="AM26" s="151">
        <f>IF($AK26="","",$AK26/IF($E26="",1,$E26))</f>
        <v/>
      </c>
      <c r="AN26" s="152">
        <f>COUNT(L26,R26,X26,AD26,AJ26)</f>
        <v/>
      </c>
      <c r="AO26" s="150">
        <f>IF(COUNT(L26,R26,X26,AD26,AJ26)=0,"",MAX(L26,R26,X26,AD26,AJ26))</f>
        <v/>
      </c>
      <c r="AP26" s="153">
        <f>IF(OR($AK26="",$AO26="",$AO26=0),"",($AO26-$AK26)/$AO26)</f>
        <v/>
      </c>
      <c r="AQ26" s="154">
        <f>IF($AK26="","",IF(L26=$AK26,$K26,IF(R26=$AK26,$Q26,IF(X26=$AK26,$W26,IF(AD26=$AK26,$AC26,IF(AJ26=$AK26,$AI26,""))))))</f>
        <v/>
      </c>
      <c r="AT26" s="142">
        <f>'03 Suppliers'!$B$26&amp;""</f>
        <v/>
      </c>
    </row>
    <row r="27" ht="15" customHeight="1" s="106">
      <c r="A27" s="134" t="inlineStr">
        <is>
          <t>PP-STOCK-VEG</t>
        </is>
      </c>
      <c r="B27" s="138" t="inlineStr">
        <is>
          <t>Dry Goods</t>
        </is>
      </c>
      <c r="C27" s="113" t="inlineStr">
        <is>
          <t>Vegetable stock</t>
        </is>
      </c>
      <c r="D27" s="139" t="inlineStr">
        <is>
          <t>ml</t>
        </is>
      </c>
      <c r="E27" s="146" t="n">
        <v>1</v>
      </c>
      <c r="F27" s="116" t="n"/>
      <c r="G27" s="140" t="n"/>
      <c r="H27" s="147" t="n"/>
      <c r="I27" s="141" t="n"/>
      <c r="J27" s="148" t="n"/>
      <c r="K27" s="149" t="n"/>
      <c r="L27" s="150">
        <f>IF(OR($J27="",$H27="",$H27=0),"",$J27/(1+IF(IFERROR(INDEX('03 Suppliers'!$N$5:$N$34,MATCH($G27,'03 Suppliers'!$B$5:$B$34,0)),"Excl VAT")="Incl VAT",'01 Control'!$C$6,0))/($H27*IFERROR(VLOOKUP($I27,'02 Lists'!$A$5:$B$18,2,FALSE()),1)))</f>
        <v/>
      </c>
      <c r="M27" s="140" t="n"/>
      <c r="N27" s="147" t="n"/>
      <c r="O27" s="141" t="n"/>
      <c r="P27" s="148" t="n"/>
      <c r="Q27" s="149" t="n"/>
      <c r="R27" s="150">
        <f>IF(OR($P27="",$N27="",$N27=0),"",$P27/(1+IF(IFERROR(INDEX('03 Suppliers'!$N$5:$N$34,MATCH($M27,'03 Suppliers'!$B$5:$B$34,0)),"Excl VAT")="Incl VAT",'01 Control'!$C$6,0))/($N27*IFERROR(VLOOKUP($O27,'02 Lists'!$A$5:$B$18,2,FALSE()),1)))</f>
        <v/>
      </c>
      <c r="S27" s="140" t="n"/>
      <c r="T27" s="147" t="n"/>
      <c r="U27" s="141" t="n"/>
      <c r="V27" s="148" t="n"/>
      <c r="W27" s="149" t="n"/>
      <c r="X27" s="150">
        <f>IF(OR($V27="",$T27="",$T27=0),"",$V27/(1+IF(IFERROR(INDEX('03 Suppliers'!$N$5:$N$34,MATCH($S27,'03 Suppliers'!$B$5:$B$34,0)),"Excl VAT")="Incl VAT",'01 Control'!$C$6,0))/($T27*IFERROR(VLOOKUP($U27,'02 Lists'!$A$5:$B$18,2,FALSE()),1)))</f>
        <v/>
      </c>
      <c r="Y27" s="140" t="n"/>
      <c r="Z27" s="147" t="n"/>
      <c r="AA27" s="141" t="n"/>
      <c r="AB27" s="148" t="n"/>
      <c r="AC27" s="149" t="n"/>
      <c r="AD27" s="150">
        <f>IF(OR($AB27="",$Z27="",$Z27=0),"",$AB27/(1+IF(IFERROR(INDEX('03 Suppliers'!$N$5:$N$34,MATCH($Y27,'03 Suppliers'!$B$5:$B$34,0)),"Excl VAT")="Incl VAT",'01 Control'!$C$6,0))/($Z27*IFERROR(VLOOKUP($AA27,'02 Lists'!$A$5:$B$18,2,FALSE()),1)))</f>
        <v/>
      </c>
      <c r="AE27" s="140" t="n"/>
      <c r="AF27" s="147" t="n"/>
      <c r="AG27" s="141" t="n"/>
      <c r="AH27" s="148" t="n"/>
      <c r="AI27" s="149" t="n"/>
      <c r="AJ27" s="150">
        <f>IF(OR($AH27="",$AF27="",$AF27=0),"",$AH27/(1+IF(IFERROR(INDEX('03 Suppliers'!$N$5:$N$34,MATCH($AE27,'03 Suppliers'!$B$5:$B$34,0)),"Excl VAT")="Incl VAT",'01 Control'!$C$6,0))/($AF27*IFERROR(VLOOKUP($AG27,'02 Lists'!$A$5:$B$18,2,FALSE()),1)))</f>
        <v/>
      </c>
      <c r="AK27" s="151">
        <f>IF(COUNT(L27,R27,X27,AD27,AJ27)=0,"",MIN(L27,R27,X27,AD27,AJ27))</f>
        <v/>
      </c>
      <c r="AL27" s="126">
        <f>IF($AK27="","",IF(L27=$AK27,$G27,IF(R27=$AK27,$M27,IF(X27=$AK27,$S27,IF(AD27=$AK27,$Y27,IF(AJ27=$AK27,$AE27,""))))))</f>
        <v/>
      </c>
      <c r="AM27" s="151">
        <f>IF($AK27="","",$AK27/IF($E27="",1,$E27))</f>
        <v/>
      </c>
      <c r="AN27" s="152">
        <f>COUNT(L27,R27,X27,AD27,AJ27)</f>
        <v/>
      </c>
      <c r="AO27" s="150">
        <f>IF(COUNT(L27,R27,X27,AD27,AJ27)=0,"",MAX(L27,R27,X27,AD27,AJ27))</f>
        <v/>
      </c>
      <c r="AP27" s="153">
        <f>IF(OR($AK27="",$AO27="",$AO27=0),"",($AO27-$AK27)/$AO27)</f>
        <v/>
      </c>
      <c r="AQ27" s="154">
        <f>IF($AK27="","",IF(L27=$AK27,$K27,IF(R27=$AK27,$Q27,IF(X27=$AK27,$W27,IF(AD27=$AK27,$AC27,IF(AJ27=$AK27,$AI27,""))))))</f>
        <v/>
      </c>
      <c r="AT27" s="142">
        <f>'03 Suppliers'!$B$27&amp;""</f>
        <v/>
      </c>
    </row>
    <row r="28" ht="15" customHeight="1" s="106">
      <c r="A28" s="134" t="inlineStr">
        <is>
          <t>PP-PEPPER-BLACK</t>
        </is>
      </c>
      <c r="B28" s="138" t="inlineStr">
        <is>
          <t>Spice</t>
        </is>
      </c>
      <c r="C28" s="113" t="inlineStr">
        <is>
          <t>Black pepper, cracked</t>
        </is>
      </c>
      <c r="D28" s="139" t="inlineStr">
        <is>
          <t>g</t>
        </is>
      </c>
      <c r="E28" s="146" t="n">
        <v>1</v>
      </c>
      <c r="F28" s="116" t="inlineStr">
        <is>
          <t>Carbonara signature</t>
        </is>
      </c>
      <c r="G28" s="140" t="n"/>
      <c r="H28" s="147" t="n"/>
      <c r="I28" s="141" t="n"/>
      <c r="J28" s="148" t="n"/>
      <c r="K28" s="149" t="n"/>
      <c r="L28" s="150">
        <f>IF(OR($J28="",$H28="",$H28=0),"",$J28/(1+IF(IFERROR(INDEX('03 Suppliers'!$N$5:$N$34,MATCH($G28,'03 Suppliers'!$B$5:$B$34,0)),"Excl VAT")="Incl VAT",'01 Control'!$C$6,0))/($H28*IFERROR(VLOOKUP($I28,'02 Lists'!$A$5:$B$18,2,FALSE()),1)))</f>
        <v/>
      </c>
      <c r="M28" s="140" t="n"/>
      <c r="N28" s="147" t="n"/>
      <c r="O28" s="141" t="n"/>
      <c r="P28" s="148" t="n"/>
      <c r="Q28" s="149" t="n"/>
      <c r="R28" s="150">
        <f>IF(OR($P28="",$N28="",$N28=0),"",$P28/(1+IF(IFERROR(INDEX('03 Suppliers'!$N$5:$N$34,MATCH($M28,'03 Suppliers'!$B$5:$B$34,0)),"Excl VAT")="Incl VAT",'01 Control'!$C$6,0))/($N28*IFERROR(VLOOKUP($O28,'02 Lists'!$A$5:$B$18,2,FALSE()),1)))</f>
        <v/>
      </c>
      <c r="S28" s="140" t="n"/>
      <c r="T28" s="147" t="n"/>
      <c r="U28" s="141" t="n"/>
      <c r="V28" s="148" t="n"/>
      <c r="W28" s="149" t="n"/>
      <c r="X28" s="150">
        <f>IF(OR($V28="",$T28="",$T28=0),"",$V28/(1+IF(IFERROR(INDEX('03 Suppliers'!$N$5:$N$34,MATCH($S28,'03 Suppliers'!$B$5:$B$34,0)),"Excl VAT")="Incl VAT",'01 Control'!$C$6,0))/($T28*IFERROR(VLOOKUP($U28,'02 Lists'!$A$5:$B$18,2,FALSE()),1)))</f>
        <v/>
      </c>
      <c r="Y28" s="140" t="n"/>
      <c r="Z28" s="147" t="n"/>
      <c r="AA28" s="141" t="n"/>
      <c r="AB28" s="148" t="n"/>
      <c r="AC28" s="149" t="n"/>
      <c r="AD28" s="150">
        <f>IF(OR($AB28="",$Z28="",$Z28=0),"",$AB28/(1+IF(IFERROR(INDEX('03 Suppliers'!$N$5:$N$34,MATCH($Y28,'03 Suppliers'!$B$5:$B$34,0)),"Excl VAT")="Incl VAT",'01 Control'!$C$6,0))/($Z28*IFERROR(VLOOKUP($AA28,'02 Lists'!$A$5:$B$18,2,FALSE()),1)))</f>
        <v/>
      </c>
      <c r="AE28" s="140" t="n"/>
      <c r="AF28" s="147" t="n"/>
      <c r="AG28" s="141" t="n"/>
      <c r="AH28" s="148" t="n"/>
      <c r="AI28" s="149" t="n"/>
      <c r="AJ28" s="150">
        <f>IF(OR($AH28="",$AF28="",$AF28=0),"",$AH28/(1+IF(IFERROR(INDEX('03 Suppliers'!$N$5:$N$34,MATCH($AE28,'03 Suppliers'!$B$5:$B$34,0)),"Excl VAT")="Incl VAT",'01 Control'!$C$6,0))/($AF28*IFERROR(VLOOKUP($AG28,'02 Lists'!$A$5:$B$18,2,FALSE()),1)))</f>
        <v/>
      </c>
      <c r="AK28" s="151">
        <f>IF(COUNT(L28,R28,X28,AD28,AJ28)=0,"",MIN(L28,R28,X28,AD28,AJ28))</f>
        <v/>
      </c>
      <c r="AL28" s="126">
        <f>IF($AK28="","",IF(L28=$AK28,$G28,IF(R28=$AK28,$M28,IF(X28=$AK28,$S28,IF(AD28=$AK28,$Y28,IF(AJ28=$AK28,$AE28,""))))))</f>
        <v/>
      </c>
      <c r="AM28" s="151">
        <f>IF($AK28="","",$AK28/IF($E28="",1,$E28))</f>
        <v/>
      </c>
      <c r="AN28" s="152">
        <f>COUNT(L28,R28,X28,AD28,AJ28)</f>
        <v/>
      </c>
      <c r="AO28" s="150">
        <f>IF(COUNT(L28,R28,X28,AD28,AJ28)=0,"",MAX(L28,R28,X28,AD28,AJ28))</f>
        <v/>
      </c>
      <c r="AP28" s="153">
        <f>IF(OR($AK28="",$AO28="",$AO28=0),"",($AO28-$AK28)/$AO28)</f>
        <v/>
      </c>
      <c r="AQ28" s="154">
        <f>IF($AK28="","",IF(L28=$AK28,$K28,IF(R28=$AK28,$Q28,IF(X28=$AK28,$W28,IF(AD28=$AK28,$AC28,IF(AJ28=$AK28,$AI28,""))))))</f>
        <v/>
      </c>
      <c r="AT28" s="142">
        <f>'03 Suppliers'!$B$28&amp;""</f>
        <v/>
      </c>
    </row>
    <row r="29" ht="15" customHeight="1" s="106">
      <c r="A29" s="134" t="inlineStr">
        <is>
          <t>PP-CHILLI-FLAKE</t>
        </is>
      </c>
      <c r="B29" s="138" t="inlineStr">
        <is>
          <t>Spice</t>
        </is>
      </c>
      <c r="C29" s="113" t="inlineStr">
        <is>
          <t>Dried chilli flakes</t>
        </is>
      </c>
      <c r="D29" s="139" t="inlineStr">
        <is>
          <t>g</t>
        </is>
      </c>
      <c r="E29" s="146" t="n">
        <v>1</v>
      </c>
      <c r="F29" s="116" t="inlineStr">
        <is>
          <t>Arrabbiata / Aglio e Olio</t>
        </is>
      </c>
      <c r="G29" s="140" t="n"/>
      <c r="H29" s="147" t="n"/>
      <c r="I29" s="141" t="n"/>
      <c r="J29" s="148" t="n"/>
      <c r="K29" s="149" t="n"/>
      <c r="L29" s="150">
        <f>IF(OR($J29="",$H29="",$H29=0),"",$J29/(1+IF(IFERROR(INDEX('03 Suppliers'!$N$5:$N$34,MATCH($G29,'03 Suppliers'!$B$5:$B$34,0)),"Excl VAT")="Incl VAT",'01 Control'!$C$6,0))/($H29*IFERROR(VLOOKUP($I29,'02 Lists'!$A$5:$B$18,2,FALSE()),1)))</f>
        <v/>
      </c>
      <c r="M29" s="140" t="n"/>
      <c r="N29" s="147" t="n"/>
      <c r="O29" s="141" t="n"/>
      <c r="P29" s="148" t="n"/>
      <c r="Q29" s="149" t="n"/>
      <c r="R29" s="150">
        <f>IF(OR($P29="",$N29="",$N29=0),"",$P29/(1+IF(IFERROR(INDEX('03 Suppliers'!$N$5:$N$34,MATCH($M29,'03 Suppliers'!$B$5:$B$34,0)),"Excl VAT")="Incl VAT",'01 Control'!$C$6,0))/($N29*IFERROR(VLOOKUP($O29,'02 Lists'!$A$5:$B$18,2,FALSE()),1)))</f>
        <v/>
      </c>
      <c r="S29" s="140" t="n"/>
      <c r="T29" s="147" t="n"/>
      <c r="U29" s="141" t="n"/>
      <c r="V29" s="148" t="n"/>
      <c r="W29" s="149" t="n"/>
      <c r="X29" s="150">
        <f>IF(OR($V29="",$T29="",$T29=0),"",$V29/(1+IF(IFERROR(INDEX('03 Suppliers'!$N$5:$N$34,MATCH($S29,'03 Suppliers'!$B$5:$B$34,0)),"Excl VAT")="Incl VAT",'01 Control'!$C$6,0))/($T29*IFERROR(VLOOKUP($U29,'02 Lists'!$A$5:$B$18,2,FALSE()),1)))</f>
        <v/>
      </c>
      <c r="Y29" s="140" t="n"/>
      <c r="Z29" s="147" t="n"/>
      <c r="AA29" s="141" t="n"/>
      <c r="AB29" s="148" t="n"/>
      <c r="AC29" s="149" t="n"/>
      <c r="AD29" s="150">
        <f>IF(OR($AB29="",$Z29="",$Z29=0),"",$AB29/(1+IF(IFERROR(INDEX('03 Suppliers'!$N$5:$N$34,MATCH($Y29,'03 Suppliers'!$B$5:$B$34,0)),"Excl VAT")="Incl VAT",'01 Control'!$C$6,0))/($Z29*IFERROR(VLOOKUP($AA29,'02 Lists'!$A$5:$B$18,2,FALSE()),1)))</f>
        <v/>
      </c>
      <c r="AE29" s="140" t="n"/>
      <c r="AF29" s="147" t="n"/>
      <c r="AG29" s="141" t="n"/>
      <c r="AH29" s="148" t="n"/>
      <c r="AI29" s="149" t="n"/>
      <c r="AJ29" s="150">
        <f>IF(OR($AH29="",$AF29="",$AF29=0),"",$AH29/(1+IF(IFERROR(INDEX('03 Suppliers'!$N$5:$N$34,MATCH($AE29,'03 Suppliers'!$B$5:$B$34,0)),"Excl VAT")="Incl VAT",'01 Control'!$C$6,0))/($AF29*IFERROR(VLOOKUP($AG29,'02 Lists'!$A$5:$B$18,2,FALSE()),1)))</f>
        <v/>
      </c>
      <c r="AK29" s="151">
        <f>IF(COUNT(L29,R29,X29,AD29,AJ29)=0,"",MIN(L29,R29,X29,AD29,AJ29))</f>
        <v/>
      </c>
      <c r="AL29" s="126">
        <f>IF($AK29="","",IF(L29=$AK29,$G29,IF(R29=$AK29,$M29,IF(X29=$AK29,$S29,IF(AD29=$AK29,$Y29,IF(AJ29=$AK29,$AE29,""))))))</f>
        <v/>
      </c>
      <c r="AM29" s="151">
        <f>IF($AK29="","",$AK29/IF($E29="",1,$E29))</f>
        <v/>
      </c>
      <c r="AN29" s="152">
        <f>COUNT(L29,R29,X29,AD29,AJ29)</f>
        <v/>
      </c>
      <c r="AO29" s="150">
        <f>IF(COUNT(L29,R29,X29,AD29,AJ29)=0,"",MAX(L29,R29,X29,AD29,AJ29))</f>
        <v/>
      </c>
      <c r="AP29" s="153">
        <f>IF(OR($AK29="",$AO29="",$AO29=0),"",($AO29-$AK29)/$AO29)</f>
        <v/>
      </c>
      <c r="AQ29" s="154">
        <f>IF($AK29="","",IF(L29=$AK29,$K29,IF(R29=$AK29,$Q29,IF(X29=$AK29,$W29,IF(AD29=$AK29,$AC29,IF(AJ29=$AK29,$AI29,""))))))</f>
        <v/>
      </c>
      <c r="AT29" s="142">
        <f>'03 Suppliers'!$B$29&amp;""</f>
        <v/>
      </c>
    </row>
    <row r="30" ht="15" customHeight="1" s="106">
      <c r="A30" s="134" t="inlineStr">
        <is>
          <t>PP-HERB-BASIL-DRY</t>
        </is>
      </c>
      <c r="B30" s="138" t="inlineStr">
        <is>
          <t>Spice</t>
        </is>
      </c>
      <c r="C30" s="113" t="inlineStr">
        <is>
          <t>Dried basil / oregano blend</t>
        </is>
      </c>
      <c r="D30" s="139" t="inlineStr">
        <is>
          <t>g</t>
        </is>
      </c>
      <c r="E30" s="146" t="n">
        <v>1</v>
      </c>
      <c r="F30" s="116" t="inlineStr">
        <is>
          <t>Commissary sauce bases</t>
        </is>
      </c>
      <c r="G30" s="140" t="n"/>
      <c r="H30" s="147" t="n"/>
      <c r="I30" s="141" t="n"/>
      <c r="J30" s="148" t="n"/>
      <c r="K30" s="149" t="n"/>
      <c r="L30" s="150">
        <f>IF(OR($J30="",$H30="",$H30=0),"",$J30/(1+IF(IFERROR(INDEX('03 Suppliers'!$N$5:$N$34,MATCH($G30,'03 Suppliers'!$B$5:$B$34,0)),"Excl VAT")="Incl VAT",'01 Control'!$C$6,0))/($H30*IFERROR(VLOOKUP($I30,'02 Lists'!$A$5:$B$18,2,FALSE()),1)))</f>
        <v/>
      </c>
      <c r="M30" s="140" t="n"/>
      <c r="N30" s="147" t="n"/>
      <c r="O30" s="141" t="n"/>
      <c r="P30" s="148" t="n"/>
      <c r="Q30" s="149" t="n"/>
      <c r="R30" s="150">
        <f>IF(OR($P30="",$N30="",$N30=0),"",$P30/(1+IF(IFERROR(INDEX('03 Suppliers'!$N$5:$N$34,MATCH($M30,'03 Suppliers'!$B$5:$B$34,0)),"Excl VAT")="Incl VAT",'01 Control'!$C$6,0))/($N30*IFERROR(VLOOKUP($O30,'02 Lists'!$A$5:$B$18,2,FALSE()),1)))</f>
        <v/>
      </c>
      <c r="S30" s="140" t="n"/>
      <c r="T30" s="147" t="n"/>
      <c r="U30" s="141" t="n"/>
      <c r="V30" s="148" t="n"/>
      <c r="W30" s="149" t="n"/>
      <c r="X30" s="150">
        <f>IF(OR($V30="",$T30="",$T30=0),"",$V30/(1+IF(IFERROR(INDEX('03 Suppliers'!$N$5:$N$34,MATCH($S30,'03 Suppliers'!$B$5:$B$34,0)),"Excl VAT")="Incl VAT",'01 Control'!$C$6,0))/($T30*IFERROR(VLOOKUP($U30,'02 Lists'!$A$5:$B$18,2,FALSE()),1)))</f>
        <v/>
      </c>
      <c r="Y30" s="140" t="n"/>
      <c r="Z30" s="147" t="n"/>
      <c r="AA30" s="141" t="n"/>
      <c r="AB30" s="148" t="n"/>
      <c r="AC30" s="149" t="n"/>
      <c r="AD30" s="150">
        <f>IF(OR($AB30="",$Z30="",$Z30=0),"",$AB30/(1+IF(IFERROR(INDEX('03 Suppliers'!$N$5:$N$34,MATCH($Y30,'03 Suppliers'!$B$5:$B$34,0)),"Excl VAT")="Incl VAT",'01 Control'!$C$6,0))/($Z30*IFERROR(VLOOKUP($AA30,'02 Lists'!$A$5:$B$18,2,FALSE()),1)))</f>
        <v/>
      </c>
      <c r="AE30" s="140" t="n"/>
      <c r="AF30" s="147" t="n"/>
      <c r="AG30" s="141" t="n"/>
      <c r="AH30" s="148" t="n"/>
      <c r="AI30" s="149" t="n"/>
      <c r="AJ30" s="150">
        <f>IF(OR($AH30="",$AF30="",$AF30=0),"",$AH30/(1+IF(IFERROR(INDEX('03 Suppliers'!$N$5:$N$34,MATCH($AE30,'03 Suppliers'!$B$5:$B$34,0)),"Excl VAT")="Incl VAT",'01 Control'!$C$6,0))/($AF30*IFERROR(VLOOKUP($AG30,'02 Lists'!$A$5:$B$18,2,FALSE()),1)))</f>
        <v/>
      </c>
      <c r="AK30" s="151">
        <f>IF(COUNT(L30,R30,X30,AD30,AJ30)=0,"",MIN(L30,R30,X30,AD30,AJ30))</f>
        <v/>
      </c>
      <c r="AL30" s="126">
        <f>IF($AK30="","",IF(L30=$AK30,$G30,IF(R30=$AK30,$M30,IF(X30=$AK30,$S30,IF(AD30=$AK30,$Y30,IF(AJ30=$AK30,$AE30,""))))))</f>
        <v/>
      </c>
      <c r="AM30" s="151">
        <f>IF($AK30="","",$AK30/IF($E30="",1,$E30))</f>
        <v/>
      </c>
      <c r="AN30" s="152">
        <f>COUNT(L30,R30,X30,AD30,AJ30)</f>
        <v/>
      </c>
      <c r="AO30" s="150">
        <f>IF(COUNT(L30,R30,X30,AD30,AJ30)=0,"",MAX(L30,R30,X30,AD30,AJ30))</f>
        <v/>
      </c>
      <c r="AP30" s="153">
        <f>IF(OR($AK30="",$AO30="",$AO30=0),"",($AO30-$AK30)/$AO30)</f>
        <v/>
      </c>
      <c r="AQ30" s="154">
        <f>IF($AK30="","",IF(L30=$AK30,$K30,IF(R30=$AK30,$Q30,IF(X30=$AK30,$W30,IF(AD30=$AK30,$AC30,IF(AJ30=$AK30,$AI30,""))))))</f>
        <v/>
      </c>
      <c r="AT30" s="142">
        <f>'03 Suppliers'!$B$30&amp;""</f>
        <v/>
      </c>
    </row>
    <row r="31" ht="15" customHeight="1" s="106">
      <c r="A31" s="134" t="inlineStr">
        <is>
          <t>PP-HERB-BASIL-FRESH</t>
        </is>
      </c>
      <c r="B31" s="138" t="inlineStr">
        <is>
          <t>Fresh Herb</t>
        </is>
      </c>
      <c r="C31" s="113" t="inlineStr">
        <is>
          <t>Fresh basil</t>
        </is>
      </c>
      <c r="D31" s="139" t="inlineStr">
        <is>
          <t>g</t>
        </is>
      </c>
      <c r="E31" s="146" t="n">
        <v>0.85</v>
      </c>
      <c r="F31" s="116" t="inlineStr">
        <is>
          <t>Pesto + finishing; high trim loss</t>
        </is>
      </c>
      <c r="G31" s="140" t="n"/>
      <c r="H31" s="147" t="n"/>
      <c r="I31" s="141" t="n"/>
      <c r="J31" s="148" t="n"/>
      <c r="K31" s="149" t="n"/>
      <c r="L31" s="150">
        <f>IF(OR($J31="",$H31="",$H31=0),"",$J31/(1+IF(IFERROR(INDEX('03 Suppliers'!$N$5:$N$34,MATCH($G31,'03 Suppliers'!$B$5:$B$34,0)),"Excl VAT")="Incl VAT",'01 Control'!$C$6,0))/($H31*IFERROR(VLOOKUP($I31,'02 Lists'!$A$5:$B$18,2,FALSE()),1)))</f>
        <v/>
      </c>
      <c r="M31" s="140" t="n"/>
      <c r="N31" s="147" t="n"/>
      <c r="O31" s="141" t="n"/>
      <c r="P31" s="148" t="n"/>
      <c r="Q31" s="149" t="n"/>
      <c r="R31" s="150">
        <f>IF(OR($P31="",$N31="",$N31=0),"",$P31/(1+IF(IFERROR(INDEX('03 Suppliers'!$N$5:$N$34,MATCH($M31,'03 Suppliers'!$B$5:$B$34,0)),"Excl VAT")="Incl VAT",'01 Control'!$C$6,0))/($N31*IFERROR(VLOOKUP($O31,'02 Lists'!$A$5:$B$18,2,FALSE()),1)))</f>
        <v/>
      </c>
      <c r="S31" s="140" t="n"/>
      <c r="T31" s="147" t="n"/>
      <c r="U31" s="141" t="n"/>
      <c r="V31" s="148" t="n"/>
      <c r="W31" s="149" t="n"/>
      <c r="X31" s="150">
        <f>IF(OR($V31="",$T31="",$T31=0),"",$V31/(1+IF(IFERROR(INDEX('03 Suppliers'!$N$5:$N$34,MATCH($S31,'03 Suppliers'!$B$5:$B$34,0)),"Excl VAT")="Incl VAT",'01 Control'!$C$6,0))/($T31*IFERROR(VLOOKUP($U31,'02 Lists'!$A$5:$B$18,2,FALSE()),1)))</f>
        <v/>
      </c>
      <c r="Y31" s="140" t="n"/>
      <c r="Z31" s="147" t="n"/>
      <c r="AA31" s="141" t="n"/>
      <c r="AB31" s="148" t="n"/>
      <c r="AC31" s="149" t="n"/>
      <c r="AD31" s="150">
        <f>IF(OR($AB31="",$Z31="",$Z31=0),"",$AB31/(1+IF(IFERROR(INDEX('03 Suppliers'!$N$5:$N$34,MATCH($Y31,'03 Suppliers'!$B$5:$B$34,0)),"Excl VAT")="Incl VAT",'01 Control'!$C$6,0))/($Z31*IFERROR(VLOOKUP($AA31,'02 Lists'!$A$5:$B$18,2,FALSE()),1)))</f>
        <v/>
      </c>
      <c r="AE31" s="140" t="n"/>
      <c r="AF31" s="147" t="n"/>
      <c r="AG31" s="141" t="n"/>
      <c r="AH31" s="148" t="n"/>
      <c r="AI31" s="149" t="n"/>
      <c r="AJ31" s="150">
        <f>IF(OR($AH31="",$AF31="",$AF31=0),"",$AH31/(1+IF(IFERROR(INDEX('03 Suppliers'!$N$5:$N$34,MATCH($AE31,'03 Suppliers'!$B$5:$B$34,0)),"Excl VAT")="Incl VAT",'01 Control'!$C$6,0))/($AF31*IFERROR(VLOOKUP($AG31,'02 Lists'!$A$5:$B$18,2,FALSE()),1)))</f>
        <v/>
      </c>
      <c r="AK31" s="151">
        <f>IF(COUNT(L31,R31,X31,AD31,AJ31)=0,"",MIN(L31,R31,X31,AD31,AJ31))</f>
        <v/>
      </c>
      <c r="AL31" s="126">
        <f>IF($AK31="","",IF(L31=$AK31,$G31,IF(R31=$AK31,$M31,IF(X31=$AK31,$S31,IF(AD31=$AK31,$Y31,IF(AJ31=$AK31,$AE31,""))))))</f>
        <v/>
      </c>
      <c r="AM31" s="151">
        <f>IF($AK31="","",$AK31/IF($E31="",1,$E31))</f>
        <v/>
      </c>
      <c r="AN31" s="152">
        <f>COUNT(L31,R31,X31,AD31,AJ31)</f>
        <v/>
      </c>
      <c r="AO31" s="150">
        <f>IF(COUNT(L31,R31,X31,AD31,AJ31)=0,"",MAX(L31,R31,X31,AD31,AJ31))</f>
        <v/>
      </c>
      <c r="AP31" s="153">
        <f>IF(OR($AK31="",$AO31="",$AO31=0),"",($AO31-$AK31)/$AO31)</f>
        <v/>
      </c>
      <c r="AQ31" s="154">
        <f>IF($AK31="","",IF(L31=$AK31,$K31,IF(R31=$AK31,$Q31,IF(X31=$AK31,$W31,IF(AD31=$AK31,$AC31,IF(AJ31=$AK31,$AI31,""))))))</f>
        <v/>
      </c>
      <c r="AT31" s="142">
        <f>'03 Suppliers'!$B$31&amp;""</f>
        <v/>
      </c>
    </row>
    <row r="32" ht="15" customHeight="1" s="106">
      <c r="A32" s="134" t="inlineStr">
        <is>
          <t>PP-HERB-PARSLEY</t>
        </is>
      </c>
      <c r="B32" s="138" t="inlineStr">
        <is>
          <t>Fresh Herb</t>
        </is>
      </c>
      <c r="C32" s="113" t="inlineStr">
        <is>
          <t>Fresh parsley</t>
        </is>
      </c>
      <c r="D32" s="139" t="inlineStr">
        <is>
          <t>g</t>
        </is>
      </c>
      <c r="E32" s="146" t="n">
        <v>0.8</v>
      </c>
      <c r="F32" s="116" t="inlineStr">
        <is>
          <t>Aglio e Olio finish</t>
        </is>
      </c>
      <c r="G32" s="140" t="n"/>
      <c r="H32" s="147" t="n"/>
      <c r="I32" s="141" t="n"/>
      <c r="J32" s="148" t="n"/>
      <c r="K32" s="149" t="n"/>
      <c r="L32" s="150">
        <f>IF(OR($J32="",$H32="",$H32=0),"",$J32/(1+IF(IFERROR(INDEX('03 Suppliers'!$N$5:$N$34,MATCH($G32,'03 Suppliers'!$B$5:$B$34,0)),"Excl VAT")="Incl VAT",'01 Control'!$C$6,0))/($H32*IFERROR(VLOOKUP($I32,'02 Lists'!$A$5:$B$18,2,FALSE()),1)))</f>
        <v/>
      </c>
      <c r="M32" s="140" t="n"/>
      <c r="N32" s="147" t="n"/>
      <c r="O32" s="141" t="n"/>
      <c r="P32" s="148" t="n"/>
      <c r="Q32" s="149" t="n"/>
      <c r="R32" s="150">
        <f>IF(OR($P32="",$N32="",$N32=0),"",$P32/(1+IF(IFERROR(INDEX('03 Suppliers'!$N$5:$N$34,MATCH($M32,'03 Suppliers'!$B$5:$B$34,0)),"Excl VAT")="Incl VAT",'01 Control'!$C$6,0))/($N32*IFERROR(VLOOKUP($O32,'02 Lists'!$A$5:$B$18,2,FALSE()),1)))</f>
        <v/>
      </c>
      <c r="S32" s="140" t="n"/>
      <c r="T32" s="147" t="n"/>
      <c r="U32" s="141" t="n"/>
      <c r="V32" s="148" t="n"/>
      <c r="W32" s="149" t="n"/>
      <c r="X32" s="150">
        <f>IF(OR($V32="",$T32="",$T32=0),"",$V32/(1+IF(IFERROR(INDEX('03 Suppliers'!$N$5:$N$34,MATCH($S32,'03 Suppliers'!$B$5:$B$34,0)),"Excl VAT")="Incl VAT",'01 Control'!$C$6,0))/($T32*IFERROR(VLOOKUP($U32,'02 Lists'!$A$5:$B$18,2,FALSE()),1)))</f>
        <v/>
      </c>
      <c r="Y32" s="140" t="n"/>
      <c r="Z32" s="147" t="n"/>
      <c r="AA32" s="141" t="n"/>
      <c r="AB32" s="148" t="n"/>
      <c r="AC32" s="149" t="n"/>
      <c r="AD32" s="150">
        <f>IF(OR($AB32="",$Z32="",$Z32=0),"",$AB32/(1+IF(IFERROR(INDEX('03 Suppliers'!$N$5:$N$34,MATCH($Y32,'03 Suppliers'!$B$5:$B$34,0)),"Excl VAT")="Incl VAT",'01 Control'!$C$6,0))/($Z32*IFERROR(VLOOKUP($AA32,'02 Lists'!$A$5:$B$18,2,FALSE()),1)))</f>
        <v/>
      </c>
      <c r="AE32" s="140" t="n"/>
      <c r="AF32" s="147" t="n"/>
      <c r="AG32" s="141" t="n"/>
      <c r="AH32" s="148" t="n"/>
      <c r="AI32" s="149" t="n"/>
      <c r="AJ32" s="150">
        <f>IF(OR($AH32="",$AF32="",$AF32=0),"",$AH32/(1+IF(IFERROR(INDEX('03 Suppliers'!$N$5:$N$34,MATCH($AE32,'03 Suppliers'!$B$5:$B$34,0)),"Excl VAT")="Incl VAT",'01 Control'!$C$6,0))/($AF32*IFERROR(VLOOKUP($AG32,'02 Lists'!$A$5:$B$18,2,FALSE()),1)))</f>
        <v/>
      </c>
      <c r="AK32" s="151">
        <f>IF(COUNT(L32,R32,X32,AD32,AJ32)=0,"",MIN(L32,R32,X32,AD32,AJ32))</f>
        <v/>
      </c>
      <c r="AL32" s="126">
        <f>IF($AK32="","",IF(L32=$AK32,$G32,IF(R32=$AK32,$M32,IF(X32=$AK32,$S32,IF(AD32=$AK32,$Y32,IF(AJ32=$AK32,$AE32,""))))))</f>
        <v/>
      </c>
      <c r="AM32" s="151">
        <f>IF($AK32="","",$AK32/IF($E32="",1,$E32))</f>
        <v/>
      </c>
      <c r="AN32" s="152">
        <f>COUNT(L32,R32,X32,AD32,AJ32)</f>
        <v/>
      </c>
      <c r="AO32" s="150">
        <f>IF(COUNT(L32,R32,X32,AD32,AJ32)=0,"",MAX(L32,R32,X32,AD32,AJ32))</f>
        <v/>
      </c>
      <c r="AP32" s="153">
        <f>IF(OR($AK32="",$AO32="",$AO32=0),"",($AO32-$AK32)/$AO32)</f>
        <v/>
      </c>
      <c r="AQ32" s="154">
        <f>IF($AK32="","",IF(L32=$AK32,$K32,IF(R32=$AK32,$Q32,IF(X32=$AK32,$W32,IF(AD32=$AK32,$AC32,IF(AJ32=$AK32,$AI32,""))))))</f>
        <v/>
      </c>
      <c r="AT32" s="142">
        <f>'03 Suppliers'!$B$32&amp;""</f>
        <v/>
      </c>
    </row>
    <row r="33" ht="15" customHeight="1" s="106">
      <c r="A33" s="134" t="inlineStr">
        <is>
          <t>PP-HERB-THYME</t>
        </is>
      </c>
      <c r="B33" s="138" t="inlineStr">
        <is>
          <t>Fresh Herb</t>
        </is>
      </c>
      <c r="C33" s="113" t="inlineStr">
        <is>
          <t>Fresh thyme</t>
        </is>
      </c>
      <c r="D33" s="139" t="inlineStr">
        <is>
          <t>g</t>
        </is>
      </c>
      <c r="E33" s="146" t="n">
        <v>0.7</v>
      </c>
      <c r="F33" s="116" t="inlineStr">
        <is>
          <t>Boscaiola / Harvest seasonal</t>
        </is>
      </c>
      <c r="G33" s="140" t="n"/>
      <c r="H33" s="147" t="n"/>
      <c r="I33" s="141" t="n"/>
      <c r="J33" s="148" t="n"/>
      <c r="K33" s="149" t="n"/>
      <c r="L33" s="150">
        <f>IF(OR($J33="",$H33="",$H33=0),"",$J33/(1+IF(IFERROR(INDEX('03 Suppliers'!$N$5:$N$34,MATCH($G33,'03 Suppliers'!$B$5:$B$34,0)),"Excl VAT")="Incl VAT",'01 Control'!$C$6,0))/($H33*IFERROR(VLOOKUP($I33,'02 Lists'!$A$5:$B$18,2,FALSE()),1)))</f>
        <v/>
      </c>
      <c r="M33" s="140" t="n"/>
      <c r="N33" s="147" t="n"/>
      <c r="O33" s="141" t="n"/>
      <c r="P33" s="148" t="n"/>
      <c r="Q33" s="149" t="n"/>
      <c r="R33" s="150">
        <f>IF(OR($P33="",$N33="",$N33=0),"",$P33/(1+IF(IFERROR(INDEX('03 Suppliers'!$N$5:$N$34,MATCH($M33,'03 Suppliers'!$B$5:$B$34,0)),"Excl VAT")="Incl VAT",'01 Control'!$C$6,0))/($N33*IFERROR(VLOOKUP($O33,'02 Lists'!$A$5:$B$18,2,FALSE()),1)))</f>
        <v/>
      </c>
      <c r="S33" s="140" t="n"/>
      <c r="T33" s="147" t="n"/>
      <c r="U33" s="141" t="n"/>
      <c r="V33" s="148" t="n"/>
      <c r="W33" s="149" t="n"/>
      <c r="X33" s="150">
        <f>IF(OR($V33="",$T33="",$T33=0),"",$V33/(1+IF(IFERROR(INDEX('03 Suppliers'!$N$5:$N$34,MATCH($S33,'03 Suppliers'!$B$5:$B$34,0)),"Excl VAT")="Incl VAT",'01 Control'!$C$6,0))/($T33*IFERROR(VLOOKUP($U33,'02 Lists'!$A$5:$B$18,2,FALSE()),1)))</f>
        <v/>
      </c>
      <c r="Y33" s="140" t="n"/>
      <c r="Z33" s="147" t="n"/>
      <c r="AA33" s="141" t="n"/>
      <c r="AB33" s="148" t="n"/>
      <c r="AC33" s="149" t="n"/>
      <c r="AD33" s="150">
        <f>IF(OR($AB33="",$Z33="",$Z33=0),"",$AB33/(1+IF(IFERROR(INDEX('03 Suppliers'!$N$5:$N$34,MATCH($Y33,'03 Suppliers'!$B$5:$B$34,0)),"Excl VAT")="Incl VAT",'01 Control'!$C$6,0))/($Z33*IFERROR(VLOOKUP($AA33,'02 Lists'!$A$5:$B$18,2,FALSE()),1)))</f>
        <v/>
      </c>
      <c r="AE33" s="140" t="n"/>
      <c r="AF33" s="147" t="n"/>
      <c r="AG33" s="141" t="n"/>
      <c r="AH33" s="148" t="n"/>
      <c r="AI33" s="149" t="n"/>
      <c r="AJ33" s="150">
        <f>IF(OR($AH33="",$AF33="",$AF33=0),"",$AH33/(1+IF(IFERROR(INDEX('03 Suppliers'!$N$5:$N$34,MATCH($AE33,'03 Suppliers'!$B$5:$B$34,0)),"Excl VAT")="Incl VAT",'01 Control'!$C$6,0))/($AF33*IFERROR(VLOOKUP($AG33,'02 Lists'!$A$5:$B$18,2,FALSE()),1)))</f>
        <v/>
      </c>
      <c r="AK33" s="151">
        <f>IF(COUNT(L33,R33,X33,AD33,AJ33)=0,"",MIN(L33,R33,X33,AD33,AJ33))</f>
        <v/>
      </c>
      <c r="AL33" s="126">
        <f>IF($AK33="","",IF(L33=$AK33,$G33,IF(R33=$AK33,$M33,IF(X33=$AK33,$S33,IF(AD33=$AK33,$Y33,IF(AJ33=$AK33,$AE33,""))))))</f>
        <v/>
      </c>
      <c r="AM33" s="151">
        <f>IF($AK33="","",$AK33/IF($E33="",1,$E33))</f>
        <v/>
      </c>
      <c r="AN33" s="152">
        <f>COUNT(L33,R33,X33,AD33,AJ33)</f>
        <v/>
      </c>
      <c r="AO33" s="150">
        <f>IF(COUNT(L33,R33,X33,AD33,AJ33)=0,"",MAX(L33,R33,X33,AD33,AJ33))</f>
        <v/>
      </c>
      <c r="AP33" s="153">
        <f>IF(OR($AK33="",$AO33="",$AO33=0),"",($AO33-$AK33)/$AO33)</f>
        <v/>
      </c>
      <c r="AQ33" s="154">
        <f>IF($AK33="","",IF(L33=$AK33,$K33,IF(R33=$AK33,$Q33,IF(X33=$AK33,$W33,IF(AD33=$AK33,$AC33,IF(AJ33=$AK33,$AI33,""))))))</f>
        <v/>
      </c>
      <c r="AT33" s="142">
        <f>'03 Suppliers'!$B$33&amp;""</f>
        <v/>
      </c>
    </row>
    <row r="34" ht="15" customHeight="1" s="106">
      <c r="A34" s="134" t="inlineStr">
        <is>
          <t>PP-HERB-SAGE</t>
        </is>
      </c>
      <c r="B34" s="138" t="inlineStr">
        <is>
          <t>Fresh Herb</t>
        </is>
      </c>
      <c r="C34" s="113" t="inlineStr">
        <is>
          <t>Fresh sage</t>
        </is>
      </c>
      <c r="D34" s="139" t="inlineStr">
        <is>
          <t>g</t>
        </is>
      </c>
      <c r="E34" s="146" t="n">
        <v>0.7</v>
      </c>
      <c r="F34" s="116" t="inlineStr">
        <is>
          <t>Autumn seasonal - butternut &amp; sage</t>
        </is>
      </c>
      <c r="G34" s="140" t="n"/>
      <c r="H34" s="147" t="n"/>
      <c r="I34" s="141" t="n"/>
      <c r="J34" s="148" t="n"/>
      <c r="K34" s="149" t="n"/>
      <c r="L34" s="150">
        <f>IF(OR($J34="",$H34="",$H34=0),"",$J34/(1+IF(IFERROR(INDEX('03 Suppliers'!$N$5:$N$34,MATCH($G34,'03 Suppliers'!$B$5:$B$34,0)),"Excl VAT")="Incl VAT",'01 Control'!$C$6,0))/($H34*IFERROR(VLOOKUP($I34,'02 Lists'!$A$5:$B$18,2,FALSE()),1)))</f>
        <v/>
      </c>
      <c r="M34" s="140" t="n"/>
      <c r="N34" s="147" t="n"/>
      <c r="O34" s="141" t="n"/>
      <c r="P34" s="148" t="n"/>
      <c r="Q34" s="149" t="n"/>
      <c r="R34" s="150">
        <f>IF(OR($P34="",$N34="",$N34=0),"",$P34/(1+IF(IFERROR(INDEX('03 Suppliers'!$N$5:$N$34,MATCH($M34,'03 Suppliers'!$B$5:$B$34,0)),"Excl VAT")="Incl VAT",'01 Control'!$C$6,0))/($N34*IFERROR(VLOOKUP($O34,'02 Lists'!$A$5:$B$18,2,FALSE()),1)))</f>
        <v/>
      </c>
      <c r="S34" s="140" t="n"/>
      <c r="T34" s="147" t="n"/>
      <c r="U34" s="141" t="n"/>
      <c r="V34" s="148" t="n"/>
      <c r="W34" s="149" t="n"/>
      <c r="X34" s="150">
        <f>IF(OR($V34="",$T34="",$T34=0),"",$V34/(1+IF(IFERROR(INDEX('03 Suppliers'!$N$5:$N$34,MATCH($S34,'03 Suppliers'!$B$5:$B$34,0)),"Excl VAT")="Incl VAT",'01 Control'!$C$6,0))/($T34*IFERROR(VLOOKUP($U34,'02 Lists'!$A$5:$B$18,2,FALSE()),1)))</f>
        <v/>
      </c>
      <c r="Y34" s="140" t="n"/>
      <c r="Z34" s="147" t="n"/>
      <c r="AA34" s="141" t="n"/>
      <c r="AB34" s="148" t="n"/>
      <c r="AC34" s="149" t="n"/>
      <c r="AD34" s="150">
        <f>IF(OR($AB34="",$Z34="",$Z34=0),"",$AB34/(1+IF(IFERROR(INDEX('03 Suppliers'!$N$5:$N$34,MATCH($Y34,'03 Suppliers'!$B$5:$B$34,0)),"Excl VAT")="Incl VAT",'01 Control'!$C$6,0))/($Z34*IFERROR(VLOOKUP($AA34,'02 Lists'!$A$5:$B$18,2,FALSE()),1)))</f>
        <v/>
      </c>
      <c r="AE34" s="140" t="n"/>
      <c r="AF34" s="147" t="n"/>
      <c r="AG34" s="141" t="n"/>
      <c r="AH34" s="148" t="n"/>
      <c r="AI34" s="149" t="n"/>
      <c r="AJ34" s="150">
        <f>IF(OR($AH34="",$AF34="",$AF34=0),"",$AH34/(1+IF(IFERROR(INDEX('03 Suppliers'!$N$5:$N$34,MATCH($AE34,'03 Suppliers'!$B$5:$B$34,0)),"Excl VAT")="Incl VAT",'01 Control'!$C$6,0))/($AF34*IFERROR(VLOOKUP($AG34,'02 Lists'!$A$5:$B$18,2,FALSE()),1)))</f>
        <v/>
      </c>
      <c r="AK34" s="151">
        <f>IF(COUNT(L34,R34,X34,AD34,AJ34)=0,"",MIN(L34,R34,X34,AD34,AJ34))</f>
        <v/>
      </c>
      <c r="AL34" s="126">
        <f>IF($AK34="","",IF(L34=$AK34,$G34,IF(R34=$AK34,$M34,IF(X34=$AK34,$S34,IF(AD34=$AK34,$Y34,IF(AJ34=$AK34,$AE34,""))))))</f>
        <v/>
      </c>
      <c r="AM34" s="151">
        <f>IF($AK34="","",$AK34/IF($E34="",1,$E34))</f>
        <v/>
      </c>
      <c r="AN34" s="152">
        <f>COUNT(L34,R34,X34,AD34,AJ34)</f>
        <v/>
      </c>
      <c r="AO34" s="150">
        <f>IF(COUNT(L34,R34,X34,AD34,AJ34)=0,"",MAX(L34,R34,X34,AD34,AJ34))</f>
        <v/>
      </c>
      <c r="AP34" s="153">
        <f>IF(OR($AK34="",$AO34="",$AO34=0),"",($AO34-$AK34)/$AO34)</f>
        <v/>
      </c>
      <c r="AQ34" s="154">
        <f>IF($AK34="","",IF(L34=$AK34,$K34,IF(R34=$AK34,$Q34,IF(X34=$AK34,$W34,IF(AD34=$AK34,$AC34,IF(AJ34=$AK34,$AI34,""))))))</f>
        <v/>
      </c>
      <c r="AT34" s="142">
        <f>'03 Suppliers'!$B$34&amp;""</f>
        <v/>
      </c>
    </row>
    <row r="35" ht="15" customHeight="1" s="106">
      <c r="A35" s="134" t="inlineStr">
        <is>
          <t>PP-HERB-MINT</t>
        </is>
      </c>
      <c r="B35" s="138" t="inlineStr">
        <is>
          <t>Fresh Herb</t>
        </is>
      </c>
      <c r="C35" s="113" t="inlineStr">
        <is>
          <t>Fresh mint</t>
        </is>
      </c>
      <c r="D35" s="139" t="inlineStr">
        <is>
          <t>g</t>
        </is>
      </c>
      <c r="E35" s="146" t="n">
        <v>0.8</v>
      </c>
      <c r="F35" s="116" t="inlineStr">
        <is>
          <t>Year 3 spring - pea, mint &amp; ricotta</t>
        </is>
      </c>
      <c r="G35" s="140" t="n"/>
      <c r="H35" s="147" t="n"/>
      <c r="I35" s="141" t="n"/>
      <c r="J35" s="148" t="n"/>
      <c r="K35" s="149" t="n"/>
      <c r="L35" s="150">
        <f>IF(OR($J35="",$H35="",$H35=0),"",$J35/(1+IF(IFERROR(INDEX('03 Suppliers'!$N$5:$N$34,MATCH($G35,'03 Suppliers'!$B$5:$B$34,0)),"Excl VAT")="Incl VAT",'01 Control'!$C$6,0))/($H35*IFERROR(VLOOKUP($I35,'02 Lists'!$A$5:$B$18,2,FALSE()),1)))</f>
        <v/>
      </c>
      <c r="M35" s="140" t="n"/>
      <c r="N35" s="147" t="n"/>
      <c r="O35" s="141" t="n"/>
      <c r="P35" s="148" t="n"/>
      <c r="Q35" s="149" t="n"/>
      <c r="R35" s="150">
        <f>IF(OR($P35="",$N35="",$N35=0),"",$P35/(1+IF(IFERROR(INDEX('03 Suppliers'!$N$5:$N$34,MATCH($M35,'03 Suppliers'!$B$5:$B$34,0)),"Excl VAT")="Incl VAT",'01 Control'!$C$6,0))/($N35*IFERROR(VLOOKUP($O35,'02 Lists'!$A$5:$B$18,2,FALSE()),1)))</f>
        <v/>
      </c>
      <c r="S35" s="140" t="n"/>
      <c r="T35" s="147" t="n"/>
      <c r="U35" s="141" t="n"/>
      <c r="V35" s="148" t="n"/>
      <c r="W35" s="149" t="n"/>
      <c r="X35" s="150">
        <f>IF(OR($V35="",$T35="",$T35=0),"",$V35/(1+IF(IFERROR(INDEX('03 Suppliers'!$N$5:$N$34,MATCH($S35,'03 Suppliers'!$B$5:$B$34,0)),"Excl VAT")="Incl VAT",'01 Control'!$C$6,0))/($T35*IFERROR(VLOOKUP($U35,'02 Lists'!$A$5:$B$18,2,FALSE()),1)))</f>
        <v/>
      </c>
      <c r="Y35" s="140" t="n"/>
      <c r="Z35" s="147" t="n"/>
      <c r="AA35" s="141" t="n"/>
      <c r="AB35" s="148" t="n"/>
      <c r="AC35" s="149" t="n"/>
      <c r="AD35" s="150">
        <f>IF(OR($AB35="",$Z35="",$Z35=0),"",$AB35/(1+IF(IFERROR(INDEX('03 Suppliers'!$N$5:$N$34,MATCH($Y35,'03 Suppliers'!$B$5:$B$34,0)),"Excl VAT")="Incl VAT",'01 Control'!$C$6,0))/($Z35*IFERROR(VLOOKUP($AA35,'02 Lists'!$A$5:$B$18,2,FALSE()),1)))</f>
        <v/>
      </c>
      <c r="AE35" s="140" t="n"/>
      <c r="AF35" s="147" t="n"/>
      <c r="AG35" s="141" t="n"/>
      <c r="AH35" s="148" t="n"/>
      <c r="AI35" s="149" t="n"/>
      <c r="AJ35" s="150">
        <f>IF(OR($AH35="",$AF35="",$AF35=0),"",$AH35/(1+IF(IFERROR(INDEX('03 Suppliers'!$N$5:$N$34,MATCH($AE35,'03 Suppliers'!$B$5:$B$34,0)),"Excl VAT")="Incl VAT",'01 Control'!$C$6,0))/($AF35*IFERROR(VLOOKUP($AG35,'02 Lists'!$A$5:$B$18,2,FALSE()),1)))</f>
        <v/>
      </c>
      <c r="AK35" s="151">
        <f>IF(COUNT(L35,R35,X35,AD35,AJ35)=0,"",MIN(L35,R35,X35,AD35,AJ35))</f>
        <v/>
      </c>
      <c r="AL35" s="126">
        <f>IF($AK35="","",IF(L35=$AK35,$G35,IF(R35=$AK35,$M35,IF(X35=$AK35,$S35,IF(AD35=$AK35,$Y35,IF(AJ35=$AK35,$AE35,""))))))</f>
        <v/>
      </c>
      <c r="AM35" s="151">
        <f>IF($AK35="","",$AK35/IF($E35="",1,$E35))</f>
        <v/>
      </c>
      <c r="AN35" s="152">
        <f>COUNT(L35,R35,X35,AD35,AJ35)</f>
        <v/>
      </c>
      <c r="AO35" s="150">
        <f>IF(COUNT(L35,R35,X35,AD35,AJ35)=0,"",MAX(L35,R35,X35,AD35,AJ35))</f>
        <v/>
      </c>
      <c r="AP35" s="153">
        <f>IF(OR($AK35="",$AO35="",$AO35=0),"",($AO35-$AK35)/$AO35)</f>
        <v/>
      </c>
      <c r="AQ35" s="154">
        <f>IF($AK35="","",IF(L35=$AK35,$K35,IF(R35=$AK35,$Q35,IF(X35=$AK35,$W35,IF(AD35=$AK35,$AC35,IF(AJ35=$AK35,$AI35,""))))))</f>
        <v/>
      </c>
    </row>
    <row r="36" ht="15" customHeight="1" s="106">
      <c r="A36" s="134" t="inlineStr">
        <is>
          <t>PP-CREAM</t>
        </is>
      </c>
      <c r="B36" s="138" t="inlineStr">
        <is>
          <t>Dairy</t>
        </is>
      </c>
      <c r="C36" s="113" t="inlineStr">
        <is>
          <t>Fresh cream</t>
        </is>
      </c>
      <c r="D36" s="139" t="inlineStr">
        <is>
          <t>ml</t>
        </is>
      </c>
      <c r="E36" s="146" t="n">
        <v>1</v>
      </c>
      <c r="F36" s="116" t="inlineStr">
        <is>
          <t>Cream sauce bases</t>
        </is>
      </c>
      <c r="G36" s="140" t="n"/>
      <c r="H36" s="147" t="n"/>
      <c r="I36" s="141" t="n"/>
      <c r="J36" s="148" t="n"/>
      <c r="K36" s="149" t="n"/>
      <c r="L36" s="150">
        <f>IF(OR($J36="",$H36="",$H36=0),"",$J36/(1+IF(IFERROR(INDEX('03 Suppliers'!$N$5:$N$34,MATCH($G36,'03 Suppliers'!$B$5:$B$34,0)),"Excl VAT")="Incl VAT",'01 Control'!$C$6,0))/($H36*IFERROR(VLOOKUP($I36,'02 Lists'!$A$5:$B$18,2,FALSE()),1)))</f>
        <v/>
      </c>
      <c r="M36" s="140" t="n"/>
      <c r="N36" s="147" t="n"/>
      <c r="O36" s="141" t="n"/>
      <c r="P36" s="148" t="n"/>
      <c r="Q36" s="149" t="n"/>
      <c r="R36" s="150">
        <f>IF(OR($P36="",$N36="",$N36=0),"",$P36/(1+IF(IFERROR(INDEX('03 Suppliers'!$N$5:$N$34,MATCH($M36,'03 Suppliers'!$B$5:$B$34,0)),"Excl VAT")="Incl VAT",'01 Control'!$C$6,0))/($N36*IFERROR(VLOOKUP($O36,'02 Lists'!$A$5:$B$18,2,FALSE()),1)))</f>
        <v/>
      </c>
      <c r="S36" s="140" t="n"/>
      <c r="T36" s="147" t="n"/>
      <c r="U36" s="141" t="n"/>
      <c r="V36" s="148" t="n"/>
      <c r="W36" s="149" t="n"/>
      <c r="X36" s="150">
        <f>IF(OR($V36="",$T36="",$T36=0),"",$V36/(1+IF(IFERROR(INDEX('03 Suppliers'!$N$5:$N$34,MATCH($S36,'03 Suppliers'!$B$5:$B$34,0)),"Excl VAT")="Incl VAT",'01 Control'!$C$6,0))/($T36*IFERROR(VLOOKUP($U36,'02 Lists'!$A$5:$B$18,2,FALSE()),1)))</f>
        <v/>
      </c>
      <c r="Y36" s="140" t="n"/>
      <c r="Z36" s="147" t="n"/>
      <c r="AA36" s="141" t="n"/>
      <c r="AB36" s="148" t="n"/>
      <c r="AC36" s="149" t="n"/>
      <c r="AD36" s="150">
        <f>IF(OR($AB36="",$Z36="",$Z36=0),"",$AB36/(1+IF(IFERROR(INDEX('03 Suppliers'!$N$5:$N$34,MATCH($Y36,'03 Suppliers'!$B$5:$B$34,0)),"Excl VAT")="Incl VAT",'01 Control'!$C$6,0))/($Z36*IFERROR(VLOOKUP($AA36,'02 Lists'!$A$5:$B$18,2,FALSE()),1)))</f>
        <v/>
      </c>
      <c r="AE36" s="140" t="n"/>
      <c r="AF36" s="147" t="n"/>
      <c r="AG36" s="141" t="n"/>
      <c r="AH36" s="148" t="n"/>
      <c r="AI36" s="149" t="n"/>
      <c r="AJ36" s="150">
        <f>IF(OR($AH36="",$AF36="",$AF36=0),"",$AH36/(1+IF(IFERROR(INDEX('03 Suppliers'!$N$5:$N$34,MATCH($AE36,'03 Suppliers'!$B$5:$B$34,0)),"Excl VAT")="Incl VAT",'01 Control'!$C$6,0))/($AF36*IFERROR(VLOOKUP($AG36,'02 Lists'!$A$5:$B$18,2,FALSE()),1)))</f>
        <v/>
      </c>
      <c r="AK36" s="151">
        <f>IF(COUNT(L36,R36,X36,AD36,AJ36)=0,"",MIN(L36,R36,X36,AD36,AJ36))</f>
        <v/>
      </c>
      <c r="AL36" s="126">
        <f>IF($AK36="","",IF(L36=$AK36,$G36,IF(R36=$AK36,$M36,IF(X36=$AK36,$S36,IF(AD36=$AK36,$Y36,IF(AJ36=$AK36,$AE36,""))))))</f>
        <v/>
      </c>
      <c r="AM36" s="151">
        <f>IF($AK36="","",$AK36/IF($E36="",1,$E36))</f>
        <v/>
      </c>
      <c r="AN36" s="152">
        <f>COUNT(L36,R36,X36,AD36,AJ36)</f>
        <v/>
      </c>
      <c r="AO36" s="150">
        <f>IF(COUNT(L36,R36,X36,AD36,AJ36)=0,"",MAX(L36,R36,X36,AD36,AJ36))</f>
        <v/>
      </c>
      <c r="AP36" s="153">
        <f>IF(OR($AK36="",$AO36="",$AO36=0),"",($AO36-$AK36)/$AO36)</f>
        <v/>
      </c>
      <c r="AQ36" s="154">
        <f>IF($AK36="","",IF(L36=$AK36,$K36,IF(R36=$AK36,$Q36,IF(X36=$AK36,$W36,IF(AD36=$AK36,$AC36,IF(AJ36=$AK36,$AI36,""))))))</f>
        <v/>
      </c>
    </row>
    <row r="37" ht="15" customHeight="1" s="106">
      <c r="A37" s="134" t="inlineStr">
        <is>
          <t>PP-PARM</t>
        </is>
      </c>
      <c r="B37" s="138" t="inlineStr">
        <is>
          <t>Cheese</t>
        </is>
      </c>
      <c r="C37" s="113" t="inlineStr">
        <is>
          <t>Parmesan / hard cheese (microbial rennet)</t>
        </is>
      </c>
      <c r="D37" s="139" t="inlineStr">
        <is>
          <t>g</t>
        </is>
      </c>
      <c r="E37" s="146" t="n">
        <v>0.95</v>
      </c>
      <c r="F37" s="116" t="inlineStr">
        <is>
          <t>HALAAL RENNET REQUIRED</t>
        </is>
      </c>
      <c r="G37" s="140" t="n"/>
      <c r="H37" s="147" t="n"/>
      <c r="I37" s="141" t="n"/>
      <c r="J37" s="148" t="n"/>
      <c r="K37" s="149" t="n"/>
      <c r="L37" s="150">
        <f>IF(OR($J37="",$H37="",$H37=0),"",$J37/(1+IF(IFERROR(INDEX('03 Suppliers'!$N$5:$N$34,MATCH($G37,'03 Suppliers'!$B$5:$B$34,0)),"Excl VAT")="Incl VAT",'01 Control'!$C$6,0))/($H37*IFERROR(VLOOKUP($I37,'02 Lists'!$A$5:$B$18,2,FALSE()),1)))</f>
        <v/>
      </c>
      <c r="M37" s="140" t="n"/>
      <c r="N37" s="147" t="n"/>
      <c r="O37" s="141" t="n"/>
      <c r="P37" s="148" t="n"/>
      <c r="Q37" s="149" t="n"/>
      <c r="R37" s="150">
        <f>IF(OR($P37="",$N37="",$N37=0),"",$P37/(1+IF(IFERROR(INDEX('03 Suppliers'!$N$5:$N$34,MATCH($M37,'03 Suppliers'!$B$5:$B$34,0)),"Excl VAT")="Incl VAT",'01 Control'!$C$6,0))/($N37*IFERROR(VLOOKUP($O37,'02 Lists'!$A$5:$B$18,2,FALSE()),1)))</f>
        <v/>
      </c>
      <c r="S37" s="140" t="n"/>
      <c r="T37" s="147" t="n"/>
      <c r="U37" s="141" t="n"/>
      <c r="V37" s="148" t="n"/>
      <c r="W37" s="149" t="n"/>
      <c r="X37" s="150">
        <f>IF(OR($V37="",$T37="",$T37=0),"",$V37/(1+IF(IFERROR(INDEX('03 Suppliers'!$N$5:$N$34,MATCH($S37,'03 Suppliers'!$B$5:$B$34,0)),"Excl VAT")="Incl VAT",'01 Control'!$C$6,0))/($T37*IFERROR(VLOOKUP($U37,'02 Lists'!$A$5:$B$18,2,FALSE()),1)))</f>
        <v/>
      </c>
      <c r="Y37" s="140" t="n"/>
      <c r="Z37" s="147" t="n"/>
      <c r="AA37" s="141" t="n"/>
      <c r="AB37" s="148" t="n"/>
      <c r="AC37" s="149" t="n"/>
      <c r="AD37" s="150">
        <f>IF(OR($AB37="",$Z37="",$Z37=0),"",$AB37/(1+IF(IFERROR(INDEX('03 Suppliers'!$N$5:$N$34,MATCH($Y37,'03 Suppliers'!$B$5:$B$34,0)),"Excl VAT")="Incl VAT",'01 Control'!$C$6,0))/($Z37*IFERROR(VLOOKUP($AA37,'02 Lists'!$A$5:$B$18,2,FALSE()),1)))</f>
        <v/>
      </c>
      <c r="AE37" s="140" t="n"/>
      <c r="AF37" s="147" t="n"/>
      <c r="AG37" s="141" t="n"/>
      <c r="AH37" s="148" t="n"/>
      <c r="AI37" s="149" t="n"/>
      <c r="AJ37" s="150">
        <f>IF(OR($AH37="",$AF37="",$AF37=0),"",$AH37/(1+IF(IFERROR(INDEX('03 Suppliers'!$N$5:$N$34,MATCH($AE37,'03 Suppliers'!$B$5:$B$34,0)),"Excl VAT")="Incl VAT",'01 Control'!$C$6,0))/($AF37*IFERROR(VLOOKUP($AG37,'02 Lists'!$A$5:$B$18,2,FALSE()),1)))</f>
        <v/>
      </c>
      <c r="AK37" s="151">
        <f>IF(COUNT(L37,R37,X37,AD37,AJ37)=0,"",MIN(L37,R37,X37,AD37,AJ37))</f>
        <v/>
      </c>
      <c r="AL37" s="126">
        <f>IF($AK37="","",IF(L37=$AK37,$G37,IF(R37=$AK37,$M37,IF(X37=$AK37,$S37,IF(AD37=$AK37,$Y37,IF(AJ37=$AK37,$AE37,""))))))</f>
        <v/>
      </c>
      <c r="AM37" s="151">
        <f>IF($AK37="","",$AK37/IF($E37="",1,$E37))</f>
        <v/>
      </c>
      <c r="AN37" s="152">
        <f>COUNT(L37,R37,X37,AD37,AJ37)</f>
        <v/>
      </c>
      <c r="AO37" s="150">
        <f>IF(COUNT(L37,R37,X37,AD37,AJ37)=0,"",MAX(L37,R37,X37,AD37,AJ37))</f>
        <v/>
      </c>
      <c r="AP37" s="153">
        <f>IF(OR($AK37="",$AO37="",$AO37=0),"",($AO37-$AK37)/$AO37)</f>
        <v/>
      </c>
      <c r="AQ37" s="154">
        <f>IF($AK37="","",IF(L37=$AK37,$K37,IF(R37=$AK37,$Q37,IF(X37=$AK37,$W37,IF(AD37=$AK37,$AC37,IF(AJ37=$AK37,$AI37,""))))))</f>
        <v/>
      </c>
    </row>
    <row r="38" ht="15" customHeight="1" s="106">
      <c r="A38" s="134" t="inlineStr">
        <is>
          <t>PP-PECORINO</t>
        </is>
      </c>
      <c r="B38" s="138" t="inlineStr">
        <is>
          <t>Cheese</t>
        </is>
      </c>
      <c r="C38" s="113" t="inlineStr">
        <is>
          <t>Pecorino-style hard cheese (microbial rennet)</t>
        </is>
      </c>
      <c r="D38" s="139" t="inlineStr">
        <is>
          <t>g</t>
        </is>
      </c>
      <c r="E38" s="146" t="n">
        <v>0.95</v>
      </c>
      <c r="F38" s="116" t="inlineStr">
        <is>
          <t>HALAAL RENNET REQUIRED - Carbonara</t>
        </is>
      </c>
      <c r="G38" s="140" t="n"/>
      <c r="H38" s="147" t="n"/>
      <c r="I38" s="141" t="n"/>
      <c r="J38" s="148" t="n"/>
      <c r="K38" s="149" t="n"/>
      <c r="L38" s="150">
        <f>IF(OR($J38="",$H38="",$H38=0),"",$J38/(1+IF(IFERROR(INDEX('03 Suppliers'!$N$5:$N$34,MATCH($G38,'03 Suppliers'!$B$5:$B$34,0)),"Excl VAT")="Incl VAT",'01 Control'!$C$6,0))/($H38*IFERROR(VLOOKUP($I38,'02 Lists'!$A$5:$B$18,2,FALSE()),1)))</f>
        <v/>
      </c>
      <c r="M38" s="140" t="n"/>
      <c r="N38" s="147" t="n"/>
      <c r="O38" s="141" t="n"/>
      <c r="P38" s="148" t="n"/>
      <c r="Q38" s="149" t="n"/>
      <c r="R38" s="150">
        <f>IF(OR($P38="",$N38="",$N38=0),"",$P38/(1+IF(IFERROR(INDEX('03 Suppliers'!$N$5:$N$34,MATCH($M38,'03 Suppliers'!$B$5:$B$34,0)),"Excl VAT")="Incl VAT",'01 Control'!$C$6,0))/($N38*IFERROR(VLOOKUP($O38,'02 Lists'!$A$5:$B$18,2,FALSE()),1)))</f>
        <v/>
      </c>
      <c r="S38" s="140" t="n"/>
      <c r="T38" s="147" t="n"/>
      <c r="U38" s="141" t="n"/>
      <c r="V38" s="148" t="n"/>
      <c r="W38" s="149" t="n"/>
      <c r="X38" s="150">
        <f>IF(OR($V38="",$T38="",$T38=0),"",$V38/(1+IF(IFERROR(INDEX('03 Suppliers'!$N$5:$N$34,MATCH($S38,'03 Suppliers'!$B$5:$B$34,0)),"Excl VAT")="Incl VAT",'01 Control'!$C$6,0))/($T38*IFERROR(VLOOKUP($U38,'02 Lists'!$A$5:$B$18,2,FALSE()),1)))</f>
        <v/>
      </c>
      <c r="Y38" s="140" t="n"/>
      <c r="Z38" s="147" t="n"/>
      <c r="AA38" s="141" t="n"/>
      <c r="AB38" s="148" t="n"/>
      <c r="AC38" s="149" t="n"/>
      <c r="AD38" s="150">
        <f>IF(OR($AB38="",$Z38="",$Z38=0),"",$AB38/(1+IF(IFERROR(INDEX('03 Suppliers'!$N$5:$N$34,MATCH($Y38,'03 Suppliers'!$B$5:$B$34,0)),"Excl VAT")="Incl VAT",'01 Control'!$C$6,0))/($Z38*IFERROR(VLOOKUP($AA38,'02 Lists'!$A$5:$B$18,2,FALSE()),1)))</f>
        <v/>
      </c>
      <c r="AE38" s="140" t="n"/>
      <c r="AF38" s="147" t="n"/>
      <c r="AG38" s="141" t="n"/>
      <c r="AH38" s="148" t="n"/>
      <c r="AI38" s="149" t="n"/>
      <c r="AJ38" s="150">
        <f>IF(OR($AH38="",$AF38="",$AF38=0),"",$AH38/(1+IF(IFERROR(INDEX('03 Suppliers'!$N$5:$N$34,MATCH($AE38,'03 Suppliers'!$B$5:$B$34,0)),"Excl VAT")="Incl VAT",'01 Control'!$C$6,0))/($AF38*IFERROR(VLOOKUP($AG38,'02 Lists'!$A$5:$B$18,2,FALSE()),1)))</f>
        <v/>
      </c>
      <c r="AK38" s="151">
        <f>IF(COUNT(L38,R38,X38,AD38,AJ38)=0,"",MIN(L38,R38,X38,AD38,AJ38))</f>
        <v/>
      </c>
      <c r="AL38" s="126">
        <f>IF($AK38="","",IF(L38=$AK38,$G38,IF(R38=$AK38,$M38,IF(X38=$AK38,$S38,IF(AD38=$AK38,$Y38,IF(AJ38=$AK38,$AE38,""))))))</f>
        <v/>
      </c>
      <c r="AM38" s="151">
        <f>IF($AK38="","",$AK38/IF($E38="",1,$E38))</f>
        <v/>
      </c>
      <c r="AN38" s="152">
        <f>COUNT(L38,R38,X38,AD38,AJ38)</f>
        <v/>
      </c>
      <c r="AO38" s="150">
        <f>IF(COUNT(L38,R38,X38,AD38,AJ38)=0,"",MAX(L38,R38,X38,AD38,AJ38))</f>
        <v/>
      </c>
      <c r="AP38" s="153">
        <f>IF(OR($AK38="",$AO38="",$AO38=0),"",($AO38-$AK38)/$AO38)</f>
        <v/>
      </c>
      <c r="AQ38" s="154">
        <f>IF($AK38="","",IF(L38=$AK38,$K38,IF(R38=$AK38,$Q38,IF(X38=$AK38,$W38,IF(AD38=$AK38,$AC38,IF(AJ38=$AK38,$AI38,""))))))</f>
        <v/>
      </c>
    </row>
    <row r="39" ht="15" customHeight="1" s="106">
      <c r="A39" s="134" t="inlineStr">
        <is>
          <t>PP-MOZZ</t>
        </is>
      </c>
      <c r="B39" s="138" t="inlineStr">
        <is>
          <t>Cheese</t>
        </is>
      </c>
      <c r="C39" s="113" t="inlineStr">
        <is>
          <t>Mozzarella</t>
        </is>
      </c>
      <c r="D39" s="139" t="inlineStr">
        <is>
          <t>g</t>
        </is>
      </c>
      <c r="E39" s="146" t="n">
        <v>1</v>
      </c>
      <c r="F39" s="116" t="inlineStr">
        <is>
          <t>Quattro Formaggi + bake top</t>
        </is>
      </c>
      <c r="G39" s="140" t="n"/>
      <c r="H39" s="147" t="n"/>
      <c r="I39" s="141" t="n"/>
      <c r="J39" s="148" t="n"/>
      <c r="K39" s="149" t="n"/>
      <c r="L39" s="150">
        <f>IF(OR($J39="",$H39="",$H39=0),"",$J39/(1+IF(IFERROR(INDEX('03 Suppliers'!$N$5:$N$34,MATCH($G39,'03 Suppliers'!$B$5:$B$34,0)),"Excl VAT")="Incl VAT",'01 Control'!$C$6,0))/($H39*IFERROR(VLOOKUP($I39,'02 Lists'!$A$5:$B$18,2,FALSE()),1)))</f>
        <v/>
      </c>
      <c r="M39" s="140" t="n"/>
      <c r="N39" s="147" t="n"/>
      <c r="O39" s="141" t="n"/>
      <c r="P39" s="148" t="n"/>
      <c r="Q39" s="149" t="n"/>
      <c r="R39" s="150">
        <f>IF(OR($P39="",$N39="",$N39=0),"",$P39/(1+IF(IFERROR(INDEX('03 Suppliers'!$N$5:$N$34,MATCH($M39,'03 Suppliers'!$B$5:$B$34,0)),"Excl VAT")="Incl VAT",'01 Control'!$C$6,0))/($N39*IFERROR(VLOOKUP($O39,'02 Lists'!$A$5:$B$18,2,FALSE()),1)))</f>
        <v/>
      </c>
      <c r="S39" s="140" t="n"/>
      <c r="T39" s="147" t="n"/>
      <c r="U39" s="141" t="n"/>
      <c r="V39" s="148" t="n"/>
      <c r="W39" s="149" t="n"/>
      <c r="X39" s="150">
        <f>IF(OR($V39="",$T39="",$T39=0),"",$V39/(1+IF(IFERROR(INDEX('03 Suppliers'!$N$5:$N$34,MATCH($S39,'03 Suppliers'!$B$5:$B$34,0)),"Excl VAT")="Incl VAT",'01 Control'!$C$6,0))/($T39*IFERROR(VLOOKUP($U39,'02 Lists'!$A$5:$B$18,2,FALSE()),1)))</f>
        <v/>
      </c>
      <c r="Y39" s="140" t="n"/>
      <c r="Z39" s="147" t="n"/>
      <c r="AA39" s="141" t="n"/>
      <c r="AB39" s="148" t="n"/>
      <c r="AC39" s="149" t="n"/>
      <c r="AD39" s="150">
        <f>IF(OR($AB39="",$Z39="",$Z39=0),"",$AB39/(1+IF(IFERROR(INDEX('03 Suppliers'!$N$5:$N$34,MATCH($Y39,'03 Suppliers'!$B$5:$B$34,0)),"Excl VAT")="Incl VAT",'01 Control'!$C$6,0))/($Z39*IFERROR(VLOOKUP($AA39,'02 Lists'!$A$5:$B$18,2,FALSE()),1)))</f>
        <v/>
      </c>
      <c r="AE39" s="140" t="n"/>
      <c r="AF39" s="147" t="n"/>
      <c r="AG39" s="141" t="n"/>
      <c r="AH39" s="148" t="n"/>
      <c r="AI39" s="149" t="n"/>
      <c r="AJ39" s="150">
        <f>IF(OR($AH39="",$AF39="",$AF39=0),"",$AH39/(1+IF(IFERROR(INDEX('03 Suppliers'!$N$5:$N$34,MATCH($AE39,'03 Suppliers'!$B$5:$B$34,0)),"Excl VAT")="Incl VAT",'01 Control'!$C$6,0))/($AF39*IFERROR(VLOOKUP($AG39,'02 Lists'!$A$5:$B$18,2,FALSE()),1)))</f>
        <v/>
      </c>
      <c r="AK39" s="151">
        <f>IF(COUNT(L39,R39,X39,AD39,AJ39)=0,"",MIN(L39,R39,X39,AD39,AJ39))</f>
        <v/>
      </c>
      <c r="AL39" s="126">
        <f>IF($AK39="","",IF(L39=$AK39,$G39,IF(R39=$AK39,$M39,IF(X39=$AK39,$S39,IF(AD39=$AK39,$Y39,IF(AJ39=$AK39,$AE39,""))))))</f>
        <v/>
      </c>
      <c r="AM39" s="151">
        <f>IF($AK39="","",$AK39/IF($E39="",1,$E39))</f>
        <v/>
      </c>
      <c r="AN39" s="152">
        <f>COUNT(L39,R39,X39,AD39,AJ39)</f>
        <v/>
      </c>
      <c r="AO39" s="150">
        <f>IF(COUNT(L39,R39,X39,AD39,AJ39)=0,"",MAX(L39,R39,X39,AD39,AJ39))</f>
        <v/>
      </c>
      <c r="AP39" s="153">
        <f>IF(OR($AK39="",$AO39="",$AO39=0),"",($AO39-$AK39)/$AO39)</f>
        <v/>
      </c>
      <c r="AQ39" s="154">
        <f>IF($AK39="","",IF(L39=$AK39,$K39,IF(R39=$AK39,$Q39,IF(X39=$AK39,$W39,IF(AD39=$AK39,$AC39,IF(AJ39=$AK39,$AI39,""))))))</f>
        <v/>
      </c>
    </row>
    <row r="40" ht="15" customHeight="1" s="106">
      <c r="A40" s="134" t="inlineStr">
        <is>
          <t>PP-CHEDDAR-MAT</t>
        </is>
      </c>
      <c r="B40" s="138" t="inlineStr">
        <is>
          <t>Cheese</t>
        </is>
      </c>
      <c r="C40" s="113" t="inlineStr">
        <is>
          <t>Mature cheddar</t>
        </is>
      </c>
      <c r="D40" s="139" t="inlineStr">
        <is>
          <t>g</t>
        </is>
      </c>
      <c r="E40" s="146" t="n">
        <v>1</v>
      </c>
      <c r="F40" s="116" t="inlineStr">
        <is>
          <t>Quattro Formaggi</t>
        </is>
      </c>
      <c r="G40" s="140" t="n"/>
      <c r="H40" s="147" t="n"/>
      <c r="I40" s="141" t="n"/>
      <c r="J40" s="148" t="n"/>
      <c r="K40" s="149" t="n"/>
      <c r="L40" s="150">
        <f>IF(OR($J40="",$H40="",$H40=0),"",$J40/(1+IF(IFERROR(INDEX('03 Suppliers'!$N$5:$N$34,MATCH($G40,'03 Suppliers'!$B$5:$B$34,0)),"Excl VAT")="Incl VAT",'01 Control'!$C$6,0))/($H40*IFERROR(VLOOKUP($I40,'02 Lists'!$A$5:$B$18,2,FALSE()),1)))</f>
        <v/>
      </c>
      <c r="M40" s="140" t="n"/>
      <c r="N40" s="147" t="n"/>
      <c r="O40" s="141" t="n"/>
      <c r="P40" s="148" t="n"/>
      <c r="Q40" s="149" t="n"/>
      <c r="R40" s="150">
        <f>IF(OR($P40="",$N40="",$N40=0),"",$P40/(1+IF(IFERROR(INDEX('03 Suppliers'!$N$5:$N$34,MATCH($M40,'03 Suppliers'!$B$5:$B$34,0)),"Excl VAT")="Incl VAT",'01 Control'!$C$6,0))/($N40*IFERROR(VLOOKUP($O40,'02 Lists'!$A$5:$B$18,2,FALSE()),1)))</f>
        <v/>
      </c>
      <c r="S40" s="140" t="n"/>
      <c r="T40" s="147" t="n"/>
      <c r="U40" s="141" t="n"/>
      <c r="V40" s="148" t="n"/>
      <c r="W40" s="149" t="n"/>
      <c r="X40" s="150">
        <f>IF(OR($V40="",$T40="",$T40=0),"",$V40/(1+IF(IFERROR(INDEX('03 Suppliers'!$N$5:$N$34,MATCH($S40,'03 Suppliers'!$B$5:$B$34,0)),"Excl VAT")="Incl VAT",'01 Control'!$C$6,0))/($T40*IFERROR(VLOOKUP($U40,'02 Lists'!$A$5:$B$18,2,FALSE()),1)))</f>
        <v/>
      </c>
      <c r="Y40" s="140" t="n"/>
      <c r="Z40" s="147" t="n"/>
      <c r="AA40" s="141" t="n"/>
      <c r="AB40" s="148" t="n"/>
      <c r="AC40" s="149" t="n"/>
      <c r="AD40" s="150">
        <f>IF(OR($AB40="",$Z40="",$Z40=0),"",$AB40/(1+IF(IFERROR(INDEX('03 Suppliers'!$N$5:$N$34,MATCH($Y40,'03 Suppliers'!$B$5:$B$34,0)),"Excl VAT")="Incl VAT",'01 Control'!$C$6,0))/($Z40*IFERROR(VLOOKUP($AA40,'02 Lists'!$A$5:$B$18,2,FALSE()),1)))</f>
        <v/>
      </c>
      <c r="AE40" s="140" t="n"/>
      <c r="AF40" s="147" t="n"/>
      <c r="AG40" s="141" t="n"/>
      <c r="AH40" s="148" t="n"/>
      <c r="AI40" s="149" t="n"/>
      <c r="AJ40" s="150">
        <f>IF(OR($AH40="",$AF40="",$AF40=0),"",$AH40/(1+IF(IFERROR(INDEX('03 Suppliers'!$N$5:$N$34,MATCH($AE40,'03 Suppliers'!$B$5:$B$34,0)),"Excl VAT")="Incl VAT",'01 Control'!$C$6,0))/($AF40*IFERROR(VLOOKUP($AG40,'02 Lists'!$A$5:$B$18,2,FALSE()),1)))</f>
        <v/>
      </c>
      <c r="AK40" s="151">
        <f>IF(COUNT(L40,R40,X40,AD40,AJ40)=0,"",MIN(L40,R40,X40,AD40,AJ40))</f>
        <v/>
      </c>
      <c r="AL40" s="126">
        <f>IF($AK40="","",IF(L40=$AK40,$G40,IF(R40=$AK40,$M40,IF(X40=$AK40,$S40,IF(AD40=$AK40,$Y40,IF(AJ40=$AK40,$AE40,""))))))</f>
        <v/>
      </c>
      <c r="AM40" s="151">
        <f>IF($AK40="","",$AK40/IF($E40="",1,$E40))</f>
        <v/>
      </c>
      <c r="AN40" s="152">
        <f>COUNT(L40,R40,X40,AD40,AJ40)</f>
        <v/>
      </c>
      <c r="AO40" s="150">
        <f>IF(COUNT(L40,R40,X40,AD40,AJ40)=0,"",MAX(L40,R40,X40,AD40,AJ40))</f>
        <v/>
      </c>
      <c r="AP40" s="153">
        <f>IF(OR($AK40="",$AO40="",$AO40=0),"",($AO40-$AK40)/$AO40)</f>
        <v/>
      </c>
      <c r="AQ40" s="154">
        <f>IF($AK40="","",IF(L40=$AK40,$K40,IF(R40=$AK40,$Q40,IF(X40=$AK40,$W40,IF(AD40=$AK40,$AC40,IF(AJ40=$AK40,$AI40,""))))))</f>
        <v/>
      </c>
    </row>
    <row r="41" ht="15" customHeight="1" s="106">
      <c r="A41" s="134" t="inlineStr">
        <is>
          <t>PP-BLUE</t>
        </is>
      </c>
      <c r="B41" s="138" t="inlineStr">
        <is>
          <t>Cheese</t>
        </is>
      </c>
      <c r="C41" s="113" t="inlineStr">
        <is>
          <t>Gorgonzola / blue cheese</t>
        </is>
      </c>
      <c r="D41" s="139" t="inlineStr">
        <is>
          <t>g</t>
        </is>
      </c>
      <c r="E41" s="146" t="n">
        <v>1</v>
      </c>
      <c r="F41" s="116" t="inlineStr">
        <is>
          <t>Dialled subtle or omitted</t>
        </is>
      </c>
      <c r="G41" s="140" t="n"/>
      <c r="H41" s="147" t="n"/>
      <c r="I41" s="141" t="n"/>
      <c r="J41" s="148" t="n"/>
      <c r="K41" s="149" t="n"/>
      <c r="L41" s="150">
        <f>IF(OR($J41="",$H41="",$H41=0),"",$J41/(1+IF(IFERROR(INDEX('03 Suppliers'!$N$5:$N$34,MATCH($G41,'03 Suppliers'!$B$5:$B$34,0)),"Excl VAT")="Incl VAT",'01 Control'!$C$6,0))/($H41*IFERROR(VLOOKUP($I41,'02 Lists'!$A$5:$B$18,2,FALSE()),1)))</f>
        <v/>
      </c>
      <c r="M41" s="140" t="n"/>
      <c r="N41" s="147" t="n"/>
      <c r="O41" s="141" t="n"/>
      <c r="P41" s="148" t="n"/>
      <c r="Q41" s="149" t="n"/>
      <c r="R41" s="150">
        <f>IF(OR($P41="",$N41="",$N41=0),"",$P41/(1+IF(IFERROR(INDEX('03 Suppliers'!$N$5:$N$34,MATCH($M41,'03 Suppliers'!$B$5:$B$34,0)),"Excl VAT")="Incl VAT",'01 Control'!$C$6,0))/($N41*IFERROR(VLOOKUP($O41,'02 Lists'!$A$5:$B$18,2,FALSE()),1)))</f>
        <v/>
      </c>
      <c r="S41" s="140" t="n"/>
      <c r="T41" s="147" t="n"/>
      <c r="U41" s="141" t="n"/>
      <c r="V41" s="148" t="n"/>
      <c r="W41" s="149" t="n"/>
      <c r="X41" s="150">
        <f>IF(OR($V41="",$T41="",$T41=0),"",$V41/(1+IF(IFERROR(INDEX('03 Suppliers'!$N$5:$N$34,MATCH($S41,'03 Suppliers'!$B$5:$B$34,0)),"Excl VAT")="Incl VAT",'01 Control'!$C$6,0))/($T41*IFERROR(VLOOKUP($U41,'02 Lists'!$A$5:$B$18,2,FALSE()),1)))</f>
        <v/>
      </c>
      <c r="Y41" s="140" t="n"/>
      <c r="Z41" s="147" t="n"/>
      <c r="AA41" s="141" t="n"/>
      <c r="AB41" s="148" t="n"/>
      <c r="AC41" s="149" t="n"/>
      <c r="AD41" s="150">
        <f>IF(OR($AB41="",$Z41="",$Z41=0),"",$AB41/(1+IF(IFERROR(INDEX('03 Suppliers'!$N$5:$N$34,MATCH($Y41,'03 Suppliers'!$B$5:$B$34,0)),"Excl VAT")="Incl VAT",'01 Control'!$C$6,0))/($Z41*IFERROR(VLOOKUP($AA41,'02 Lists'!$A$5:$B$18,2,FALSE()),1)))</f>
        <v/>
      </c>
      <c r="AE41" s="140" t="n"/>
      <c r="AF41" s="147" t="n"/>
      <c r="AG41" s="141" t="n"/>
      <c r="AH41" s="148" t="n"/>
      <c r="AI41" s="149" t="n"/>
      <c r="AJ41" s="150">
        <f>IF(OR($AH41="",$AF41="",$AF41=0),"",$AH41/(1+IF(IFERROR(INDEX('03 Suppliers'!$N$5:$N$34,MATCH($AE41,'03 Suppliers'!$B$5:$B$34,0)),"Excl VAT")="Incl VAT",'01 Control'!$C$6,0))/($AF41*IFERROR(VLOOKUP($AG41,'02 Lists'!$A$5:$B$18,2,FALSE()),1)))</f>
        <v/>
      </c>
      <c r="AK41" s="151">
        <f>IF(COUNT(L41,R41,X41,AD41,AJ41)=0,"",MIN(L41,R41,X41,AD41,AJ41))</f>
        <v/>
      </c>
      <c r="AL41" s="126">
        <f>IF($AK41="","",IF(L41=$AK41,$G41,IF(R41=$AK41,$M41,IF(X41=$AK41,$S41,IF(AD41=$AK41,$Y41,IF(AJ41=$AK41,$AE41,""))))))</f>
        <v/>
      </c>
      <c r="AM41" s="151">
        <f>IF($AK41="","",$AK41/IF($E41="",1,$E41))</f>
        <v/>
      </c>
      <c r="AN41" s="152">
        <f>COUNT(L41,R41,X41,AD41,AJ41)</f>
        <v/>
      </c>
      <c r="AO41" s="150">
        <f>IF(COUNT(L41,R41,X41,AD41,AJ41)=0,"",MAX(L41,R41,X41,AD41,AJ41))</f>
        <v/>
      </c>
      <c r="AP41" s="153">
        <f>IF(OR($AK41="",$AO41="",$AO41=0),"",($AO41-$AK41)/$AO41)</f>
        <v/>
      </c>
      <c r="AQ41" s="154">
        <f>IF($AK41="","",IF(L41=$AK41,$K41,IF(R41=$AK41,$Q41,IF(X41=$AK41,$W41,IF(AD41=$AK41,$AC41,IF(AJ41=$AK41,$AI41,""))))))</f>
        <v/>
      </c>
    </row>
    <row r="42" ht="15" customHeight="1" s="106">
      <c r="A42" s="134" t="inlineStr">
        <is>
          <t>PP-RICOTTA</t>
        </is>
      </c>
      <c r="B42" s="138" t="inlineStr">
        <is>
          <t>Cheese</t>
        </is>
      </c>
      <c r="C42" s="113" t="inlineStr">
        <is>
          <t>Ricotta</t>
        </is>
      </c>
      <c r="D42" s="139" t="inlineStr">
        <is>
          <t>g</t>
        </is>
      </c>
      <c r="E42" s="146" t="n">
        <v>1</v>
      </c>
      <c r="F42" s="116" t="inlineStr">
        <is>
          <t>Year 3 spring seasonal</t>
        </is>
      </c>
      <c r="G42" s="140" t="n"/>
      <c r="H42" s="147" t="n"/>
      <c r="I42" s="141" t="n"/>
      <c r="J42" s="148" t="n"/>
      <c r="K42" s="149" t="n"/>
      <c r="L42" s="150">
        <f>IF(OR($J42="",$H42="",$H42=0),"",$J42/(1+IF(IFERROR(INDEX('03 Suppliers'!$N$5:$N$34,MATCH($G42,'03 Suppliers'!$B$5:$B$34,0)),"Excl VAT")="Incl VAT",'01 Control'!$C$6,0))/($H42*IFERROR(VLOOKUP($I42,'02 Lists'!$A$5:$B$18,2,FALSE()),1)))</f>
        <v/>
      </c>
      <c r="M42" s="140" t="n"/>
      <c r="N42" s="147" t="n"/>
      <c r="O42" s="141" t="n"/>
      <c r="P42" s="148" t="n"/>
      <c r="Q42" s="149" t="n"/>
      <c r="R42" s="150">
        <f>IF(OR($P42="",$N42="",$N42=0),"",$P42/(1+IF(IFERROR(INDEX('03 Suppliers'!$N$5:$N$34,MATCH($M42,'03 Suppliers'!$B$5:$B$34,0)),"Excl VAT")="Incl VAT",'01 Control'!$C$6,0))/($N42*IFERROR(VLOOKUP($O42,'02 Lists'!$A$5:$B$18,2,FALSE()),1)))</f>
        <v/>
      </c>
      <c r="S42" s="140" t="n"/>
      <c r="T42" s="147" t="n"/>
      <c r="U42" s="141" t="n"/>
      <c r="V42" s="148" t="n"/>
      <c r="W42" s="149" t="n"/>
      <c r="X42" s="150">
        <f>IF(OR($V42="",$T42="",$T42=0),"",$V42/(1+IF(IFERROR(INDEX('03 Suppliers'!$N$5:$N$34,MATCH($S42,'03 Suppliers'!$B$5:$B$34,0)),"Excl VAT")="Incl VAT",'01 Control'!$C$6,0))/($T42*IFERROR(VLOOKUP($U42,'02 Lists'!$A$5:$B$18,2,FALSE()),1)))</f>
        <v/>
      </c>
      <c r="Y42" s="140" t="n"/>
      <c r="Z42" s="147" t="n"/>
      <c r="AA42" s="141" t="n"/>
      <c r="AB42" s="148" t="n"/>
      <c r="AC42" s="149" t="n"/>
      <c r="AD42" s="150">
        <f>IF(OR($AB42="",$Z42="",$Z42=0),"",$AB42/(1+IF(IFERROR(INDEX('03 Suppliers'!$N$5:$N$34,MATCH($Y42,'03 Suppliers'!$B$5:$B$34,0)),"Excl VAT")="Incl VAT",'01 Control'!$C$6,0))/($Z42*IFERROR(VLOOKUP($AA42,'02 Lists'!$A$5:$B$18,2,FALSE()),1)))</f>
        <v/>
      </c>
      <c r="AE42" s="140" t="n"/>
      <c r="AF42" s="147" t="n"/>
      <c r="AG42" s="141" t="n"/>
      <c r="AH42" s="148" t="n"/>
      <c r="AI42" s="149" t="n"/>
      <c r="AJ42" s="150">
        <f>IF(OR($AH42="",$AF42="",$AF42=0),"",$AH42/(1+IF(IFERROR(INDEX('03 Suppliers'!$N$5:$N$34,MATCH($AE42,'03 Suppliers'!$B$5:$B$34,0)),"Excl VAT")="Incl VAT",'01 Control'!$C$6,0))/($AF42*IFERROR(VLOOKUP($AG42,'02 Lists'!$A$5:$B$18,2,FALSE()),1)))</f>
        <v/>
      </c>
      <c r="AK42" s="151">
        <f>IF(COUNT(L42,R42,X42,AD42,AJ42)=0,"",MIN(L42,R42,X42,AD42,AJ42))</f>
        <v/>
      </c>
      <c r="AL42" s="126">
        <f>IF($AK42="","",IF(L42=$AK42,$G42,IF(R42=$AK42,$M42,IF(X42=$AK42,$S42,IF(AD42=$AK42,$Y42,IF(AJ42=$AK42,$AE42,""))))))</f>
        <v/>
      </c>
      <c r="AM42" s="151">
        <f>IF($AK42="","",$AK42/IF($E42="",1,$E42))</f>
        <v/>
      </c>
      <c r="AN42" s="152">
        <f>COUNT(L42,R42,X42,AD42,AJ42)</f>
        <v/>
      </c>
      <c r="AO42" s="150">
        <f>IF(COUNT(L42,R42,X42,AD42,AJ42)=0,"",MAX(L42,R42,X42,AD42,AJ42))</f>
        <v/>
      </c>
      <c r="AP42" s="153">
        <f>IF(OR($AK42="",$AO42="",$AO42=0),"",($AO42-$AK42)/$AO42)</f>
        <v/>
      </c>
      <c r="AQ42" s="154">
        <f>IF($AK42="","",IF(L42=$AK42,$K42,IF(R42=$AK42,$Q42,IF(X42=$AK42,$W42,IF(AD42=$AK42,$AC42,IF(AJ42=$AK42,$AI42,""))))))</f>
        <v/>
      </c>
    </row>
    <row r="43" ht="15" customHeight="1" s="106">
      <c r="A43" s="134" t="inlineStr">
        <is>
          <t>PP-EGG-YOLK-PAST</t>
        </is>
      </c>
      <c r="B43" s="138" t="inlineStr">
        <is>
          <t>Dairy</t>
        </is>
      </c>
      <c r="C43" s="113" t="inlineStr">
        <is>
          <t>Pasteurised egg yolk</t>
        </is>
      </c>
      <c r="D43" s="139" t="inlineStr">
        <is>
          <t>g</t>
        </is>
      </c>
      <c r="E43" s="146" t="n">
        <v>1</v>
      </c>
      <c r="F43" s="116" t="inlineStr">
        <is>
          <t>Carbonara base - food-safety critical</t>
        </is>
      </c>
      <c r="G43" s="140" t="n"/>
      <c r="H43" s="147" t="n"/>
      <c r="I43" s="141" t="n"/>
      <c r="J43" s="148" t="n"/>
      <c r="K43" s="149" t="n"/>
      <c r="L43" s="150">
        <f>IF(OR($J43="",$H43="",$H43=0),"",$J43/(1+IF(IFERROR(INDEX('03 Suppliers'!$N$5:$N$34,MATCH($G43,'03 Suppliers'!$B$5:$B$34,0)),"Excl VAT")="Incl VAT",'01 Control'!$C$6,0))/($H43*IFERROR(VLOOKUP($I43,'02 Lists'!$A$5:$B$18,2,FALSE()),1)))</f>
        <v/>
      </c>
      <c r="M43" s="140" t="n"/>
      <c r="N43" s="147" t="n"/>
      <c r="O43" s="141" t="n"/>
      <c r="P43" s="148" t="n"/>
      <c r="Q43" s="149" t="n"/>
      <c r="R43" s="150">
        <f>IF(OR($P43="",$N43="",$N43=0),"",$P43/(1+IF(IFERROR(INDEX('03 Suppliers'!$N$5:$N$34,MATCH($M43,'03 Suppliers'!$B$5:$B$34,0)),"Excl VAT")="Incl VAT",'01 Control'!$C$6,0))/($N43*IFERROR(VLOOKUP($O43,'02 Lists'!$A$5:$B$18,2,FALSE()),1)))</f>
        <v/>
      </c>
      <c r="S43" s="140" t="n"/>
      <c r="T43" s="147" t="n"/>
      <c r="U43" s="141" t="n"/>
      <c r="V43" s="148" t="n"/>
      <c r="W43" s="149" t="n"/>
      <c r="X43" s="150">
        <f>IF(OR($V43="",$T43="",$T43=0),"",$V43/(1+IF(IFERROR(INDEX('03 Suppliers'!$N$5:$N$34,MATCH($S43,'03 Suppliers'!$B$5:$B$34,0)),"Excl VAT")="Incl VAT",'01 Control'!$C$6,0))/($T43*IFERROR(VLOOKUP($U43,'02 Lists'!$A$5:$B$18,2,FALSE()),1)))</f>
        <v/>
      </c>
      <c r="Y43" s="140" t="n"/>
      <c r="Z43" s="147" t="n"/>
      <c r="AA43" s="141" t="n"/>
      <c r="AB43" s="148" t="n"/>
      <c r="AC43" s="149" t="n"/>
      <c r="AD43" s="150">
        <f>IF(OR($AB43="",$Z43="",$Z43=0),"",$AB43/(1+IF(IFERROR(INDEX('03 Suppliers'!$N$5:$N$34,MATCH($Y43,'03 Suppliers'!$B$5:$B$34,0)),"Excl VAT")="Incl VAT",'01 Control'!$C$6,0))/($Z43*IFERROR(VLOOKUP($AA43,'02 Lists'!$A$5:$B$18,2,FALSE()),1)))</f>
        <v/>
      </c>
      <c r="AE43" s="140" t="n"/>
      <c r="AF43" s="147" t="n"/>
      <c r="AG43" s="141" t="n"/>
      <c r="AH43" s="148" t="n"/>
      <c r="AI43" s="149" t="n"/>
      <c r="AJ43" s="150">
        <f>IF(OR($AH43="",$AF43="",$AF43=0),"",$AH43/(1+IF(IFERROR(INDEX('03 Suppliers'!$N$5:$N$34,MATCH($AE43,'03 Suppliers'!$B$5:$B$34,0)),"Excl VAT")="Incl VAT",'01 Control'!$C$6,0))/($AF43*IFERROR(VLOOKUP($AG43,'02 Lists'!$A$5:$B$18,2,FALSE()),1)))</f>
        <v/>
      </c>
      <c r="AK43" s="151">
        <f>IF(COUNT(L43,R43,X43,AD43,AJ43)=0,"",MIN(L43,R43,X43,AD43,AJ43))</f>
        <v/>
      </c>
      <c r="AL43" s="126">
        <f>IF($AK43="","",IF(L43=$AK43,$G43,IF(R43=$AK43,$M43,IF(X43=$AK43,$S43,IF(AD43=$AK43,$Y43,IF(AJ43=$AK43,$AE43,""))))))</f>
        <v/>
      </c>
      <c r="AM43" s="151">
        <f>IF($AK43="","",$AK43/IF($E43="",1,$E43))</f>
        <v/>
      </c>
      <c r="AN43" s="152">
        <f>COUNT(L43,R43,X43,AD43,AJ43)</f>
        <v/>
      </c>
      <c r="AO43" s="150">
        <f>IF(COUNT(L43,R43,X43,AD43,AJ43)=0,"",MAX(L43,R43,X43,AD43,AJ43))</f>
        <v/>
      </c>
      <c r="AP43" s="153">
        <f>IF(OR($AK43="",$AO43="",$AO43=0),"",($AO43-$AK43)/$AO43)</f>
        <v/>
      </c>
      <c r="AQ43" s="154">
        <f>IF($AK43="","",IF(L43=$AK43,$K43,IF(R43=$AK43,$Q43,IF(X43=$AK43,$W43,IF(AD43=$AK43,$AC43,IF(AJ43=$AK43,$AI43,""))))))</f>
        <v/>
      </c>
    </row>
    <row r="44" ht="15" customHeight="1" s="106">
      <c r="A44" s="134" t="inlineStr">
        <is>
          <t>PP-BEEF-MINCE</t>
        </is>
      </c>
      <c r="B44" s="138" t="inlineStr">
        <is>
          <t>Beef</t>
        </is>
      </c>
      <c r="C44" s="113" t="inlineStr">
        <is>
          <t>Beef mince (halaal)</t>
        </is>
      </c>
      <c r="D44" s="139" t="inlineStr">
        <is>
          <t>g</t>
        </is>
      </c>
      <c r="E44" s="146" t="n">
        <v>0.85</v>
      </c>
      <c r="F44" s="116" t="inlineStr">
        <is>
          <t>Cooking loss on braise; confirm on prep test</t>
        </is>
      </c>
      <c r="G44" s="140" t="n"/>
      <c r="H44" s="147" t="n"/>
      <c r="I44" s="141" t="n"/>
      <c r="J44" s="148" t="n"/>
      <c r="K44" s="149" t="n"/>
      <c r="L44" s="150">
        <f>IF(OR($J44="",$H44="",$H44=0),"",$J44/(1+IF(IFERROR(INDEX('03 Suppliers'!$N$5:$N$34,MATCH($G44,'03 Suppliers'!$B$5:$B$34,0)),"Excl VAT")="Incl VAT",'01 Control'!$C$6,0))/($H44*IFERROR(VLOOKUP($I44,'02 Lists'!$A$5:$B$18,2,FALSE()),1)))</f>
        <v/>
      </c>
      <c r="M44" s="140" t="n"/>
      <c r="N44" s="147" t="n"/>
      <c r="O44" s="141" t="n"/>
      <c r="P44" s="148" t="n"/>
      <c r="Q44" s="149" t="n"/>
      <c r="R44" s="150">
        <f>IF(OR($P44="",$N44="",$N44=0),"",$P44/(1+IF(IFERROR(INDEX('03 Suppliers'!$N$5:$N$34,MATCH($M44,'03 Suppliers'!$B$5:$B$34,0)),"Excl VAT")="Incl VAT",'01 Control'!$C$6,0))/($N44*IFERROR(VLOOKUP($O44,'02 Lists'!$A$5:$B$18,2,FALSE()),1)))</f>
        <v/>
      </c>
      <c r="S44" s="140" t="n"/>
      <c r="T44" s="147" t="n"/>
      <c r="U44" s="141" t="n"/>
      <c r="V44" s="148" t="n"/>
      <c r="W44" s="149" t="n"/>
      <c r="X44" s="150">
        <f>IF(OR($V44="",$T44="",$T44=0),"",$V44/(1+IF(IFERROR(INDEX('03 Suppliers'!$N$5:$N$34,MATCH($S44,'03 Suppliers'!$B$5:$B$34,0)),"Excl VAT")="Incl VAT",'01 Control'!$C$6,0))/($T44*IFERROR(VLOOKUP($U44,'02 Lists'!$A$5:$B$18,2,FALSE()),1)))</f>
        <v/>
      </c>
      <c r="Y44" s="140" t="n"/>
      <c r="Z44" s="147" t="n"/>
      <c r="AA44" s="141" t="n"/>
      <c r="AB44" s="148" t="n"/>
      <c r="AC44" s="149" t="n"/>
      <c r="AD44" s="150">
        <f>IF(OR($AB44="",$Z44="",$Z44=0),"",$AB44/(1+IF(IFERROR(INDEX('03 Suppliers'!$N$5:$N$34,MATCH($Y44,'03 Suppliers'!$B$5:$B$34,0)),"Excl VAT")="Incl VAT",'01 Control'!$C$6,0))/($Z44*IFERROR(VLOOKUP($AA44,'02 Lists'!$A$5:$B$18,2,FALSE()),1)))</f>
        <v/>
      </c>
      <c r="AE44" s="140" t="n"/>
      <c r="AF44" s="147" t="n"/>
      <c r="AG44" s="141" t="n"/>
      <c r="AH44" s="148" t="n"/>
      <c r="AI44" s="149" t="n"/>
      <c r="AJ44" s="150">
        <f>IF(OR($AH44="",$AF44="",$AF44=0),"",$AH44/(1+IF(IFERROR(INDEX('03 Suppliers'!$N$5:$N$34,MATCH($AE44,'03 Suppliers'!$B$5:$B$34,0)),"Excl VAT")="Incl VAT",'01 Control'!$C$6,0))/($AF44*IFERROR(VLOOKUP($AG44,'02 Lists'!$A$5:$B$18,2,FALSE()),1)))</f>
        <v/>
      </c>
      <c r="AK44" s="151">
        <f>IF(COUNT(L44,R44,X44,AD44,AJ44)=0,"",MIN(L44,R44,X44,AD44,AJ44))</f>
        <v/>
      </c>
      <c r="AL44" s="126">
        <f>IF($AK44="","",IF(L44=$AK44,$G44,IF(R44=$AK44,$M44,IF(X44=$AK44,$S44,IF(AD44=$AK44,$Y44,IF(AJ44=$AK44,$AE44,""))))))</f>
        <v/>
      </c>
      <c r="AM44" s="151">
        <f>IF($AK44="","",$AK44/IF($E44="",1,$E44))</f>
        <v/>
      </c>
      <c r="AN44" s="152">
        <f>COUNT(L44,R44,X44,AD44,AJ44)</f>
        <v/>
      </c>
      <c r="AO44" s="150">
        <f>IF(COUNT(L44,R44,X44,AD44,AJ44)=0,"",MAX(L44,R44,X44,AD44,AJ44))</f>
        <v/>
      </c>
      <c r="AP44" s="153">
        <f>IF(OR($AK44="",$AO44="",$AO44=0),"",($AO44-$AK44)/$AO44)</f>
        <v/>
      </c>
      <c r="AQ44" s="154">
        <f>IF($AK44="","",IF(L44=$AK44,$K44,IF(R44=$AK44,$Q44,IF(X44=$AK44,$W44,IF(AD44=$AK44,$AC44,IF(AJ44=$AK44,$AI44,""))))))</f>
        <v/>
      </c>
    </row>
    <row r="45" ht="15" customHeight="1" s="106">
      <c r="A45" s="134" t="inlineStr">
        <is>
          <t>PP-BEEF-CHUNK</t>
        </is>
      </c>
      <c r="B45" s="138" t="inlineStr">
        <is>
          <t>Beef</t>
        </is>
      </c>
      <c r="C45" s="113" t="inlineStr">
        <is>
          <t>Beef chunks / cubes (halaal)</t>
        </is>
      </c>
      <c r="D45" s="139" t="inlineStr">
        <is>
          <t>g</t>
        </is>
      </c>
      <c r="E45" s="146" t="n">
        <v>0.85</v>
      </c>
      <c r="F45" s="116" t="inlineStr">
        <is>
          <t>Ragu texture layer</t>
        </is>
      </c>
      <c r="G45" s="140" t="n"/>
      <c r="H45" s="147" t="n"/>
      <c r="I45" s="141" t="n"/>
      <c r="J45" s="148" t="n"/>
      <c r="K45" s="149" t="n"/>
      <c r="L45" s="150">
        <f>IF(OR($J45="",$H45="",$H45=0),"",$J45/(1+IF(IFERROR(INDEX('03 Suppliers'!$N$5:$N$34,MATCH($G45,'03 Suppliers'!$B$5:$B$34,0)),"Excl VAT")="Incl VAT",'01 Control'!$C$6,0))/($H45*IFERROR(VLOOKUP($I45,'02 Lists'!$A$5:$B$18,2,FALSE()),1)))</f>
        <v/>
      </c>
      <c r="M45" s="140" t="n"/>
      <c r="N45" s="147" t="n"/>
      <c r="O45" s="141" t="n"/>
      <c r="P45" s="148" t="n"/>
      <c r="Q45" s="149" t="n"/>
      <c r="R45" s="150">
        <f>IF(OR($P45="",$N45="",$N45=0),"",$P45/(1+IF(IFERROR(INDEX('03 Suppliers'!$N$5:$N$34,MATCH($M45,'03 Suppliers'!$B$5:$B$34,0)),"Excl VAT")="Incl VAT",'01 Control'!$C$6,0))/($N45*IFERROR(VLOOKUP($O45,'02 Lists'!$A$5:$B$18,2,FALSE()),1)))</f>
        <v/>
      </c>
      <c r="S45" s="140" t="n"/>
      <c r="T45" s="147" t="n"/>
      <c r="U45" s="141" t="n"/>
      <c r="V45" s="148" t="n"/>
      <c r="W45" s="149" t="n"/>
      <c r="X45" s="150">
        <f>IF(OR($V45="",$T45="",$T45=0),"",$V45/(1+IF(IFERROR(INDEX('03 Suppliers'!$N$5:$N$34,MATCH($S45,'03 Suppliers'!$B$5:$B$34,0)),"Excl VAT")="Incl VAT",'01 Control'!$C$6,0))/($T45*IFERROR(VLOOKUP($U45,'02 Lists'!$A$5:$B$18,2,FALSE()),1)))</f>
        <v/>
      </c>
      <c r="Y45" s="140" t="n"/>
      <c r="Z45" s="147" t="n"/>
      <c r="AA45" s="141" t="n"/>
      <c r="AB45" s="148" t="n"/>
      <c r="AC45" s="149" t="n"/>
      <c r="AD45" s="150">
        <f>IF(OR($AB45="",$Z45="",$Z45=0),"",$AB45/(1+IF(IFERROR(INDEX('03 Suppliers'!$N$5:$N$34,MATCH($Y45,'03 Suppliers'!$B$5:$B$34,0)),"Excl VAT")="Incl VAT",'01 Control'!$C$6,0))/($Z45*IFERROR(VLOOKUP($AA45,'02 Lists'!$A$5:$B$18,2,FALSE()),1)))</f>
        <v/>
      </c>
      <c r="AE45" s="140" t="n"/>
      <c r="AF45" s="147" t="n"/>
      <c r="AG45" s="141" t="n"/>
      <c r="AH45" s="148" t="n"/>
      <c r="AI45" s="149" t="n"/>
      <c r="AJ45" s="150">
        <f>IF(OR($AH45="",$AF45="",$AF45=0),"",$AH45/(1+IF(IFERROR(INDEX('03 Suppliers'!$N$5:$N$34,MATCH($AE45,'03 Suppliers'!$B$5:$B$34,0)),"Excl VAT")="Incl VAT",'01 Control'!$C$6,0))/($AF45*IFERROR(VLOOKUP($AG45,'02 Lists'!$A$5:$B$18,2,FALSE()),1)))</f>
        <v/>
      </c>
      <c r="AK45" s="151">
        <f>IF(COUNT(L45,R45,X45,AD45,AJ45)=0,"",MIN(L45,R45,X45,AD45,AJ45))</f>
        <v/>
      </c>
      <c r="AL45" s="126">
        <f>IF($AK45="","",IF(L45=$AK45,$G45,IF(R45=$AK45,$M45,IF(X45=$AK45,$S45,IF(AD45=$AK45,$Y45,IF(AJ45=$AK45,$AE45,""))))))</f>
        <v/>
      </c>
      <c r="AM45" s="151">
        <f>IF($AK45="","",$AK45/IF($E45="",1,$E45))</f>
        <v/>
      </c>
      <c r="AN45" s="152">
        <f>COUNT(L45,R45,X45,AD45,AJ45)</f>
        <v/>
      </c>
      <c r="AO45" s="150">
        <f>IF(COUNT(L45,R45,X45,AD45,AJ45)=0,"",MAX(L45,R45,X45,AD45,AJ45))</f>
        <v/>
      </c>
      <c r="AP45" s="153">
        <f>IF(OR($AK45="",$AO45="",$AO45=0),"",($AO45-$AK45)/$AO45)</f>
        <v/>
      </c>
      <c r="AQ45" s="154">
        <f>IF($AK45="","",IF(L45=$AK45,$K45,IF(R45=$AK45,$Q45,IF(X45=$AK45,$W45,IF(AD45=$AK45,$AC45,IF(AJ45=$AK45,$AI45,""))))))</f>
        <v/>
      </c>
    </row>
    <row r="46" ht="15" customHeight="1" s="106">
      <c r="A46" s="134" t="inlineStr">
        <is>
          <t>PP-BEEF-SHRED</t>
        </is>
      </c>
      <c r="B46" s="138" t="inlineStr">
        <is>
          <t>Beef</t>
        </is>
      </c>
      <c r="C46" s="113" t="inlineStr">
        <is>
          <t>Shredded / pulled beef (halaal)</t>
        </is>
      </c>
      <c r="D46" s="139" t="inlineStr">
        <is>
          <t>g</t>
        </is>
      </c>
      <c r="E46" s="146" t="n">
        <v>0.8</v>
      </c>
      <c r="F46" s="116" t="inlineStr">
        <is>
          <t>Seasonal - BBQ pulled beef</t>
        </is>
      </c>
      <c r="G46" s="140" t="n"/>
      <c r="H46" s="147" t="n"/>
      <c r="I46" s="141" t="n"/>
      <c r="J46" s="148" t="n"/>
      <c r="K46" s="149" t="n"/>
      <c r="L46" s="150">
        <f>IF(OR($J46="",$H46="",$H46=0),"",$J46/(1+IF(IFERROR(INDEX('03 Suppliers'!$N$5:$N$34,MATCH($G46,'03 Suppliers'!$B$5:$B$34,0)),"Excl VAT")="Incl VAT",'01 Control'!$C$6,0))/($H46*IFERROR(VLOOKUP($I46,'02 Lists'!$A$5:$B$18,2,FALSE()),1)))</f>
        <v/>
      </c>
      <c r="M46" s="140" t="n"/>
      <c r="N46" s="147" t="n"/>
      <c r="O46" s="141" t="n"/>
      <c r="P46" s="148" t="n"/>
      <c r="Q46" s="149" t="n"/>
      <c r="R46" s="150">
        <f>IF(OR($P46="",$N46="",$N46=0),"",$P46/(1+IF(IFERROR(INDEX('03 Suppliers'!$N$5:$N$34,MATCH($M46,'03 Suppliers'!$B$5:$B$34,0)),"Excl VAT")="Incl VAT",'01 Control'!$C$6,0))/($N46*IFERROR(VLOOKUP($O46,'02 Lists'!$A$5:$B$18,2,FALSE()),1)))</f>
        <v/>
      </c>
      <c r="S46" s="140" t="n"/>
      <c r="T46" s="147" t="n"/>
      <c r="U46" s="141" t="n"/>
      <c r="V46" s="148" t="n"/>
      <c r="W46" s="149" t="n"/>
      <c r="X46" s="150">
        <f>IF(OR($V46="",$T46="",$T46=0),"",$V46/(1+IF(IFERROR(INDEX('03 Suppliers'!$N$5:$N$34,MATCH($S46,'03 Suppliers'!$B$5:$B$34,0)),"Excl VAT")="Incl VAT",'01 Control'!$C$6,0))/($T46*IFERROR(VLOOKUP($U46,'02 Lists'!$A$5:$B$18,2,FALSE()),1)))</f>
        <v/>
      </c>
      <c r="Y46" s="140" t="n"/>
      <c r="Z46" s="147" t="n"/>
      <c r="AA46" s="141" t="n"/>
      <c r="AB46" s="148" t="n"/>
      <c r="AC46" s="149" t="n"/>
      <c r="AD46" s="150">
        <f>IF(OR($AB46="",$Z46="",$Z46=0),"",$AB46/(1+IF(IFERROR(INDEX('03 Suppliers'!$N$5:$N$34,MATCH($Y46,'03 Suppliers'!$B$5:$B$34,0)),"Excl VAT")="Incl VAT",'01 Control'!$C$6,0))/($Z46*IFERROR(VLOOKUP($AA46,'02 Lists'!$A$5:$B$18,2,FALSE()),1)))</f>
        <v/>
      </c>
      <c r="AE46" s="140" t="n"/>
      <c r="AF46" s="147" t="n"/>
      <c r="AG46" s="141" t="n"/>
      <c r="AH46" s="148" t="n"/>
      <c r="AI46" s="149" t="n"/>
      <c r="AJ46" s="150">
        <f>IF(OR($AH46="",$AF46="",$AF46=0),"",$AH46/(1+IF(IFERROR(INDEX('03 Suppliers'!$N$5:$N$34,MATCH($AE46,'03 Suppliers'!$B$5:$B$34,0)),"Excl VAT")="Incl VAT",'01 Control'!$C$6,0))/($AF46*IFERROR(VLOOKUP($AG46,'02 Lists'!$A$5:$B$18,2,FALSE()),1)))</f>
        <v/>
      </c>
      <c r="AK46" s="151">
        <f>IF(COUNT(L46,R46,X46,AD46,AJ46)=0,"",MIN(L46,R46,X46,AD46,AJ46))</f>
        <v/>
      </c>
      <c r="AL46" s="126">
        <f>IF($AK46="","",IF(L46=$AK46,$G46,IF(R46=$AK46,$M46,IF(X46=$AK46,$S46,IF(AD46=$AK46,$Y46,IF(AJ46=$AK46,$AE46,""))))))</f>
        <v/>
      </c>
      <c r="AM46" s="151">
        <f>IF($AK46="","",$AK46/IF($E46="",1,$E46))</f>
        <v/>
      </c>
      <c r="AN46" s="152">
        <f>COUNT(L46,R46,X46,AD46,AJ46)</f>
        <v/>
      </c>
      <c r="AO46" s="150">
        <f>IF(COUNT(L46,R46,X46,AD46,AJ46)=0,"",MAX(L46,R46,X46,AD46,AJ46))</f>
        <v/>
      </c>
      <c r="AP46" s="153">
        <f>IF(OR($AK46="",$AO46="",$AO46=0),"",($AO46-$AK46)/$AO46)</f>
        <v/>
      </c>
      <c r="AQ46" s="154">
        <f>IF($AK46="","",IF(L46=$AK46,$K46,IF(R46=$AK46,$Q46,IF(X46=$AK46,$W46,IF(AD46=$AK46,$AC46,IF(AJ46=$AK46,$AI46,""))))))</f>
        <v/>
      </c>
    </row>
    <row r="47" ht="15" customHeight="1" s="106">
      <c r="A47" s="134" t="inlineStr">
        <is>
          <t>PP-BEEF-BRISKET</t>
        </is>
      </c>
      <c r="B47" s="138" t="inlineStr">
        <is>
          <t>Beef</t>
        </is>
      </c>
      <c r="C47" s="113" t="inlineStr">
        <is>
          <t>Beef brisket (halaal)</t>
        </is>
      </c>
      <c r="D47" s="139" t="inlineStr">
        <is>
          <t>g</t>
        </is>
      </c>
      <c r="E47" s="146" t="n">
        <v>0.7</v>
      </c>
      <c r="F47" s="116" t="inlineStr">
        <is>
          <t>Seasonal - smoky brisket ragu</t>
        </is>
      </c>
      <c r="G47" s="140" t="n"/>
      <c r="H47" s="147" t="n"/>
      <c r="I47" s="141" t="n"/>
      <c r="J47" s="148" t="n"/>
      <c r="K47" s="149" t="n"/>
      <c r="L47" s="150">
        <f>IF(OR($J47="",$H47="",$H47=0),"",$J47/(1+IF(IFERROR(INDEX('03 Suppliers'!$N$5:$N$34,MATCH($G47,'03 Suppliers'!$B$5:$B$34,0)),"Excl VAT")="Incl VAT",'01 Control'!$C$6,0))/($H47*IFERROR(VLOOKUP($I47,'02 Lists'!$A$5:$B$18,2,FALSE()),1)))</f>
        <v/>
      </c>
      <c r="M47" s="140" t="n"/>
      <c r="N47" s="147" t="n"/>
      <c r="O47" s="141" t="n"/>
      <c r="P47" s="148" t="n"/>
      <c r="Q47" s="149" t="n"/>
      <c r="R47" s="150">
        <f>IF(OR($P47="",$N47="",$N47=0),"",$P47/(1+IF(IFERROR(INDEX('03 Suppliers'!$N$5:$N$34,MATCH($M47,'03 Suppliers'!$B$5:$B$34,0)),"Excl VAT")="Incl VAT",'01 Control'!$C$6,0))/($N47*IFERROR(VLOOKUP($O47,'02 Lists'!$A$5:$B$18,2,FALSE()),1)))</f>
        <v/>
      </c>
      <c r="S47" s="140" t="n"/>
      <c r="T47" s="147" t="n"/>
      <c r="U47" s="141" t="n"/>
      <c r="V47" s="148" t="n"/>
      <c r="W47" s="149" t="n"/>
      <c r="X47" s="150">
        <f>IF(OR($V47="",$T47="",$T47=0),"",$V47/(1+IF(IFERROR(INDEX('03 Suppliers'!$N$5:$N$34,MATCH($S47,'03 Suppliers'!$B$5:$B$34,0)),"Excl VAT")="Incl VAT",'01 Control'!$C$6,0))/($T47*IFERROR(VLOOKUP($U47,'02 Lists'!$A$5:$B$18,2,FALSE()),1)))</f>
        <v/>
      </c>
      <c r="Y47" s="140" t="n"/>
      <c r="Z47" s="147" t="n"/>
      <c r="AA47" s="141" t="n"/>
      <c r="AB47" s="148" t="n"/>
      <c r="AC47" s="149" t="n"/>
      <c r="AD47" s="150">
        <f>IF(OR($AB47="",$Z47="",$Z47=0),"",$AB47/(1+IF(IFERROR(INDEX('03 Suppliers'!$N$5:$N$34,MATCH($Y47,'03 Suppliers'!$B$5:$B$34,0)),"Excl VAT")="Incl VAT",'01 Control'!$C$6,0))/($Z47*IFERROR(VLOOKUP($AA47,'02 Lists'!$A$5:$B$18,2,FALSE()),1)))</f>
        <v/>
      </c>
      <c r="AE47" s="140" t="n"/>
      <c r="AF47" s="147" t="n"/>
      <c r="AG47" s="141" t="n"/>
      <c r="AH47" s="148" t="n"/>
      <c r="AI47" s="149" t="n"/>
      <c r="AJ47" s="150">
        <f>IF(OR($AH47="",$AF47="",$AF47=0),"",$AH47/(1+IF(IFERROR(INDEX('03 Suppliers'!$N$5:$N$34,MATCH($AE47,'03 Suppliers'!$B$5:$B$34,0)),"Excl VAT")="Incl VAT",'01 Control'!$C$6,0))/($AF47*IFERROR(VLOOKUP($AG47,'02 Lists'!$A$5:$B$18,2,FALSE()),1)))</f>
        <v/>
      </c>
      <c r="AK47" s="151">
        <f>IF(COUNT(L47,R47,X47,AD47,AJ47)=0,"",MIN(L47,R47,X47,AD47,AJ47))</f>
        <v/>
      </c>
      <c r="AL47" s="126">
        <f>IF($AK47="","",IF(L47=$AK47,$G47,IF(R47=$AK47,$M47,IF(X47=$AK47,$S47,IF(AD47=$AK47,$Y47,IF(AJ47=$AK47,$AE47,""))))))</f>
        <v/>
      </c>
      <c r="AM47" s="151">
        <f>IF($AK47="","",$AK47/IF($E47="",1,$E47))</f>
        <v/>
      </c>
      <c r="AN47" s="152">
        <f>COUNT(L47,R47,X47,AD47,AJ47)</f>
        <v/>
      </c>
      <c r="AO47" s="150">
        <f>IF(COUNT(L47,R47,X47,AD47,AJ47)=0,"",MAX(L47,R47,X47,AD47,AJ47))</f>
        <v/>
      </c>
      <c r="AP47" s="153">
        <f>IF(OR($AK47="",$AO47="",$AO47=0),"",($AO47-$AK47)/$AO47)</f>
        <v/>
      </c>
      <c r="AQ47" s="154">
        <f>IF($AK47="","",IF(L47=$AK47,$K47,IF(R47=$AK47,$Q47,IF(X47=$AK47,$W47,IF(AD47=$AK47,$AC47,IF(AJ47=$AK47,$AI47,""))))))</f>
        <v/>
      </c>
    </row>
    <row r="48" ht="15" customHeight="1" s="106">
      <c r="A48" s="134" t="inlineStr">
        <is>
          <t>PP-BEEF-BACON</t>
        </is>
      </c>
      <c r="B48" s="138" t="inlineStr">
        <is>
          <t>Beef</t>
        </is>
      </c>
      <c r="C48" s="113" t="inlineStr">
        <is>
          <t>Beef bacon, smoked (halaal)</t>
        </is>
      </c>
      <c r="D48" s="139" t="inlineStr">
        <is>
          <t>g</t>
        </is>
      </c>
      <c r="E48" s="146" t="n">
        <v>0.9</v>
      </c>
      <c r="F48" s="116" t="inlineStr">
        <is>
          <t>Carbonara / Boscaiola smoke layer</t>
        </is>
      </c>
      <c r="G48" s="140" t="n"/>
      <c r="H48" s="147" t="n"/>
      <c r="I48" s="141" t="n"/>
      <c r="J48" s="148" t="n"/>
      <c r="K48" s="149" t="n"/>
      <c r="L48" s="150">
        <f>IF(OR($J48="",$H48="",$H48=0),"",$J48/(1+IF(IFERROR(INDEX('03 Suppliers'!$N$5:$N$34,MATCH($G48,'03 Suppliers'!$B$5:$B$34,0)),"Excl VAT")="Incl VAT",'01 Control'!$C$6,0))/($H48*IFERROR(VLOOKUP($I48,'02 Lists'!$A$5:$B$18,2,FALSE()),1)))</f>
        <v/>
      </c>
      <c r="M48" s="140" t="n"/>
      <c r="N48" s="147" t="n"/>
      <c r="O48" s="141" t="n"/>
      <c r="P48" s="148" t="n"/>
      <c r="Q48" s="149" t="n"/>
      <c r="R48" s="150">
        <f>IF(OR($P48="",$N48="",$N48=0),"",$P48/(1+IF(IFERROR(INDEX('03 Suppliers'!$N$5:$N$34,MATCH($M48,'03 Suppliers'!$B$5:$B$34,0)),"Excl VAT")="Incl VAT",'01 Control'!$C$6,0))/($N48*IFERROR(VLOOKUP($O48,'02 Lists'!$A$5:$B$18,2,FALSE()),1)))</f>
        <v/>
      </c>
      <c r="S48" s="140" t="n"/>
      <c r="T48" s="147" t="n"/>
      <c r="U48" s="141" t="n"/>
      <c r="V48" s="148" t="n"/>
      <c r="W48" s="149" t="n"/>
      <c r="X48" s="150">
        <f>IF(OR($V48="",$T48="",$T48=0),"",$V48/(1+IF(IFERROR(INDEX('03 Suppliers'!$N$5:$N$34,MATCH($S48,'03 Suppliers'!$B$5:$B$34,0)),"Excl VAT")="Incl VAT",'01 Control'!$C$6,0))/($T48*IFERROR(VLOOKUP($U48,'02 Lists'!$A$5:$B$18,2,FALSE()),1)))</f>
        <v/>
      </c>
      <c r="Y48" s="140" t="n"/>
      <c r="Z48" s="147" t="n"/>
      <c r="AA48" s="141" t="n"/>
      <c r="AB48" s="148" t="n"/>
      <c r="AC48" s="149" t="n"/>
      <c r="AD48" s="150">
        <f>IF(OR($AB48="",$Z48="",$Z48=0),"",$AB48/(1+IF(IFERROR(INDEX('03 Suppliers'!$N$5:$N$34,MATCH($Y48,'03 Suppliers'!$B$5:$B$34,0)),"Excl VAT")="Incl VAT",'01 Control'!$C$6,0))/($Z48*IFERROR(VLOOKUP($AA48,'02 Lists'!$A$5:$B$18,2,FALSE()),1)))</f>
        <v/>
      </c>
      <c r="AE48" s="140" t="n"/>
      <c r="AF48" s="147" t="n"/>
      <c r="AG48" s="141" t="n"/>
      <c r="AH48" s="148" t="n"/>
      <c r="AI48" s="149" t="n"/>
      <c r="AJ48" s="150">
        <f>IF(OR($AH48="",$AF48="",$AF48=0),"",$AH48/(1+IF(IFERROR(INDEX('03 Suppliers'!$N$5:$N$34,MATCH($AE48,'03 Suppliers'!$B$5:$B$34,0)),"Excl VAT")="Incl VAT",'01 Control'!$C$6,0))/($AF48*IFERROR(VLOOKUP($AG48,'02 Lists'!$A$5:$B$18,2,FALSE()),1)))</f>
        <v/>
      </c>
      <c r="AK48" s="151">
        <f>IF(COUNT(L48,R48,X48,AD48,AJ48)=0,"",MIN(L48,R48,X48,AD48,AJ48))</f>
        <v/>
      </c>
      <c r="AL48" s="126">
        <f>IF($AK48="","",IF(L48=$AK48,$G48,IF(R48=$AK48,$M48,IF(X48=$AK48,$S48,IF(AD48=$AK48,$Y48,IF(AJ48=$AK48,$AE48,""))))))</f>
        <v/>
      </c>
      <c r="AM48" s="151">
        <f>IF($AK48="","",$AK48/IF($E48="",1,$E48))</f>
        <v/>
      </c>
      <c r="AN48" s="152">
        <f>COUNT(L48,R48,X48,AD48,AJ48)</f>
        <v/>
      </c>
      <c r="AO48" s="150">
        <f>IF(COUNT(L48,R48,X48,AD48,AJ48)=0,"",MAX(L48,R48,X48,AD48,AJ48))</f>
        <v/>
      </c>
      <c r="AP48" s="153">
        <f>IF(OR($AK48="",$AO48="",$AO48=0),"",($AO48-$AK48)/$AO48)</f>
        <v/>
      </c>
      <c r="AQ48" s="154">
        <f>IF($AK48="","",IF(L48=$AK48,$K48,IF(R48=$AK48,$Q48,IF(X48=$AK48,$W48,IF(AD48=$AK48,$AC48,IF(AJ48=$AK48,$AI48,""))))))</f>
        <v/>
      </c>
    </row>
    <row r="49" ht="15" customHeight="1" s="106">
      <c r="A49" s="134" t="inlineStr">
        <is>
          <t>PP-BEEF-MEATBALL</t>
        </is>
      </c>
      <c r="B49" s="138" t="inlineStr">
        <is>
          <t>Beef</t>
        </is>
      </c>
      <c r="C49" s="113" t="inlineStr">
        <is>
          <t>Beef meatballs (halaal)</t>
        </is>
      </c>
      <c r="D49" s="139" t="inlineStr">
        <is>
          <t>g</t>
        </is>
      </c>
      <c r="E49" s="146" t="n">
        <v>0.95</v>
      </c>
      <c r="F49" s="116" t="inlineStr">
        <is>
          <t>Napoletana upsell - Mama's Meatballs</t>
        </is>
      </c>
      <c r="G49" s="140" t="n"/>
      <c r="H49" s="147" t="n"/>
      <c r="I49" s="141" t="n"/>
      <c r="J49" s="148" t="n"/>
      <c r="K49" s="149" t="n"/>
      <c r="L49" s="150">
        <f>IF(OR($J49="",$H49="",$H49=0),"",$J49/(1+IF(IFERROR(INDEX('03 Suppliers'!$N$5:$N$34,MATCH($G49,'03 Suppliers'!$B$5:$B$34,0)),"Excl VAT")="Incl VAT",'01 Control'!$C$6,0))/($H49*IFERROR(VLOOKUP($I49,'02 Lists'!$A$5:$B$18,2,FALSE()),1)))</f>
        <v/>
      </c>
      <c r="M49" s="140" t="n"/>
      <c r="N49" s="147" t="n"/>
      <c r="O49" s="141" t="n"/>
      <c r="P49" s="148" t="n"/>
      <c r="Q49" s="149" t="n"/>
      <c r="R49" s="150">
        <f>IF(OR($P49="",$N49="",$N49=0),"",$P49/(1+IF(IFERROR(INDEX('03 Suppliers'!$N$5:$N$34,MATCH($M49,'03 Suppliers'!$B$5:$B$34,0)),"Excl VAT")="Incl VAT",'01 Control'!$C$6,0))/($N49*IFERROR(VLOOKUP($O49,'02 Lists'!$A$5:$B$18,2,FALSE()),1)))</f>
        <v/>
      </c>
      <c r="S49" s="140" t="n"/>
      <c r="T49" s="147" t="n"/>
      <c r="U49" s="141" t="n"/>
      <c r="V49" s="148" t="n"/>
      <c r="W49" s="149" t="n"/>
      <c r="X49" s="150">
        <f>IF(OR($V49="",$T49="",$T49=0),"",$V49/(1+IF(IFERROR(INDEX('03 Suppliers'!$N$5:$N$34,MATCH($S49,'03 Suppliers'!$B$5:$B$34,0)),"Excl VAT")="Incl VAT",'01 Control'!$C$6,0))/($T49*IFERROR(VLOOKUP($U49,'02 Lists'!$A$5:$B$18,2,FALSE()),1)))</f>
        <v/>
      </c>
      <c r="Y49" s="140" t="n"/>
      <c r="Z49" s="147" t="n"/>
      <c r="AA49" s="141" t="n"/>
      <c r="AB49" s="148" t="n"/>
      <c r="AC49" s="149" t="n"/>
      <c r="AD49" s="150">
        <f>IF(OR($AB49="",$Z49="",$Z49=0),"",$AB49/(1+IF(IFERROR(INDEX('03 Suppliers'!$N$5:$N$34,MATCH($Y49,'03 Suppliers'!$B$5:$B$34,0)),"Excl VAT")="Incl VAT",'01 Control'!$C$6,0))/($Z49*IFERROR(VLOOKUP($AA49,'02 Lists'!$A$5:$B$18,2,FALSE()),1)))</f>
        <v/>
      </c>
      <c r="AE49" s="140" t="n"/>
      <c r="AF49" s="147" t="n"/>
      <c r="AG49" s="141" t="n"/>
      <c r="AH49" s="148" t="n"/>
      <c r="AI49" s="149" t="n"/>
      <c r="AJ49" s="150">
        <f>IF(OR($AH49="",$AF49="",$AF49=0),"",$AH49/(1+IF(IFERROR(INDEX('03 Suppliers'!$N$5:$N$34,MATCH($AE49,'03 Suppliers'!$B$5:$B$34,0)),"Excl VAT")="Incl VAT",'01 Control'!$C$6,0))/($AF49*IFERROR(VLOOKUP($AG49,'02 Lists'!$A$5:$B$18,2,FALSE()),1)))</f>
        <v/>
      </c>
      <c r="AK49" s="151">
        <f>IF(COUNT(L49,R49,X49,AD49,AJ49)=0,"",MIN(L49,R49,X49,AD49,AJ49))</f>
        <v/>
      </c>
      <c r="AL49" s="126">
        <f>IF($AK49="","",IF(L49=$AK49,$G49,IF(R49=$AK49,$M49,IF(X49=$AK49,$S49,IF(AD49=$AK49,$Y49,IF(AJ49=$AK49,$AE49,""))))))</f>
        <v/>
      </c>
      <c r="AM49" s="151">
        <f>IF($AK49="","",$AK49/IF($E49="",1,$E49))</f>
        <v/>
      </c>
      <c r="AN49" s="152">
        <f>COUNT(L49,R49,X49,AD49,AJ49)</f>
        <v/>
      </c>
      <c r="AO49" s="150">
        <f>IF(COUNT(L49,R49,X49,AD49,AJ49)=0,"",MAX(L49,R49,X49,AD49,AJ49))</f>
        <v/>
      </c>
      <c r="AP49" s="153">
        <f>IF(OR($AK49="",$AO49="",$AO49=0),"",($AO49-$AK49)/$AO49)</f>
        <v/>
      </c>
      <c r="AQ49" s="154">
        <f>IF($AK49="","",IF(L49=$AK49,$K49,IF(R49=$AK49,$Q49,IF(X49=$AK49,$W49,IF(AD49=$AK49,$AC49,IF(AJ49=$AK49,$AI49,""))))))</f>
        <v/>
      </c>
    </row>
    <row r="50" ht="15" customHeight="1" s="106">
      <c r="A50" s="134" t="inlineStr">
        <is>
          <t>PP-BEEF-SEASONED</t>
        </is>
      </c>
      <c r="B50" s="138" t="inlineStr">
        <is>
          <t>Beef</t>
        </is>
      </c>
      <c r="C50" s="113" t="inlineStr">
        <is>
          <t>Seasoned beef strips (halaal)</t>
        </is>
      </c>
      <c r="D50" s="139" t="inlineStr">
        <is>
          <t>g</t>
        </is>
      </c>
      <c r="E50" s="146" t="n">
        <v>0.85</v>
      </c>
      <c r="F50" s="116" t="inlineStr">
        <is>
          <t>The standard beef add-on</t>
        </is>
      </c>
      <c r="G50" s="140" t="n"/>
      <c r="H50" s="147" t="n"/>
      <c r="I50" s="141" t="n"/>
      <c r="J50" s="148" t="n"/>
      <c r="K50" s="149" t="n"/>
      <c r="L50" s="150">
        <f>IF(OR($J50="",$H50="",$H50=0),"",$J50/(1+IF(IFERROR(INDEX('03 Suppliers'!$N$5:$N$34,MATCH($G50,'03 Suppliers'!$B$5:$B$34,0)),"Excl VAT")="Incl VAT",'01 Control'!$C$6,0))/($H50*IFERROR(VLOOKUP($I50,'02 Lists'!$A$5:$B$18,2,FALSE()),1)))</f>
        <v/>
      </c>
      <c r="M50" s="140" t="n"/>
      <c r="N50" s="147" t="n"/>
      <c r="O50" s="141" t="n"/>
      <c r="P50" s="148" t="n"/>
      <c r="Q50" s="149" t="n"/>
      <c r="R50" s="150">
        <f>IF(OR($P50="",$N50="",$N50=0),"",$P50/(1+IF(IFERROR(INDEX('03 Suppliers'!$N$5:$N$34,MATCH($M50,'03 Suppliers'!$B$5:$B$34,0)),"Excl VAT")="Incl VAT",'01 Control'!$C$6,0))/($N50*IFERROR(VLOOKUP($O50,'02 Lists'!$A$5:$B$18,2,FALSE()),1)))</f>
        <v/>
      </c>
      <c r="S50" s="140" t="n"/>
      <c r="T50" s="147" t="n"/>
      <c r="U50" s="141" t="n"/>
      <c r="V50" s="148" t="n"/>
      <c r="W50" s="149" t="n"/>
      <c r="X50" s="150">
        <f>IF(OR($V50="",$T50="",$T50=0),"",$V50/(1+IF(IFERROR(INDEX('03 Suppliers'!$N$5:$N$34,MATCH($S50,'03 Suppliers'!$B$5:$B$34,0)),"Excl VAT")="Incl VAT",'01 Control'!$C$6,0))/($T50*IFERROR(VLOOKUP($U50,'02 Lists'!$A$5:$B$18,2,FALSE()),1)))</f>
        <v/>
      </c>
      <c r="Y50" s="140" t="n"/>
      <c r="Z50" s="147" t="n"/>
      <c r="AA50" s="141" t="n"/>
      <c r="AB50" s="148" t="n"/>
      <c r="AC50" s="149" t="n"/>
      <c r="AD50" s="150">
        <f>IF(OR($AB50="",$Z50="",$Z50=0),"",$AB50/(1+IF(IFERROR(INDEX('03 Suppliers'!$N$5:$N$34,MATCH($Y50,'03 Suppliers'!$B$5:$B$34,0)),"Excl VAT")="Incl VAT",'01 Control'!$C$6,0))/($Z50*IFERROR(VLOOKUP($AA50,'02 Lists'!$A$5:$B$18,2,FALSE()),1)))</f>
        <v/>
      </c>
      <c r="AE50" s="140" t="n"/>
      <c r="AF50" s="147" t="n"/>
      <c r="AG50" s="141" t="n"/>
      <c r="AH50" s="148" t="n"/>
      <c r="AI50" s="149" t="n"/>
      <c r="AJ50" s="150">
        <f>IF(OR($AH50="",$AF50="",$AF50=0),"",$AH50/(1+IF(IFERROR(INDEX('03 Suppliers'!$N$5:$N$34,MATCH($AE50,'03 Suppliers'!$B$5:$B$34,0)),"Excl VAT")="Incl VAT",'01 Control'!$C$6,0))/($AF50*IFERROR(VLOOKUP($AG50,'02 Lists'!$A$5:$B$18,2,FALSE()),1)))</f>
        <v/>
      </c>
      <c r="AK50" s="151">
        <f>IF(COUNT(L50,R50,X50,AD50,AJ50)=0,"",MIN(L50,R50,X50,AD50,AJ50))</f>
        <v/>
      </c>
      <c r="AL50" s="126">
        <f>IF($AK50="","",IF(L50=$AK50,$G50,IF(R50=$AK50,$M50,IF(X50=$AK50,$S50,IF(AD50=$AK50,$Y50,IF(AJ50=$AK50,$AE50,""))))))</f>
        <v/>
      </c>
      <c r="AM50" s="151">
        <f>IF($AK50="","",$AK50/IF($E50="",1,$E50))</f>
        <v/>
      </c>
      <c r="AN50" s="152">
        <f>COUNT(L50,R50,X50,AD50,AJ50)</f>
        <v/>
      </c>
      <c r="AO50" s="150">
        <f>IF(COUNT(L50,R50,X50,AD50,AJ50)=0,"",MAX(L50,R50,X50,AD50,AJ50))</f>
        <v/>
      </c>
      <c r="AP50" s="153">
        <f>IF(OR($AK50="",$AO50="",$AO50=0),"",($AO50-$AK50)/$AO50)</f>
        <v/>
      </c>
      <c r="AQ50" s="154">
        <f>IF($AK50="","",IF(L50=$AK50,$K50,IF(R50=$AK50,$Q50,IF(X50=$AK50,$W50,IF(AD50=$AK50,$AC50,IF(AJ50=$AK50,$AI50,""))))))</f>
        <v/>
      </c>
    </row>
    <row r="51" ht="15" customHeight="1" s="106">
      <c r="A51" s="134" t="inlineStr">
        <is>
          <t>PP-BOEREWORS</t>
        </is>
      </c>
      <c r="B51" s="138" t="inlineStr">
        <is>
          <t>Beef</t>
        </is>
      </c>
      <c r="C51" s="113" t="inlineStr">
        <is>
          <t>Boerewors, halaal-certified</t>
        </is>
      </c>
      <c r="D51" s="139" t="inlineStr">
        <is>
          <t>g</t>
        </is>
      </c>
      <c r="E51" s="146" t="n">
        <v>0.85</v>
      </c>
      <c r="F51" s="116" t="inlineStr">
        <is>
          <t>Y1 Summer seasonal</t>
        </is>
      </c>
      <c r="G51" s="140" t="n"/>
      <c r="H51" s="147" t="n"/>
      <c r="I51" s="141" t="n"/>
      <c r="J51" s="148" t="n"/>
      <c r="K51" s="149" t="n"/>
      <c r="L51" s="150">
        <f>IF(OR($J51="",$H51="",$H51=0),"",$J51/(1+IF(IFERROR(INDEX('03 Suppliers'!$N$5:$N$34,MATCH($G51,'03 Suppliers'!$B$5:$B$34,0)),"Excl VAT")="Incl VAT",'01 Control'!$C$6,0))/($H51*IFERROR(VLOOKUP($I51,'02 Lists'!$A$5:$B$18,2,FALSE()),1)))</f>
        <v/>
      </c>
      <c r="M51" s="140" t="n"/>
      <c r="N51" s="147" t="n"/>
      <c r="O51" s="141" t="n"/>
      <c r="P51" s="148" t="n"/>
      <c r="Q51" s="149" t="n"/>
      <c r="R51" s="150">
        <f>IF(OR($P51="",$N51="",$N51=0),"",$P51/(1+IF(IFERROR(INDEX('03 Suppliers'!$N$5:$N$34,MATCH($M51,'03 Suppliers'!$B$5:$B$34,0)),"Excl VAT")="Incl VAT",'01 Control'!$C$6,0))/($N51*IFERROR(VLOOKUP($O51,'02 Lists'!$A$5:$B$18,2,FALSE()),1)))</f>
        <v/>
      </c>
      <c r="S51" s="140" t="n"/>
      <c r="T51" s="147" t="n"/>
      <c r="U51" s="141" t="n"/>
      <c r="V51" s="148" t="n"/>
      <c r="W51" s="149" t="n"/>
      <c r="X51" s="150">
        <f>IF(OR($V51="",$T51="",$T51=0),"",$V51/(1+IF(IFERROR(INDEX('03 Suppliers'!$N$5:$N$34,MATCH($S51,'03 Suppliers'!$B$5:$B$34,0)),"Excl VAT")="Incl VAT",'01 Control'!$C$6,0))/($T51*IFERROR(VLOOKUP($U51,'02 Lists'!$A$5:$B$18,2,FALSE()),1)))</f>
        <v/>
      </c>
      <c r="Y51" s="140" t="n"/>
      <c r="Z51" s="147" t="n"/>
      <c r="AA51" s="141" t="n"/>
      <c r="AB51" s="148" t="n"/>
      <c r="AC51" s="149" t="n"/>
      <c r="AD51" s="150">
        <f>IF(OR($AB51="",$Z51="",$Z51=0),"",$AB51/(1+IF(IFERROR(INDEX('03 Suppliers'!$N$5:$N$34,MATCH($Y51,'03 Suppliers'!$B$5:$B$34,0)),"Excl VAT")="Incl VAT",'01 Control'!$C$6,0))/($Z51*IFERROR(VLOOKUP($AA51,'02 Lists'!$A$5:$B$18,2,FALSE()),1)))</f>
        <v/>
      </c>
      <c r="AE51" s="140" t="n"/>
      <c r="AF51" s="147" t="n"/>
      <c r="AG51" s="141" t="n"/>
      <c r="AH51" s="148" t="n"/>
      <c r="AI51" s="149" t="n"/>
      <c r="AJ51" s="150">
        <f>IF(OR($AH51="",$AF51="",$AF51=0),"",$AH51/(1+IF(IFERROR(INDEX('03 Suppliers'!$N$5:$N$34,MATCH($AE51,'03 Suppliers'!$B$5:$B$34,0)),"Excl VAT")="Incl VAT",'01 Control'!$C$6,0))/($AF51*IFERROR(VLOOKUP($AG51,'02 Lists'!$A$5:$B$18,2,FALSE()),1)))</f>
        <v/>
      </c>
      <c r="AK51" s="151">
        <f>IF(COUNT(L51,R51,X51,AD51,AJ51)=0,"",MIN(L51,R51,X51,AD51,AJ51))</f>
        <v/>
      </c>
      <c r="AL51" s="126">
        <f>IF($AK51="","",IF(L51=$AK51,$G51,IF(R51=$AK51,$M51,IF(X51=$AK51,$S51,IF(AD51=$AK51,$Y51,IF(AJ51=$AK51,$AE51,""))))))</f>
        <v/>
      </c>
      <c r="AM51" s="151">
        <f>IF($AK51="","",$AK51/IF($E51="",1,$E51))</f>
        <v/>
      </c>
      <c r="AN51" s="152">
        <f>COUNT(L51,R51,X51,AD51,AJ51)</f>
        <v/>
      </c>
      <c r="AO51" s="150">
        <f>IF(COUNT(L51,R51,X51,AD51,AJ51)=0,"",MAX(L51,R51,X51,AD51,AJ51))</f>
        <v/>
      </c>
      <c r="AP51" s="153">
        <f>IF(OR($AK51="",$AO51="",$AO51=0),"",($AO51-$AK51)/$AO51)</f>
        <v/>
      </c>
      <c r="AQ51" s="154">
        <f>IF($AK51="","",IF(L51=$AK51,$K51,IF(R51=$AK51,$Q51,IF(X51=$AK51,$W51,IF(AD51=$AK51,$AC51,IF(AJ51=$AK51,$AI51,""))))))</f>
        <v/>
      </c>
    </row>
    <row r="52" ht="15" customHeight="1" s="106">
      <c r="A52" s="134" t="inlineStr">
        <is>
          <t>PP-BILTONG</t>
        </is>
      </c>
      <c r="B52" s="138" t="inlineStr">
        <is>
          <t>Beef</t>
        </is>
      </c>
      <c r="C52" s="113" t="inlineStr">
        <is>
          <t>Biltong, shaved (halaal)</t>
        </is>
      </c>
      <c r="D52" s="139" t="inlineStr">
        <is>
          <t>g</t>
        </is>
      </c>
      <c r="E52" s="146" t="n">
        <v>1</v>
      </c>
      <c r="F52" s="116" t="inlineStr">
        <is>
          <t>Y1 Winter seasonal</t>
        </is>
      </c>
      <c r="G52" s="140" t="n"/>
      <c r="H52" s="147" t="n"/>
      <c r="I52" s="141" t="n"/>
      <c r="J52" s="148" t="n"/>
      <c r="K52" s="149" t="n"/>
      <c r="L52" s="150">
        <f>IF(OR($J52="",$H52="",$H52=0),"",$J52/(1+IF(IFERROR(INDEX('03 Suppliers'!$N$5:$N$34,MATCH($G52,'03 Suppliers'!$B$5:$B$34,0)),"Excl VAT")="Incl VAT",'01 Control'!$C$6,0))/($H52*IFERROR(VLOOKUP($I52,'02 Lists'!$A$5:$B$18,2,FALSE()),1)))</f>
        <v/>
      </c>
      <c r="M52" s="140" t="n"/>
      <c r="N52" s="147" t="n"/>
      <c r="O52" s="141" t="n"/>
      <c r="P52" s="148" t="n"/>
      <c r="Q52" s="149" t="n"/>
      <c r="R52" s="150">
        <f>IF(OR($P52="",$N52="",$N52=0),"",$P52/(1+IF(IFERROR(INDEX('03 Suppliers'!$N$5:$N$34,MATCH($M52,'03 Suppliers'!$B$5:$B$34,0)),"Excl VAT")="Incl VAT",'01 Control'!$C$6,0))/($N52*IFERROR(VLOOKUP($O52,'02 Lists'!$A$5:$B$18,2,FALSE()),1)))</f>
        <v/>
      </c>
      <c r="S52" s="140" t="n"/>
      <c r="T52" s="147" t="n"/>
      <c r="U52" s="141" t="n"/>
      <c r="V52" s="148" t="n"/>
      <c r="W52" s="149" t="n"/>
      <c r="X52" s="150">
        <f>IF(OR($V52="",$T52="",$T52=0),"",$V52/(1+IF(IFERROR(INDEX('03 Suppliers'!$N$5:$N$34,MATCH($S52,'03 Suppliers'!$B$5:$B$34,0)),"Excl VAT")="Incl VAT",'01 Control'!$C$6,0))/($T52*IFERROR(VLOOKUP($U52,'02 Lists'!$A$5:$B$18,2,FALSE()),1)))</f>
        <v/>
      </c>
      <c r="Y52" s="140" t="n"/>
      <c r="Z52" s="147" t="n"/>
      <c r="AA52" s="141" t="n"/>
      <c r="AB52" s="148" t="n"/>
      <c r="AC52" s="149" t="n"/>
      <c r="AD52" s="150">
        <f>IF(OR($AB52="",$Z52="",$Z52=0),"",$AB52/(1+IF(IFERROR(INDEX('03 Suppliers'!$N$5:$N$34,MATCH($Y52,'03 Suppliers'!$B$5:$B$34,0)),"Excl VAT")="Incl VAT",'01 Control'!$C$6,0))/($Z52*IFERROR(VLOOKUP($AA52,'02 Lists'!$A$5:$B$18,2,FALSE()),1)))</f>
        <v/>
      </c>
      <c r="AE52" s="140" t="n"/>
      <c r="AF52" s="147" t="n"/>
      <c r="AG52" s="141" t="n"/>
      <c r="AH52" s="148" t="n"/>
      <c r="AI52" s="149" t="n"/>
      <c r="AJ52" s="150">
        <f>IF(OR($AH52="",$AF52="",$AF52=0),"",$AH52/(1+IF(IFERROR(INDEX('03 Suppliers'!$N$5:$N$34,MATCH($AE52,'03 Suppliers'!$B$5:$B$34,0)),"Excl VAT")="Incl VAT",'01 Control'!$C$6,0))/($AF52*IFERROR(VLOOKUP($AG52,'02 Lists'!$A$5:$B$18,2,FALSE()),1)))</f>
        <v/>
      </c>
      <c r="AK52" s="151">
        <f>IF(COUNT(L52,R52,X52,AD52,AJ52)=0,"",MIN(L52,R52,X52,AD52,AJ52))</f>
        <v/>
      </c>
      <c r="AL52" s="126">
        <f>IF($AK52="","",IF(L52=$AK52,$G52,IF(R52=$AK52,$M52,IF(X52=$AK52,$S52,IF(AD52=$AK52,$Y52,IF(AJ52=$AK52,$AE52,""))))))</f>
        <v/>
      </c>
      <c r="AM52" s="151">
        <f>IF($AK52="","",$AK52/IF($E52="",1,$E52))</f>
        <v/>
      </c>
      <c r="AN52" s="152">
        <f>COUNT(L52,R52,X52,AD52,AJ52)</f>
        <v/>
      </c>
      <c r="AO52" s="150">
        <f>IF(COUNT(L52,R52,X52,AD52,AJ52)=0,"",MAX(L52,R52,X52,AD52,AJ52))</f>
        <v/>
      </c>
      <c r="AP52" s="153">
        <f>IF(OR($AK52="",$AO52="",$AO52=0),"",($AO52-$AK52)/$AO52)</f>
        <v/>
      </c>
      <c r="AQ52" s="154">
        <f>IF($AK52="","",IF(L52=$AK52,$K52,IF(R52=$AK52,$Q52,IF(X52=$AK52,$W52,IF(AD52=$AK52,$AC52,IF(AJ52=$AK52,$AI52,""))))))</f>
        <v/>
      </c>
    </row>
    <row r="53" ht="15" customHeight="1" s="106">
      <c r="A53" s="134" t="inlineStr">
        <is>
          <t>PP-PRAWN</t>
        </is>
      </c>
      <c r="B53" s="138" t="inlineStr">
        <is>
          <t>Seafood</t>
        </is>
      </c>
      <c r="C53" s="113" t="inlineStr">
        <is>
          <t>Prawns (halaal, LTO only)</t>
        </is>
      </c>
      <c r="D53" s="139" t="inlineStr">
        <is>
          <t>g</t>
        </is>
      </c>
      <c r="E53" s="146" t="n">
        <v>0.75</v>
      </c>
      <c r="F53" s="116" t="inlineStr">
        <is>
          <t>Time-boxed LTO; managed cold-chain</t>
        </is>
      </c>
      <c r="G53" s="140" t="n"/>
      <c r="H53" s="147" t="n"/>
      <c r="I53" s="141" t="n"/>
      <c r="J53" s="148" t="n"/>
      <c r="K53" s="149" t="n"/>
      <c r="L53" s="150">
        <f>IF(OR($J53="",$H53="",$H53=0),"",$J53/(1+IF(IFERROR(INDEX('03 Suppliers'!$N$5:$N$34,MATCH($G53,'03 Suppliers'!$B$5:$B$34,0)),"Excl VAT")="Incl VAT",'01 Control'!$C$6,0))/($H53*IFERROR(VLOOKUP($I53,'02 Lists'!$A$5:$B$18,2,FALSE()),1)))</f>
        <v/>
      </c>
      <c r="M53" s="140" t="n"/>
      <c r="N53" s="147" t="n"/>
      <c r="O53" s="141" t="n"/>
      <c r="P53" s="148" t="n"/>
      <c r="Q53" s="149" t="n"/>
      <c r="R53" s="150">
        <f>IF(OR($P53="",$N53="",$N53=0),"",$P53/(1+IF(IFERROR(INDEX('03 Suppliers'!$N$5:$N$34,MATCH($M53,'03 Suppliers'!$B$5:$B$34,0)),"Excl VAT")="Incl VAT",'01 Control'!$C$6,0))/($N53*IFERROR(VLOOKUP($O53,'02 Lists'!$A$5:$B$18,2,FALSE()),1)))</f>
        <v/>
      </c>
      <c r="S53" s="140" t="n"/>
      <c r="T53" s="147" t="n"/>
      <c r="U53" s="141" t="n"/>
      <c r="V53" s="148" t="n"/>
      <c r="W53" s="149" t="n"/>
      <c r="X53" s="150">
        <f>IF(OR($V53="",$T53="",$T53=0),"",$V53/(1+IF(IFERROR(INDEX('03 Suppliers'!$N$5:$N$34,MATCH($S53,'03 Suppliers'!$B$5:$B$34,0)),"Excl VAT")="Incl VAT",'01 Control'!$C$6,0))/($T53*IFERROR(VLOOKUP($U53,'02 Lists'!$A$5:$B$18,2,FALSE()),1)))</f>
        <v/>
      </c>
      <c r="Y53" s="140" t="n"/>
      <c r="Z53" s="147" t="n"/>
      <c r="AA53" s="141" t="n"/>
      <c r="AB53" s="148" t="n"/>
      <c r="AC53" s="149" t="n"/>
      <c r="AD53" s="150">
        <f>IF(OR($AB53="",$Z53="",$Z53=0),"",$AB53/(1+IF(IFERROR(INDEX('03 Suppliers'!$N$5:$N$34,MATCH($Y53,'03 Suppliers'!$B$5:$B$34,0)),"Excl VAT")="Incl VAT",'01 Control'!$C$6,0))/($Z53*IFERROR(VLOOKUP($AA53,'02 Lists'!$A$5:$B$18,2,FALSE()),1)))</f>
        <v/>
      </c>
      <c r="AE53" s="140" t="n"/>
      <c r="AF53" s="147" t="n"/>
      <c r="AG53" s="141" t="n"/>
      <c r="AH53" s="148" t="n"/>
      <c r="AI53" s="149" t="n"/>
      <c r="AJ53" s="150">
        <f>IF(OR($AH53="",$AF53="",$AF53=0),"",$AH53/(1+IF(IFERROR(INDEX('03 Suppliers'!$N$5:$N$34,MATCH($AE53,'03 Suppliers'!$B$5:$B$34,0)),"Excl VAT")="Incl VAT",'01 Control'!$C$6,0))/($AF53*IFERROR(VLOOKUP($AG53,'02 Lists'!$A$5:$B$18,2,FALSE()),1)))</f>
        <v/>
      </c>
      <c r="AK53" s="151">
        <f>IF(COUNT(L53,R53,X53,AD53,AJ53)=0,"",MIN(L53,R53,X53,AD53,AJ53))</f>
        <v/>
      </c>
      <c r="AL53" s="126">
        <f>IF($AK53="","",IF(L53=$AK53,$G53,IF(R53=$AK53,$M53,IF(X53=$AK53,$S53,IF(AD53=$AK53,$Y53,IF(AJ53=$AK53,$AE53,""))))))</f>
        <v/>
      </c>
      <c r="AM53" s="151">
        <f>IF($AK53="","",$AK53/IF($E53="",1,$E53))</f>
        <v/>
      </c>
      <c r="AN53" s="152">
        <f>COUNT(L53,R53,X53,AD53,AJ53)</f>
        <v/>
      </c>
      <c r="AO53" s="150">
        <f>IF(COUNT(L53,R53,X53,AD53,AJ53)=0,"",MAX(L53,R53,X53,AD53,AJ53))</f>
        <v/>
      </c>
      <c r="AP53" s="153">
        <f>IF(OR($AK53="",$AO53="",$AO53=0),"",($AO53-$AK53)/$AO53)</f>
        <v/>
      </c>
      <c r="AQ53" s="154">
        <f>IF($AK53="","",IF(L53=$AK53,$K53,IF(R53=$AK53,$Q53,IF(X53=$AK53,$W53,IF(AD53=$AK53,$AC53,IF(AJ53=$AK53,$AI53,""))))))</f>
        <v/>
      </c>
    </row>
    <row r="54" ht="15" customHeight="1" s="106">
      <c r="A54" s="134" t="inlineStr">
        <is>
          <t>PP-ONION</t>
        </is>
      </c>
      <c r="B54" s="138" t="inlineStr">
        <is>
          <t>Vegetables</t>
        </is>
      </c>
      <c r="C54" s="113" t="inlineStr">
        <is>
          <t>Onion</t>
        </is>
      </c>
      <c r="D54" s="139" t="inlineStr">
        <is>
          <t>g</t>
        </is>
      </c>
      <c r="E54" s="146" t="n">
        <v>0.9</v>
      </c>
      <c r="F54" s="116" t="inlineStr">
        <is>
          <t>Soffritto base</t>
        </is>
      </c>
      <c r="G54" s="140" t="n"/>
      <c r="H54" s="147" t="n"/>
      <c r="I54" s="141" t="n"/>
      <c r="J54" s="148" t="n"/>
      <c r="K54" s="149" t="n"/>
      <c r="L54" s="150">
        <f>IF(OR($J54="",$H54="",$H54=0),"",$J54/(1+IF(IFERROR(INDEX('03 Suppliers'!$N$5:$N$34,MATCH($G54,'03 Suppliers'!$B$5:$B$34,0)),"Excl VAT")="Incl VAT",'01 Control'!$C$6,0))/($H54*IFERROR(VLOOKUP($I54,'02 Lists'!$A$5:$B$18,2,FALSE()),1)))</f>
        <v/>
      </c>
      <c r="M54" s="140" t="n"/>
      <c r="N54" s="147" t="n"/>
      <c r="O54" s="141" t="n"/>
      <c r="P54" s="148" t="n"/>
      <c r="Q54" s="149" t="n"/>
      <c r="R54" s="150">
        <f>IF(OR($P54="",$N54="",$N54=0),"",$P54/(1+IF(IFERROR(INDEX('03 Suppliers'!$N$5:$N$34,MATCH($M54,'03 Suppliers'!$B$5:$B$34,0)),"Excl VAT")="Incl VAT",'01 Control'!$C$6,0))/($N54*IFERROR(VLOOKUP($O54,'02 Lists'!$A$5:$B$18,2,FALSE()),1)))</f>
        <v/>
      </c>
      <c r="S54" s="140" t="n"/>
      <c r="T54" s="147" t="n"/>
      <c r="U54" s="141" t="n"/>
      <c r="V54" s="148" t="n"/>
      <c r="W54" s="149" t="n"/>
      <c r="X54" s="150">
        <f>IF(OR($V54="",$T54="",$T54=0),"",$V54/(1+IF(IFERROR(INDEX('03 Suppliers'!$N$5:$N$34,MATCH($S54,'03 Suppliers'!$B$5:$B$34,0)),"Excl VAT")="Incl VAT",'01 Control'!$C$6,0))/($T54*IFERROR(VLOOKUP($U54,'02 Lists'!$A$5:$B$18,2,FALSE()),1)))</f>
        <v/>
      </c>
      <c r="Y54" s="140" t="n"/>
      <c r="Z54" s="147" t="n"/>
      <c r="AA54" s="141" t="n"/>
      <c r="AB54" s="148" t="n"/>
      <c r="AC54" s="149" t="n"/>
      <c r="AD54" s="150">
        <f>IF(OR($AB54="",$Z54="",$Z54=0),"",$AB54/(1+IF(IFERROR(INDEX('03 Suppliers'!$N$5:$N$34,MATCH($Y54,'03 Suppliers'!$B$5:$B$34,0)),"Excl VAT")="Incl VAT",'01 Control'!$C$6,0))/($Z54*IFERROR(VLOOKUP($AA54,'02 Lists'!$A$5:$B$18,2,FALSE()),1)))</f>
        <v/>
      </c>
      <c r="AE54" s="140" t="n"/>
      <c r="AF54" s="147" t="n"/>
      <c r="AG54" s="141" t="n"/>
      <c r="AH54" s="148" t="n"/>
      <c r="AI54" s="149" t="n"/>
      <c r="AJ54" s="150">
        <f>IF(OR($AH54="",$AF54="",$AF54=0),"",$AH54/(1+IF(IFERROR(INDEX('03 Suppliers'!$N$5:$N$34,MATCH($AE54,'03 Suppliers'!$B$5:$B$34,0)),"Excl VAT")="Incl VAT",'01 Control'!$C$6,0))/($AF54*IFERROR(VLOOKUP($AG54,'02 Lists'!$A$5:$B$18,2,FALSE()),1)))</f>
        <v/>
      </c>
      <c r="AK54" s="151">
        <f>IF(COUNT(L54,R54,X54,AD54,AJ54)=0,"",MIN(L54,R54,X54,AD54,AJ54))</f>
        <v/>
      </c>
      <c r="AL54" s="126">
        <f>IF($AK54="","",IF(L54=$AK54,$G54,IF(R54=$AK54,$M54,IF(X54=$AK54,$S54,IF(AD54=$AK54,$Y54,IF(AJ54=$AK54,$AE54,""))))))</f>
        <v/>
      </c>
      <c r="AM54" s="151">
        <f>IF($AK54="","",$AK54/IF($E54="",1,$E54))</f>
        <v/>
      </c>
      <c r="AN54" s="152">
        <f>COUNT(L54,R54,X54,AD54,AJ54)</f>
        <v/>
      </c>
      <c r="AO54" s="150">
        <f>IF(COUNT(L54,R54,X54,AD54,AJ54)=0,"",MAX(L54,R54,X54,AD54,AJ54))</f>
        <v/>
      </c>
      <c r="AP54" s="153">
        <f>IF(OR($AK54="",$AO54="",$AO54=0),"",($AO54-$AK54)/$AO54)</f>
        <v/>
      </c>
      <c r="AQ54" s="154">
        <f>IF($AK54="","",IF(L54=$AK54,$K54,IF(R54=$AK54,$Q54,IF(X54=$AK54,$W54,IF(AD54=$AK54,$AC54,IF(AJ54=$AK54,$AI54,""))))))</f>
        <v/>
      </c>
    </row>
    <row r="55" ht="15" customHeight="1" s="106">
      <c r="A55" s="134" t="inlineStr">
        <is>
          <t>PP-VEG-REDONION</t>
        </is>
      </c>
      <c r="B55" s="138" t="inlineStr">
        <is>
          <t>Vegetables</t>
        </is>
      </c>
      <c r="C55" s="113" t="inlineStr">
        <is>
          <t>Red onion</t>
        </is>
      </c>
      <c r="D55" s="139" t="inlineStr">
        <is>
          <t>g</t>
        </is>
      </c>
      <c r="E55" s="146" t="n">
        <v>0.9</v>
      </c>
      <c r="F55" s="116" t="inlineStr">
        <is>
          <t>Salad base</t>
        </is>
      </c>
      <c r="G55" s="140" t="inlineStr">
        <is>
          <t>Ferreira Fresh</t>
        </is>
      </c>
      <c r="H55" s="147" t="n">
        <v>1</v>
      </c>
      <c r="I55" s="141" t="inlineStr">
        <is>
          <t>kg</t>
        </is>
      </c>
      <c r="J55" s="148" t="n">
        <v>39.5</v>
      </c>
      <c r="K55" s="149" t="n">
        <v>46250</v>
      </c>
      <c r="L55" s="150">
        <f>IF(OR($J55="",$H55="",$H55=0),"",$J55/(1+IF(IFERROR(INDEX('03 Suppliers'!$N$5:$N$34,MATCH($G55,'03 Suppliers'!$B$5:$B$34,0)),"Excl VAT")="Incl VAT",'01 Control'!$C$6,0))/($H55*IFERROR(VLOOKUP($I55,'02 Lists'!$A$5:$B$18,2,FALSE()),1)))</f>
        <v/>
      </c>
      <c r="M55" s="140" t="n"/>
      <c r="N55" s="147" t="n"/>
      <c r="O55" s="141" t="n"/>
      <c r="P55" s="148" t="n"/>
      <c r="Q55" s="149" t="n"/>
      <c r="R55" s="150">
        <f>IF(OR($P55="",$N55="",$N55=0),"",$P55/(1+IF(IFERROR(INDEX('03 Suppliers'!$N$5:$N$34,MATCH($M55,'03 Suppliers'!$B$5:$B$34,0)),"Excl VAT")="Incl VAT",'01 Control'!$C$6,0))/($N55*IFERROR(VLOOKUP($O55,'02 Lists'!$A$5:$B$18,2,FALSE()),1)))</f>
        <v/>
      </c>
      <c r="S55" s="140" t="n"/>
      <c r="T55" s="147" t="n"/>
      <c r="U55" s="141" t="n"/>
      <c r="V55" s="148" t="n"/>
      <c r="W55" s="149" t="n"/>
      <c r="X55" s="150">
        <f>IF(OR($V55="",$T55="",$T55=0),"",$V55/(1+IF(IFERROR(INDEX('03 Suppliers'!$N$5:$N$34,MATCH($S55,'03 Suppliers'!$B$5:$B$34,0)),"Excl VAT")="Incl VAT",'01 Control'!$C$6,0))/($T55*IFERROR(VLOOKUP($U55,'02 Lists'!$A$5:$B$18,2,FALSE()),1)))</f>
        <v/>
      </c>
      <c r="Y55" s="140" t="n"/>
      <c r="Z55" s="147" t="n"/>
      <c r="AA55" s="141" t="n"/>
      <c r="AB55" s="148" t="n"/>
      <c r="AC55" s="149" t="n"/>
      <c r="AD55" s="150">
        <f>IF(OR($AB55="",$Z55="",$Z55=0),"",$AB55/(1+IF(IFERROR(INDEX('03 Suppliers'!$N$5:$N$34,MATCH($Y55,'03 Suppliers'!$B$5:$B$34,0)),"Excl VAT")="Incl VAT",'01 Control'!$C$6,0))/($Z55*IFERROR(VLOOKUP($AA55,'02 Lists'!$A$5:$B$18,2,FALSE()),1)))</f>
        <v/>
      </c>
      <c r="AE55" s="140" t="n"/>
      <c r="AF55" s="147" t="n"/>
      <c r="AG55" s="141" t="n"/>
      <c r="AH55" s="148" t="n"/>
      <c r="AI55" s="149" t="n"/>
      <c r="AJ55" s="150">
        <f>IF(OR($AH55="",$AF55="",$AF55=0),"",$AH55/(1+IF(IFERROR(INDEX('03 Suppliers'!$N$5:$N$34,MATCH($AE55,'03 Suppliers'!$B$5:$B$34,0)),"Excl VAT")="Incl VAT",'01 Control'!$C$6,0))/($AF55*IFERROR(VLOOKUP($AG55,'02 Lists'!$A$5:$B$18,2,FALSE()),1)))</f>
        <v/>
      </c>
      <c r="AK55" s="151">
        <f>IF(COUNT(L55,R55,X55,AD55,AJ55)=0,"",MIN(L55,R55,X55,AD55,AJ55))</f>
        <v/>
      </c>
      <c r="AL55" s="126">
        <f>IF($AK55="","",IF(L55=$AK55,$G55,IF(R55=$AK55,$M55,IF(X55=$AK55,$S55,IF(AD55=$AK55,$Y55,IF(AJ55=$AK55,$AE55,""))))))</f>
        <v/>
      </c>
      <c r="AM55" s="151">
        <f>IF($AK55="","",$AK55/IF($E55="",1,$E55))</f>
        <v/>
      </c>
      <c r="AN55" s="152">
        <f>COUNT(L55,R55,X55,AD55,AJ55)</f>
        <v/>
      </c>
      <c r="AO55" s="150">
        <f>IF(COUNT(L55,R55,X55,AD55,AJ55)=0,"",MAX(L55,R55,X55,AD55,AJ55))</f>
        <v/>
      </c>
      <c r="AP55" s="153">
        <f>IF(OR($AK55="",$AO55="",$AO55=0),"",($AO55-$AK55)/$AO55)</f>
        <v/>
      </c>
      <c r="AQ55" s="154">
        <f>IF($AK55="","",IF(L55=$AK55,$K55,IF(R55=$AK55,$Q55,IF(X55=$AK55,$W55,IF(AD55=$AK55,$AC55,IF(AJ55=$AK55,$AI55,""))))))</f>
        <v/>
      </c>
    </row>
    <row r="56" ht="15" customHeight="1" s="106">
      <c r="A56" s="134" t="inlineStr">
        <is>
          <t>PP-GARLIC</t>
        </is>
      </c>
      <c r="B56" s="138" t="inlineStr">
        <is>
          <t>Vegetables</t>
        </is>
      </c>
      <c r="C56" s="113" t="inlineStr">
        <is>
          <t>Garlic</t>
        </is>
      </c>
      <c r="D56" s="139" t="inlineStr">
        <is>
          <t>g</t>
        </is>
      </c>
      <c r="E56" s="146" t="n">
        <v>0.85</v>
      </c>
      <c r="F56" s="116" t="inlineStr">
        <is>
          <t>Every sauce</t>
        </is>
      </c>
      <c r="G56" s="140" t="n"/>
      <c r="H56" s="147" t="n"/>
      <c r="I56" s="141" t="n"/>
      <c r="J56" s="148" t="n"/>
      <c r="K56" s="149" t="n"/>
      <c r="L56" s="150">
        <f>IF(OR($J56="",$H56="",$H56=0),"",$J56/(1+IF(IFERROR(INDEX('03 Suppliers'!$N$5:$N$34,MATCH($G56,'03 Suppliers'!$B$5:$B$34,0)),"Excl VAT")="Incl VAT",'01 Control'!$C$6,0))/($H56*IFERROR(VLOOKUP($I56,'02 Lists'!$A$5:$B$18,2,FALSE()),1)))</f>
        <v/>
      </c>
      <c r="M56" s="140" t="n"/>
      <c r="N56" s="147" t="n"/>
      <c r="O56" s="141" t="n"/>
      <c r="P56" s="148" t="n"/>
      <c r="Q56" s="149" t="n"/>
      <c r="R56" s="150">
        <f>IF(OR($P56="",$N56="",$N56=0),"",$P56/(1+IF(IFERROR(INDEX('03 Suppliers'!$N$5:$N$34,MATCH($M56,'03 Suppliers'!$B$5:$B$34,0)),"Excl VAT")="Incl VAT",'01 Control'!$C$6,0))/($N56*IFERROR(VLOOKUP($O56,'02 Lists'!$A$5:$B$18,2,FALSE()),1)))</f>
        <v/>
      </c>
      <c r="S56" s="140" t="n"/>
      <c r="T56" s="147" t="n"/>
      <c r="U56" s="141" t="n"/>
      <c r="V56" s="148" t="n"/>
      <c r="W56" s="149" t="n"/>
      <c r="X56" s="150">
        <f>IF(OR($V56="",$T56="",$T56=0),"",$V56/(1+IF(IFERROR(INDEX('03 Suppliers'!$N$5:$N$34,MATCH($S56,'03 Suppliers'!$B$5:$B$34,0)),"Excl VAT")="Incl VAT",'01 Control'!$C$6,0))/($T56*IFERROR(VLOOKUP($U56,'02 Lists'!$A$5:$B$18,2,FALSE()),1)))</f>
        <v/>
      </c>
      <c r="Y56" s="140" t="n"/>
      <c r="Z56" s="147" t="n"/>
      <c r="AA56" s="141" t="n"/>
      <c r="AB56" s="148" t="n"/>
      <c r="AC56" s="149" t="n"/>
      <c r="AD56" s="150">
        <f>IF(OR($AB56="",$Z56="",$Z56=0),"",$AB56/(1+IF(IFERROR(INDEX('03 Suppliers'!$N$5:$N$34,MATCH($Y56,'03 Suppliers'!$B$5:$B$34,0)),"Excl VAT")="Incl VAT",'01 Control'!$C$6,0))/($Z56*IFERROR(VLOOKUP($AA56,'02 Lists'!$A$5:$B$18,2,FALSE()),1)))</f>
        <v/>
      </c>
      <c r="AE56" s="140" t="n"/>
      <c r="AF56" s="147" t="n"/>
      <c r="AG56" s="141" t="n"/>
      <c r="AH56" s="148" t="n"/>
      <c r="AI56" s="149" t="n"/>
      <c r="AJ56" s="150">
        <f>IF(OR($AH56="",$AF56="",$AF56=0),"",$AH56/(1+IF(IFERROR(INDEX('03 Suppliers'!$N$5:$N$34,MATCH($AE56,'03 Suppliers'!$B$5:$B$34,0)),"Excl VAT")="Incl VAT",'01 Control'!$C$6,0))/($AF56*IFERROR(VLOOKUP($AG56,'02 Lists'!$A$5:$B$18,2,FALSE()),1)))</f>
        <v/>
      </c>
      <c r="AK56" s="151">
        <f>IF(COUNT(L56,R56,X56,AD56,AJ56)=0,"",MIN(L56,R56,X56,AD56,AJ56))</f>
        <v/>
      </c>
      <c r="AL56" s="126">
        <f>IF($AK56="","",IF(L56=$AK56,$G56,IF(R56=$AK56,$M56,IF(X56=$AK56,$S56,IF(AD56=$AK56,$Y56,IF(AJ56=$AK56,$AE56,""))))))</f>
        <v/>
      </c>
      <c r="AM56" s="151">
        <f>IF($AK56="","",$AK56/IF($E56="",1,$E56))</f>
        <v/>
      </c>
      <c r="AN56" s="152">
        <f>COUNT(L56,R56,X56,AD56,AJ56)</f>
        <v/>
      </c>
      <c r="AO56" s="150">
        <f>IF(COUNT(L56,R56,X56,AD56,AJ56)=0,"",MAX(L56,R56,X56,AD56,AJ56))</f>
        <v/>
      </c>
      <c r="AP56" s="153">
        <f>IF(OR($AK56="",$AO56="",$AO56=0),"",($AO56-$AK56)/$AO56)</f>
        <v/>
      </c>
      <c r="AQ56" s="154">
        <f>IF($AK56="","",IF(L56=$AK56,$K56,IF(R56=$AK56,$Q56,IF(X56=$AK56,$W56,IF(AD56=$AK56,$AC56,IF(AJ56=$AK56,$AI56,""))))))</f>
        <v/>
      </c>
    </row>
    <row r="57" ht="15" customHeight="1" s="106">
      <c r="A57" s="134" t="inlineStr">
        <is>
          <t>PP-CELERY</t>
        </is>
      </c>
      <c r="B57" s="138" t="inlineStr">
        <is>
          <t>Vegetables</t>
        </is>
      </c>
      <c r="C57" s="113" t="inlineStr">
        <is>
          <t>Celery</t>
        </is>
      </c>
      <c r="D57" s="139" t="inlineStr">
        <is>
          <t>g</t>
        </is>
      </c>
      <c r="E57" s="146" t="n">
        <v>0.85</v>
      </c>
      <c r="F57" s="116" t="inlineStr">
        <is>
          <t>Soffritto base</t>
        </is>
      </c>
      <c r="G57" s="140" t="n"/>
      <c r="H57" s="147" t="n"/>
      <c r="I57" s="141" t="n"/>
      <c r="J57" s="148" t="n"/>
      <c r="K57" s="149" t="n"/>
      <c r="L57" s="150">
        <f>IF(OR($J57="",$H57="",$H57=0),"",$J57/(1+IF(IFERROR(INDEX('03 Suppliers'!$N$5:$N$34,MATCH($G57,'03 Suppliers'!$B$5:$B$34,0)),"Excl VAT")="Incl VAT",'01 Control'!$C$6,0))/($H57*IFERROR(VLOOKUP($I57,'02 Lists'!$A$5:$B$18,2,FALSE()),1)))</f>
        <v/>
      </c>
      <c r="M57" s="140" t="n"/>
      <c r="N57" s="147" t="n"/>
      <c r="O57" s="141" t="n"/>
      <c r="P57" s="148" t="n"/>
      <c r="Q57" s="149" t="n"/>
      <c r="R57" s="150">
        <f>IF(OR($P57="",$N57="",$N57=0),"",$P57/(1+IF(IFERROR(INDEX('03 Suppliers'!$N$5:$N$34,MATCH($M57,'03 Suppliers'!$B$5:$B$34,0)),"Excl VAT")="Incl VAT",'01 Control'!$C$6,0))/($N57*IFERROR(VLOOKUP($O57,'02 Lists'!$A$5:$B$18,2,FALSE()),1)))</f>
        <v/>
      </c>
      <c r="S57" s="140" t="n"/>
      <c r="T57" s="147" t="n"/>
      <c r="U57" s="141" t="n"/>
      <c r="V57" s="148" t="n"/>
      <c r="W57" s="149" t="n"/>
      <c r="X57" s="150">
        <f>IF(OR($V57="",$T57="",$T57=0),"",$V57/(1+IF(IFERROR(INDEX('03 Suppliers'!$N$5:$N$34,MATCH($S57,'03 Suppliers'!$B$5:$B$34,0)),"Excl VAT")="Incl VAT",'01 Control'!$C$6,0))/($T57*IFERROR(VLOOKUP($U57,'02 Lists'!$A$5:$B$18,2,FALSE()),1)))</f>
        <v/>
      </c>
      <c r="Y57" s="140" t="n"/>
      <c r="Z57" s="147" t="n"/>
      <c r="AA57" s="141" t="n"/>
      <c r="AB57" s="148" t="n"/>
      <c r="AC57" s="149" t="n"/>
      <c r="AD57" s="150">
        <f>IF(OR($AB57="",$Z57="",$Z57=0),"",$AB57/(1+IF(IFERROR(INDEX('03 Suppliers'!$N$5:$N$34,MATCH($Y57,'03 Suppliers'!$B$5:$B$34,0)),"Excl VAT")="Incl VAT",'01 Control'!$C$6,0))/($Z57*IFERROR(VLOOKUP($AA57,'02 Lists'!$A$5:$B$18,2,FALSE()),1)))</f>
        <v/>
      </c>
      <c r="AE57" s="140" t="n"/>
      <c r="AF57" s="147" t="n"/>
      <c r="AG57" s="141" t="n"/>
      <c r="AH57" s="148" t="n"/>
      <c r="AI57" s="149" t="n"/>
      <c r="AJ57" s="150">
        <f>IF(OR($AH57="",$AF57="",$AF57=0),"",$AH57/(1+IF(IFERROR(INDEX('03 Suppliers'!$N$5:$N$34,MATCH($AE57,'03 Suppliers'!$B$5:$B$34,0)),"Excl VAT")="Incl VAT",'01 Control'!$C$6,0))/($AF57*IFERROR(VLOOKUP($AG57,'02 Lists'!$A$5:$B$18,2,FALSE()),1)))</f>
        <v/>
      </c>
      <c r="AK57" s="151">
        <f>IF(COUNT(L57,R57,X57,AD57,AJ57)=0,"",MIN(L57,R57,X57,AD57,AJ57))</f>
        <v/>
      </c>
      <c r="AL57" s="126">
        <f>IF($AK57="","",IF(L57=$AK57,$G57,IF(R57=$AK57,$M57,IF(X57=$AK57,$S57,IF(AD57=$AK57,$Y57,IF(AJ57=$AK57,$AE57,""))))))</f>
        <v/>
      </c>
      <c r="AM57" s="151">
        <f>IF($AK57="","",$AK57/IF($E57="",1,$E57))</f>
        <v/>
      </c>
      <c r="AN57" s="152">
        <f>COUNT(L57,R57,X57,AD57,AJ57)</f>
        <v/>
      </c>
      <c r="AO57" s="150">
        <f>IF(COUNT(L57,R57,X57,AD57,AJ57)=0,"",MAX(L57,R57,X57,AD57,AJ57))</f>
        <v/>
      </c>
      <c r="AP57" s="153">
        <f>IF(OR($AK57="",$AO57="",$AO57=0),"",($AO57-$AK57)/$AO57)</f>
        <v/>
      </c>
      <c r="AQ57" s="154">
        <f>IF($AK57="","",IF(L57=$AK57,$K57,IF(R57=$AK57,$Q57,IF(X57=$AK57,$W57,IF(AD57=$AK57,$AC57,IF(AJ57=$AK57,$AI57,""))))))</f>
        <v/>
      </c>
    </row>
    <row r="58" ht="33.75" customHeight="1" s="106">
      <c r="A58" s="134" t="inlineStr">
        <is>
          <t>PP-VEG-CARROT</t>
        </is>
      </c>
      <c r="B58" s="138" t="inlineStr">
        <is>
          <t>Vegetables</t>
        </is>
      </c>
      <c r="C58" s="113" t="inlineStr">
        <is>
          <t>Carrots</t>
        </is>
      </c>
      <c r="D58" s="139" t="inlineStr">
        <is>
          <t>g</t>
        </is>
      </c>
      <c r="E58" s="146" t="n">
        <v>0.9</v>
      </c>
      <c r="F58" s="155" t="inlineStr">
        <is>
          <t>Soffritto base  CHECK THE UNIT: the carried-over quote reads R148.00/kg, which is out of line with the rest of the list. Confirm per-kg vs pack price before this reaches a menu price.</t>
        </is>
      </c>
      <c r="G58" s="140" t="inlineStr">
        <is>
          <t>Ferreira Fresh</t>
        </is>
      </c>
      <c r="H58" s="147" t="n">
        <v>1</v>
      </c>
      <c r="I58" s="141" t="inlineStr">
        <is>
          <t>kg</t>
        </is>
      </c>
      <c r="J58" s="156" t="n">
        <v>148</v>
      </c>
      <c r="K58" s="149" t="n">
        <v>46251</v>
      </c>
      <c r="L58" s="150">
        <f>IF(OR($J58="",$H58="",$H58=0),"",$J58/(1+IF(IFERROR(INDEX('03 Suppliers'!$N$5:$N$34,MATCH($G58,'03 Suppliers'!$B$5:$B$34,0)),"Excl VAT")="Incl VAT",'01 Control'!$C$6,0))/($H58*IFERROR(VLOOKUP($I58,'02 Lists'!$A$5:$B$18,2,FALSE()),1)))</f>
        <v/>
      </c>
      <c r="M58" s="140" t="n"/>
      <c r="N58" s="147" t="n"/>
      <c r="O58" s="141" t="n"/>
      <c r="P58" s="148" t="n"/>
      <c r="Q58" s="149" t="n"/>
      <c r="R58" s="150">
        <f>IF(OR($P58="",$N58="",$N58=0),"",$P58/(1+IF(IFERROR(INDEX('03 Suppliers'!$N$5:$N$34,MATCH($M58,'03 Suppliers'!$B$5:$B$34,0)),"Excl VAT")="Incl VAT",'01 Control'!$C$6,0))/($N58*IFERROR(VLOOKUP($O58,'02 Lists'!$A$5:$B$18,2,FALSE()),1)))</f>
        <v/>
      </c>
      <c r="S58" s="140" t="n"/>
      <c r="T58" s="147" t="n"/>
      <c r="U58" s="141" t="n"/>
      <c r="V58" s="148" t="n"/>
      <c r="W58" s="149" t="n"/>
      <c r="X58" s="150">
        <f>IF(OR($V58="",$T58="",$T58=0),"",$V58/(1+IF(IFERROR(INDEX('03 Suppliers'!$N$5:$N$34,MATCH($S58,'03 Suppliers'!$B$5:$B$34,0)),"Excl VAT")="Incl VAT",'01 Control'!$C$6,0))/($T58*IFERROR(VLOOKUP($U58,'02 Lists'!$A$5:$B$18,2,FALSE()),1)))</f>
        <v/>
      </c>
      <c r="Y58" s="140" t="n"/>
      <c r="Z58" s="147" t="n"/>
      <c r="AA58" s="141" t="n"/>
      <c r="AB58" s="148" t="n"/>
      <c r="AC58" s="149" t="n"/>
      <c r="AD58" s="150">
        <f>IF(OR($AB58="",$Z58="",$Z58=0),"",$AB58/(1+IF(IFERROR(INDEX('03 Suppliers'!$N$5:$N$34,MATCH($Y58,'03 Suppliers'!$B$5:$B$34,0)),"Excl VAT")="Incl VAT",'01 Control'!$C$6,0))/($Z58*IFERROR(VLOOKUP($AA58,'02 Lists'!$A$5:$B$18,2,FALSE()),1)))</f>
        <v/>
      </c>
      <c r="AE58" s="140" t="n"/>
      <c r="AF58" s="147" t="n"/>
      <c r="AG58" s="141" t="n"/>
      <c r="AH58" s="148" t="n"/>
      <c r="AI58" s="149" t="n"/>
      <c r="AJ58" s="150">
        <f>IF(OR($AH58="",$AF58="",$AF58=0),"",$AH58/(1+IF(IFERROR(INDEX('03 Suppliers'!$N$5:$N$34,MATCH($AE58,'03 Suppliers'!$B$5:$B$34,0)),"Excl VAT")="Incl VAT",'01 Control'!$C$6,0))/($AF58*IFERROR(VLOOKUP($AG58,'02 Lists'!$A$5:$B$18,2,FALSE()),1)))</f>
        <v/>
      </c>
      <c r="AK58" s="151">
        <f>IF(COUNT(L58,R58,X58,AD58,AJ58)=0,"",MIN(L58,R58,X58,AD58,AJ58))</f>
        <v/>
      </c>
      <c r="AL58" s="126">
        <f>IF($AK58="","",IF(L58=$AK58,$G58,IF(R58=$AK58,$M58,IF(X58=$AK58,$S58,IF(AD58=$AK58,$Y58,IF(AJ58=$AK58,$AE58,""))))))</f>
        <v/>
      </c>
      <c r="AM58" s="151">
        <f>IF($AK58="","",$AK58/IF($E58="",1,$E58))</f>
        <v/>
      </c>
      <c r="AN58" s="152">
        <f>COUNT(L58,R58,X58,AD58,AJ58)</f>
        <v/>
      </c>
      <c r="AO58" s="150">
        <f>IF(COUNT(L58,R58,X58,AD58,AJ58)=0,"",MAX(L58,R58,X58,AD58,AJ58))</f>
        <v/>
      </c>
      <c r="AP58" s="153">
        <f>IF(OR($AK58="",$AO58="",$AO58=0),"",($AO58-$AK58)/$AO58)</f>
        <v/>
      </c>
      <c r="AQ58" s="154">
        <f>IF($AK58="","",IF(L58=$AK58,$K58,IF(R58=$AK58,$Q58,IF(X58=$AK58,$W58,IF(AD58=$AK58,$AC58,IF(AJ58=$AK58,$AI58,""))))))</f>
        <v/>
      </c>
    </row>
    <row r="59" ht="15" customHeight="1" s="106">
      <c r="A59" s="134" t="inlineStr">
        <is>
          <t>PP-VEG-MUSH</t>
        </is>
      </c>
      <c r="B59" s="138" t="inlineStr">
        <is>
          <t>Vegetables</t>
        </is>
      </c>
      <c r="C59" s="113" t="inlineStr">
        <is>
          <t>Mushrooms (brown / button)</t>
        </is>
      </c>
      <c r="D59" s="139" t="inlineStr">
        <is>
          <t>g</t>
        </is>
      </c>
      <c r="E59" s="146" t="n">
        <v>0.95</v>
      </c>
      <c r="F59" s="116" t="inlineStr">
        <is>
          <t>Boscaiola</t>
        </is>
      </c>
      <c r="G59" s="140" t="n"/>
      <c r="H59" s="147" t="n"/>
      <c r="I59" s="141" t="n"/>
      <c r="J59" s="148" t="n"/>
      <c r="K59" s="149" t="n"/>
      <c r="L59" s="150">
        <f>IF(OR($J59="",$H59="",$H59=0),"",$J59/(1+IF(IFERROR(INDEX('03 Suppliers'!$N$5:$N$34,MATCH($G59,'03 Suppliers'!$B$5:$B$34,0)),"Excl VAT")="Incl VAT",'01 Control'!$C$6,0))/($H59*IFERROR(VLOOKUP($I59,'02 Lists'!$A$5:$B$18,2,FALSE()),1)))</f>
        <v/>
      </c>
      <c r="M59" s="140" t="n"/>
      <c r="N59" s="147" t="n"/>
      <c r="O59" s="141" t="n"/>
      <c r="P59" s="148" t="n"/>
      <c r="Q59" s="149" t="n"/>
      <c r="R59" s="150">
        <f>IF(OR($P59="",$N59="",$N59=0),"",$P59/(1+IF(IFERROR(INDEX('03 Suppliers'!$N$5:$N$34,MATCH($M59,'03 Suppliers'!$B$5:$B$34,0)),"Excl VAT")="Incl VAT",'01 Control'!$C$6,0))/($N59*IFERROR(VLOOKUP($O59,'02 Lists'!$A$5:$B$18,2,FALSE()),1)))</f>
        <v/>
      </c>
      <c r="S59" s="140" t="n"/>
      <c r="T59" s="147" t="n"/>
      <c r="U59" s="141" t="n"/>
      <c r="V59" s="148" t="n"/>
      <c r="W59" s="149" t="n"/>
      <c r="X59" s="150">
        <f>IF(OR($V59="",$T59="",$T59=0),"",$V59/(1+IF(IFERROR(INDEX('03 Suppliers'!$N$5:$N$34,MATCH($S59,'03 Suppliers'!$B$5:$B$34,0)),"Excl VAT")="Incl VAT",'01 Control'!$C$6,0))/($T59*IFERROR(VLOOKUP($U59,'02 Lists'!$A$5:$B$18,2,FALSE()),1)))</f>
        <v/>
      </c>
      <c r="Y59" s="140" t="n"/>
      <c r="Z59" s="147" t="n"/>
      <c r="AA59" s="141" t="n"/>
      <c r="AB59" s="148" t="n"/>
      <c r="AC59" s="149" t="n"/>
      <c r="AD59" s="150">
        <f>IF(OR($AB59="",$Z59="",$Z59=0),"",$AB59/(1+IF(IFERROR(INDEX('03 Suppliers'!$N$5:$N$34,MATCH($Y59,'03 Suppliers'!$B$5:$B$34,0)),"Excl VAT")="Incl VAT",'01 Control'!$C$6,0))/($Z59*IFERROR(VLOOKUP($AA59,'02 Lists'!$A$5:$B$18,2,FALSE()),1)))</f>
        <v/>
      </c>
      <c r="AE59" s="140" t="n"/>
      <c r="AF59" s="147" t="n"/>
      <c r="AG59" s="141" t="n"/>
      <c r="AH59" s="148" t="n"/>
      <c r="AI59" s="149" t="n"/>
      <c r="AJ59" s="150">
        <f>IF(OR($AH59="",$AF59="",$AF59=0),"",$AH59/(1+IF(IFERROR(INDEX('03 Suppliers'!$N$5:$N$34,MATCH($AE59,'03 Suppliers'!$B$5:$B$34,0)),"Excl VAT")="Incl VAT",'01 Control'!$C$6,0))/($AF59*IFERROR(VLOOKUP($AG59,'02 Lists'!$A$5:$B$18,2,FALSE()),1)))</f>
        <v/>
      </c>
      <c r="AK59" s="151">
        <f>IF(COUNT(L59,R59,X59,AD59,AJ59)=0,"",MIN(L59,R59,X59,AD59,AJ59))</f>
        <v/>
      </c>
      <c r="AL59" s="126">
        <f>IF($AK59="","",IF(L59=$AK59,$G59,IF(R59=$AK59,$M59,IF(X59=$AK59,$S59,IF(AD59=$AK59,$Y59,IF(AJ59=$AK59,$AE59,""))))))</f>
        <v/>
      </c>
      <c r="AM59" s="151">
        <f>IF($AK59="","",$AK59/IF($E59="",1,$E59))</f>
        <v/>
      </c>
      <c r="AN59" s="152">
        <f>COUNT(L59,R59,X59,AD59,AJ59)</f>
        <v/>
      </c>
      <c r="AO59" s="150">
        <f>IF(COUNT(L59,R59,X59,AD59,AJ59)=0,"",MAX(L59,R59,X59,AD59,AJ59))</f>
        <v/>
      </c>
      <c r="AP59" s="153">
        <f>IF(OR($AK59="",$AO59="",$AO59=0),"",($AO59-$AK59)/$AO59)</f>
        <v/>
      </c>
      <c r="AQ59" s="154">
        <f>IF($AK59="","",IF(L59=$AK59,$K59,IF(R59=$AK59,$Q59,IF(X59=$AK59,$W59,IF(AD59=$AK59,$AC59,IF(AJ59=$AK59,$AI59,""))))))</f>
        <v/>
      </c>
    </row>
    <row r="60" ht="15" customHeight="1" s="106">
      <c r="A60" s="134" t="inlineStr">
        <is>
          <t>PP-VEG-SPINACH</t>
        </is>
      </c>
      <c r="B60" s="138" t="inlineStr">
        <is>
          <t>Vegetables</t>
        </is>
      </c>
      <c r="C60" s="113" t="inlineStr">
        <is>
          <t>Baby spinach</t>
        </is>
      </c>
      <c r="D60" s="139" t="inlineStr">
        <is>
          <t>g</t>
        </is>
      </c>
      <c r="E60" s="146" t="n">
        <v>0.9</v>
      </c>
      <c r="F60" s="116" t="n"/>
      <c r="G60" s="140" t="inlineStr">
        <is>
          <t>Ferreira Fresh</t>
        </is>
      </c>
      <c r="H60" s="147" t="n">
        <v>1</v>
      </c>
      <c r="I60" s="141" t="inlineStr">
        <is>
          <t>kg</t>
        </is>
      </c>
      <c r="J60" s="148" t="n">
        <v>129.5</v>
      </c>
      <c r="K60" s="149" t="n">
        <v>46251</v>
      </c>
      <c r="L60" s="150">
        <f>IF(OR($J60="",$H60="",$H60=0),"",$J60/(1+IF(IFERROR(INDEX('03 Suppliers'!$N$5:$N$34,MATCH($G60,'03 Suppliers'!$B$5:$B$34,0)),"Excl VAT")="Incl VAT",'01 Control'!$C$6,0))/($H60*IFERROR(VLOOKUP($I60,'02 Lists'!$A$5:$B$18,2,FALSE()),1)))</f>
        <v/>
      </c>
      <c r="M60" s="140" t="n"/>
      <c r="N60" s="147" t="n"/>
      <c r="O60" s="141" t="n"/>
      <c r="P60" s="148" t="n"/>
      <c r="Q60" s="149" t="n"/>
      <c r="R60" s="150">
        <f>IF(OR($P60="",$N60="",$N60=0),"",$P60/(1+IF(IFERROR(INDEX('03 Suppliers'!$N$5:$N$34,MATCH($M60,'03 Suppliers'!$B$5:$B$34,0)),"Excl VAT")="Incl VAT",'01 Control'!$C$6,0))/($N60*IFERROR(VLOOKUP($O60,'02 Lists'!$A$5:$B$18,2,FALSE()),1)))</f>
        <v/>
      </c>
      <c r="S60" s="140" t="n"/>
      <c r="T60" s="147" t="n"/>
      <c r="U60" s="141" t="n"/>
      <c r="V60" s="148" t="n"/>
      <c r="W60" s="149" t="n"/>
      <c r="X60" s="150">
        <f>IF(OR($V60="",$T60="",$T60=0),"",$V60/(1+IF(IFERROR(INDEX('03 Suppliers'!$N$5:$N$34,MATCH($S60,'03 Suppliers'!$B$5:$B$34,0)),"Excl VAT")="Incl VAT",'01 Control'!$C$6,0))/($T60*IFERROR(VLOOKUP($U60,'02 Lists'!$A$5:$B$18,2,FALSE()),1)))</f>
        <v/>
      </c>
      <c r="Y60" s="140" t="n"/>
      <c r="Z60" s="147" t="n"/>
      <c r="AA60" s="141" t="n"/>
      <c r="AB60" s="148" t="n"/>
      <c r="AC60" s="149" t="n"/>
      <c r="AD60" s="150">
        <f>IF(OR($AB60="",$Z60="",$Z60=0),"",$AB60/(1+IF(IFERROR(INDEX('03 Suppliers'!$N$5:$N$34,MATCH($Y60,'03 Suppliers'!$B$5:$B$34,0)),"Excl VAT")="Incl VAT",'01 Control'!$C$6,0))/($Z60*IFERROR(VLOOKUP($AA60,'02 Lists'!$A$5:$B$18,2,FALSE()),1)))</f>
        <v/>
      </c>
      <c r="AE60" s="140" t="n"/>
      <c r="AF60" s="147" t="n"/>
      <c r="AG60" s="141" t="n"/>
      <c r="AH60" s="148" t="n"/>
      <c r="AI60" s="149" t="n"/>
      <c r="AJ60" s="150">
        <f>IF(OR($AH60="",$AF60="",$AF60=0),"",$AH60/(1+IF(IFERROR(INDEX('03 Suppliers'!$N$5:$N$34,MATCH($AE60,'03 Suppliers'!$B$5:$B$34,0)),"Excl VAT")="Incl VAT",'01 Control'!$C$6,0))/($AF60*IFERROR(VLOOKUP($AG60,'02 Lists'!$A$5:$B$18,2,FALSE()),1)))</f>
        <v/>
      </c>
      <c r="AK60" s="151">
        <f>IF(COUNT(L60,R60,X60,AD60,AJ60)=0,"",MIN(L60,R60,X60,AD60,AJ60))</f>
        <v/>
      </c>
      <c r="AL60" s="126">
        <f>IF($AK60="","",IF(L60=$AK60,$G60,IF(R60=$AK60,$M60,IF(X60=$AK60,$S60,IF(AD60=$AK60,$Y60,IF(AJ60=$AK60,$AE60,""))))))</f>
        <v/>
      </c>
      <c r="AM60" s="151">
        <f>IF($AK60="","",$AK60/IF($E60="",1,$E60))</f>
        <v/>
      </c>
      <c r="AN60" s="152">
        <f>COUNT(L60,R60,X60,AD60,AJ60)</f>
        <v/>
      </c>
      <c r="AO60" s="150">
        <f>IF(COUNT(L60,R60,X60,AD60,AJ60)=0,"",MAX(L60,R60,X60,AD60,AJ60))</f>
        <v/>
      </c>
      <c r="AP60" s="153">
        <f>IF(OR($AK60="",$AO60="",$AO60=0),"",($AO60-$AK60)/$AO60)</f>
        <v/>
      </c>
      <c r="AQ60" s="154">
        <f>IF($AK60="","",IF(L60=$AK60,$K60,IF(R60=$AK60,$Q60,IF(X60=$AK60,$W60,IF(AD60=$AK60,$AC60,IF(AJ60=$AK60,$AI60,""))))))</f>
        <v/>
      </c>
    </row>
    <row r="61" ht="15" customHeight="1" s="106">
      <c r="A61" s="134" t="inlineStr">
        <is>
          <t>PP-VEG-BROCC</t>
        </is>
      </c>
      <c r="B61" s="138" t="inlineStr">
        <is>
          <t>Vegetables</t>
        </is>
      </c>
      <c r="C61" s="113" t="inlineStr">
        <is>
          <t>Broccoli</t>
        </is>
      </c>
      <c r="D61" s="139" t="inlineStr">
        <is>
          <t>g</t>
        </is>
      </c>
      <c r="E61" s="146" t="n">
        <v>0.8</v>
      </c>
      <c r="F61" s="116" t="n"/>
      <c r="G61" s="140" t="inlineStr">
        <is>
          <t>Ferreira Fresh</t>
        </is>
      </c>
      <c r="H61" s="147" t="n">
        <v>1</v>
      </c>
      <c r="I61" s="141" t="inlineStr">
        <is>
          <t>kg</t>
        </is>
      </c>
      <c r="J61" s="148" t="n">
        <v>79.90000000000001</v>
      </c>
      <c r="K61" s="149" t="n">
        <v>46251</v>
      </c>
      <c r="L61" s="150">
        <f>IF(OR($J61="",$H61="",$H61=0),"",$J61/(1+IF(IFERROR(INDEX('03 Suppliers'!$N$5:$N$34,MATCH($G61,'03 Suppliers'!$B$5:$B$34,0)),"Excl VAT")="Incl VAT",'01 Control'!$C$6,0))/($H61*IFERROR(VLOOKUP($I61,'02 Lists'!$A$5:$B$18,2,FALSE()),1)))</f>
        <v/>
      </c>
      <c r="M61" s="140" t="n"/>
      <c r="N61" s="147" t="n"/>
      <c r="O61" s="141" t="n"/>
      <c r="P61" s="148" t="n"/>
      <c r="Q61" s="149" t="n"/>
      <c r="R61" s="150">
        <f>IF(OR($P61="",$N61="",$N61=0),"",$P61/(1+IF(IFERROR(INDEX('03 Suppliers'!$N$5:$N$34,MATCH($M61,'03 Suppliers'!$B$5:$B$34,0)),"Excl VAT")="Incl VAT",'01 Control'!$C$6,0))/($N61*IFERROR(VLOOKUP($O61,'02 Lists'!$A$5:$B$18,2,FALSE()),1)))</f>
        <v/>
      </c>
      <c r="S61" s="140" t="n"/>
      <c r="T61" s="147" t="n"/>
      <c r="U61" s="141" t="n"/>
      <c r="V61" s="148" t="n"/>
      <c r="W61" s="149" t="n"/>
      <c r="X61" s="150">
        <f>IF(OR($V61="",$T61="",$T61=0),"",$V61/(1+IF(IFERROR(INDEX('03 Suppliers'!$N$5:$N$34,MATCH($S61,'03 Suppliers'!$B$5:$B$34,0)),"Excl VAT")="Incl VAT",'01 Control'!$C$6,0))/($T61*IFERROR(VLOOKUP($U61,'02 Lists'!$A$5:$B$18,2,FALSE()),1)))</f>
        <v/>
      </c>
      <c r="Y61" s="140" t="n"/>
      <c r="Z61" s="147" t="n"/>
      <c r="AA61" s="141" t="n"/>
      <c r="AB61" s="148" t="n"/>
      <c r="AC61" s="149" t="n"/>
      <c r="AD61" s="150">
        <f>IF(OR($AB61="",$Z61="",$Z61=0),"",$AB61/(1+IF(IFERROR(INDEX('03 Suppliers'!$N$5:$N$34,MATCH($Y61,'03 Suppliers'!$B$5:$B$34,0)),"Excl VAT")="Incl VAT",'01 Control'!$C$6,0))/($Z61*IFERROR(VLOOKUP($AA61,'02 Lists'!$A$5:$B$18,2,FALSE()),1)))</f>
        <v/>
      </c>
      <c r="AE61" s="140" t="n"/>
      <c r="AF61" s="147" t="n"/>
      <c r="AG61" s="141" t="n"/>
      <c r="AH61" s="148" t="n"/>
      <c r="AI61" s="149" t="n"/>
      <c r="AJ61" s="150">
        <f>IF(OR($AH61="",$AF61="",$AF61=0),"",$AH61/(1+IF(IFERROR(INDEX('03 Suppliers'!$N$5:$N$34,MATCH($AE61,'03 Suppliers'!$B$5:$B$34,0)),"Excl VAT")="Incl VAT",'01 Control'!$C$6,0))/($AF61*IFERROR(VLOOKUP($AG61,'02 Lists'!$A$5:$B$18,2,FALSE()),1)))</f>
        <v/>
      </c>
      <c r="AK61" s="151">
        <f>IF(COUNT(L61,R61,X61,AD61,AJ61)=0,"",MIN(L61,R61,X61,AD61,AJ61))</f>
        <v/>
      </c>
      <c r="AL61" s="126">
        <f>IF($AK61="","",IF(L61=$AK61,$G61,IF(R61=$AK61,$M61,IF(X61=$AK61,$S61,IF(AD61=$AK61,$Y61,IF(AJ61=$AK61,$AE61,""))))))</f>
        <v/>
      </c>
      <c r="AM61" s="151">
        <f>IF($AK61="","",$AK61/IF($E61="",1,$E61))</f>
        <v/>
      </c>
      <c r="AN61" s="152">
        <f>COUNT(L61,R61,X61,AD61,AJ61)</f>
        <v/>
      </c>
      <c r="AO61" s="150">
        <f>IF(COUNT(L61,R61,X61,AD61,AJ61)=0,"",MAX(L61,R61,X61,AD61,AJ61))</f>
        <v/>
      </c>
      <c r="AP61" s="153">
        <f>IF(OR($AK61="",$AO61="",$AO61=0),"",($AO61-$AK61)/$AO61)</f>
        <v/>
      </c>
      <c r="AQ61" s="154">
        <f>IF($AK61="","",IF(L61=$AK61,$K61,IF(R61=$AK61,$Q61,IF(X61=$AK61,$W61,IF(AD61=$AK61,$AC61,IF(AJ61=$AK61,$AI61,""))))))</f>
        <v/>
      </c>
    </row>
    <row r="62" ht="15" customHeight="1" s="106">
      <c r="A62" s="134" t="inlineStr">
        <is>
          <t>PP-VEG-PEPPER</t>
        </is>
      </c>
      <c r="B62" s="138" t="inlineStr">
        <is>
          <t>Vegetables</t>
        </is>
      </c>
      <c r="C62" s="113" t="inlineStr">
        <is>
          <t>Bell peppers / mixed peppers</t>
        </is>
      </c>
      <c r="D62" s="139" t="inlineStr">
        <is>
          <t>g</t>
        </is>
      </c>
      <c r="E62" s="146" t="n">
        <v>0.85</v>
      </c>
      <c r="F62" s="116" t="n"/>
      <c r="G62" s="140" t="inlineStr">
        <is>
          <t>Ferreira Fresh</t>
        </is>
      </c>
      <c r="H62" s="147" t="n">
        <v>1</v>
      </c>
      <c r="I62" s="141" t="inlineStr">
        <is>
          <t>kg</t>
        </is>
      </c>
      <c r="J62" s="148" t="n">
        <v>39.5</v>
      </c>
      <c r="K62" s="149" t="n">
        <v>46251</v>
      </c>
      <c r="L62" s="150">
        <f>IF(OR($J62="",$H62="",$H62=0),"",$J62/(1+IF(IFERROR(INDEX('03 Suppliers'!$N$5:$N$34,MATCH($G62,'03 Suppliers'!$B$5:$B$34,0)),"Excl VAT")="Incl VAT",'01 Control'!$C$6,0))/($H62*IFERROR(VLOOKUP($I62,'02 Lists'!$A$5:$B$18,2,FALSE()),1)))</f>
        <v/>
      </c>
      <c r="M62" s="140" t="n"/>
      <c r="N62" s="147" t="n"/>
      <c r="O62" s="141" t="n"/>
      <c r="P62" s="148" t="n"/>
      <c r="Q62" s="149" t="n"/>
      <c r="R62" s="150">
        <f>IF(OR($P62="",$N62="",$N62=0),"",$P62/(1+IF(IFERROR(INDEX('03 Suppliers'!$N$5:$N$34,MATCH($M62,'03 Suppliers'!$B$5:$B$34,0)),"Excl VAT")="Incl VAT",'01 Control'!$C$6,0))/($N62*IFERROR(VLOOKUP($O62,'02 Lists'!$A$5:$B$18,2,FALSE()),1)))</f>
        <v/>
      </c>
      <c r="S62" s="140" t="n"/>
      <c r="T62" s="147" t="n"/>
      <c r="U62" s="141" t="n"/>
      <c r="V62" s="148" t="n"/>
      <c r="W62" s="149" t="n"/>
      <c r="X62" s="150">
        <f>IF(OR($V62="",$T62="",$T62=0),"",$V62/(1+IF(IFERROR(INDEX('03 Suppliers'!$N$5:$N$34,MATCH($S62,'03 Suppliers'!$B$5:$B$34,0)),"Excl VAT")="Incl VAT",'01 Control'!$C$6,0))/($T62*IFERROR(VLOOKUP($U62,'02 Lists'!$A$5:$B$18,2,FALSE()),1)))</f>
        <v/>
      </c>
      <c r="Y62" s="140" t="n"/>
      <c r="Z62" s="147" t="n"/>
      <c r="AA62" s="141" t="n"/>
      <c r="AB62" s="148" t="n"/>
      <c r="AC62" s="149" t="n"/>
      <c r="AD62" s="150">
        <f>IF(OR($AB62="",$Z62="",$Z62=0),"",$AB62/(1+IF(IFERROR(INDEX('03 Suppliers'!$N$5:$N$34,MATCH($Y62,'03 Suppliers'!$B$5:$B$34,0)),"Excl VAT")="Incl VAT",'01 Control'!$C$6,0))/($Z62*IFERROR(VLOOKUP($AA62,'02 Lists'!$A$5:$B$18,2,FALSE()),1)))</f>
        <v/>
      </c>
      <c r="AE62" s="140" t="n"/>
      <c r="AF62" s="147" t="n"/>
      <c r="AG62" s="141" t="n"/>
      <c r="AH62" s="148" t="n"/>
      <c r="AI62" s="149" t="n"/>
      <c r="AJ62" s="150">
        <f>IF(OR($AH62="",$AF62="",$AF62=0),"",$AH62/(1+IF(IFERROR(INDEX('03 Suppliers'!$N$5:$N$34,MATCH($AE62,'03 Suppliers'!$B$5:$B$34,0)),"Excl VAT")="Incl VAT",'01 Control'!$C$6,0))/($AF62*IFERROR(VLOOKUP($AG62,'02 Lists'!$A$5:$B$18,2,FALSE()),1)))</f>
        <v/>
      </c>
      <c r="AK62" s="151">
        <f>IF(COUNT(L62,R62,X62,AD62,AJ62)=0,"",MIN(L62,R62,X62,AD62,AJ62))</f>
        <v/>
      </c>
      <c r="AL62" s="126">
        <f>IF($AK62="","",IF(L62=$AK62,$G62,IF(R62=$AK62,$M62,IF(X62=$AK62,$S62,IF(AD62=$AK62,$Y62,IF(AJ62=$AK62,$AE62,""))))))</f>
        <v/>
      </c>
      <c r="AM62" s="151">
        <f>IF($AK62="","",$AK62/IF($E62="",1,$E62))</f>
        <v/>
      </c>
      <c r="AN62" s="152">
        <f>COUNT(L62,R62,X62,AD62,AJ62)</f>
        <v/>
      </c>
      <c r="AO62" s="150">
        <f>IF(COUNT(L62,R62,X62,AD62,AJ62)=0,"",MAX(L62,R62,X62,AD62,AJ62))</f>
        <v/>
      </c>
      <c r="AP62" s="153">
        <f>IF(OR($AK62="",$AO62="",$AO62=0),"",($AO62-$AK62)/$AO62)</f>
        <v/>
      </c>
      <c r="AQ62" s="154">
        <f>IF($AK62="","",IF(L62=$AK62,$K62,IF(R62=$AK62,$Q62,IF(X62=$AK62,$W62,IF(AD62=$AK62,$AC62,IF(AJ62=$AK62,$AI62,""))))))</f>
        <v/>
      </c>
    </row>
    <row r="63" ht="15" customHeight="1" s="106">
      <c r="A63" s="134" t="inlineStr">
        <is>
          <t>PP-VEG-ZUCCHINI</t>
        </is>
      </c>
      <c r="B63" s="138" t="inlineStr">
        <is>
          <t>Vegetables</t>
        </is>
      </c>
      <c r="C63" s="113" t="inlineStr">
        <is>
          <t>Baby marrow / zucchini</t>
        </is>
      </c>
      <c r="D63" s="139" t="inlineStr">
        <is>
          <t>g</t>
        </is>
      </c>
      <c r="E63" s="146" t="n">
        <v>0.95</v>
      </c>
      <c r="F63" s="116" t="n"/>
      <c r="G63" s="140" t="inlineStr">
        <is>
          <t>Ferreira Fresh</t>
        </is>
      </c>
      <c r="H63" s="147" t="n">
        <v>1</v>
      </c>
      <c r="I63" s="141" t="inlineStr">
        <is>
          <t>kg</t>
        </is>
      </c>
      <c r="J63" s="148" t="n">
        <v>26.9</v>
      </c>
      <c r="K63" s="149" t="n">
        <v>46251</v>
      </c>
      <c r="L63" s="150">
        <f>IF(OR($J63="",$H63="",$H63=0),"",$J63/(1+IF(IFERROR(INDEX('03 Suppliers'!$N$5:$N$34,MATCH($G63,'03 Suppliers'!$B$5:$B$34,0)),"Excl VAT")="Incl VAT",'01 Control'!$C$6,0))/($H63*IFERROR(VLOOKUP($I63,'02 Lists'!$A$5:$B$18,2,FALSE()),1)))</f>
        <v/>
      </c>
      <c r="M63" s="140" t="n"/>
      <c r="N63" s="147" t="n"/>
      <c r="O63" s="141" t="n"/>
      <c r="P63" s="148" t="n"/>
      <c r="Q63" s="149" t="n"/>
      <c r="R63" s="150">
        <f>IF(OR($P63="",$N63="",$N63=0),"",$P63/(1+IF(IFERROR(INDEX('03 Suppliers'!$N$5:$N$34,MATCH($M63,'03 Suppliers'!$B$5:$B$34,0)),"Excl VAT")="Incl VAT",'01 Control'!$C$6,0))/($N63*IFERROR(VLOOKUP($O63,'02 Lists'!$A$5:$B$18,2,FALSE()),1)))</f>
        <v/>
      </c>
      <c r="S63" s="140" t="n"/>
      <c r="T63" s="147" t="n"/>
      <c r="U63" s="141" t="n"/>
      <c r="V63" s="148" t="n"/>
      <c r="W63" s="149" t="n"/>
      <c r="X63" s="150">
        <f>IF(OR($V63="",$T63="",$T63=0),"",$V63/(1+IF(IFERROR(INDEX('03 Suppliers'!$N$5:$N$34,MATCH($S63,'03 Suppliers'!$B$5:$B$34,0)),"Excl VAT")="Incl VAT",'01 Control'!$C$6,0))/($T63*IFERROR(VLOOKUP($U63,'02 Lists'!$A$5:$B$18,2,FALSE()),1)))</f>
        <v/>
      </c>
      <c r="Y63" s="140" t="n"/>
      <c r="Z63" s="147" t="n"/>
      <c r="AA63" s="141" t="n"/>
      <c r="AB63" s="148" t="n"/>
      <c r="AC63" s="149" t="n"/>
      <c r="AD63" s="150">
        <f>IF(OR($AB63="",$Z63="",$Z63=0),"",$AB63/(1+IF(IFERROR(INDEX('03 Suppliers'!$N$5:$N$34,MATCH($Y63,'03 Suppliers'!$B$5:$B$34,0)),"Excl VAT")="Incl VAT",'01 Control'!$C$6,0))/($Z63*IFERROR(VLOOKUP($AA63,'02 Lists'!$A$5:$B$18,2,FALSE()),1)))</f>
        <v/>
      </c>
      <c r="AE63" s="140" t="n"/>
      <c r="AF63" s="147" t="n"/>
      <c r="AG63" s="141" t="n"/>
      <c r="AH63" s="148" t="n"/>
      <c r="AI63" s="149" t="n"/>
      <c r="AJ63" s="150">
        <f>IF(OR($AH63="",$AF63="",$AF63=0),"",$AH63/(1+IF(IFERROR(INDEX('03 Suppliers'!$N$5:$N$34,MATCH($AE63,'03 Suppliers'!$B$5:$B$34,0)),"Excl VAT")="Incl VAT",'01 Control'!$C$6,0))/($AF63*IFERROR(VLOOKUP($AG63,'02 Lists'!$A$5:$B$18,2,FALSE()),1)))</f>
        <v/>
      </c>
      <c r="AK63" s="151">
        <f>IF(COUNT(L63,R63,X63,AD63,AJ63)=0,"",MIN(L63,R63,X63,AD63,AJ63))</f>
        <v/>
      </c>
      <c r="AL63" s="126">
        <f>IF($AK63="","",IF(L63=$AK63,$G63,IF(R63=$AK63,$M63,IF(X63=$AK63,$S63,IF(AD63=$AK63,$Y63,IF(AJ63=$AK63,$AE63,""))))))</f>
        <v/>
      </c>
      <c r="AM63" s="151">
        <f>IF($AK63="","",$AK63/IF($E63="",1,$E63))</f>
        <v/>
      </c>
      <c r="AN63" s="152">
        <f>COUNT(L63,R63,X63,AD63,AJ63)</f>
        <v/>
      </c>
      <c r="AO63" s="150">
        <f>IF(COUNT(L63,R63,X63,AD63,AJ63)=0,"",MAX(L63,R63,X63,AD63,AJ63))</f>
        <v/>
      </c>
      <c r="AP63" s="153">
        <f>IF(OR($AK63="",$AO63="",$AO63=0),"",($AO63-$AK63)/$AO63)</f>
        <v/>
      </c>
      <c r="AQ63" s="154">
        <f>IF($AK63="","",IF(L63=$AK63,$K63,IF(R63=$AK63,$Q63,IF(X63=$AK63,$W63,IF(AD63=$AK63,$AC63,IF(AJ63=$AK63,$AI63,""))))))</f>
        <v/>
      </c>
    </row>
    <row r="64" ht="15" customHeight="1" s="106">
      <c r="A64" s="134" t="inlineStr">
        <is>
          <t>PP-VEG-CHERRYTOM</t>
        </is>
      </c>
      <c r="B64" s="138" t="inlineStr">
        <is>
          <t>Vegetables</t>
        </is>
      </c>
      <c r="C64" s="113" t="inlineStr">
        <is>
          <t>Cherry tomatoes</t>
        </is>
      </c>
      <c r="D64" s="139" t="inlineStr">
        <is>
          <t>g</t>
        </is>
      </c>
      <c r="E64" s="146" t="n">
        <v>0.95</v>
      </c>
      <c r="F64" s="116" t="inlineStr">
        <is>
          <t>Salad base</t>
        </is>
      </c>
      <c r="G64" s="140" t="n"/>
      <c r="H64" s="147" t="n"/>
      <c r="I64" s="141" t="n"/>
      <c r="J64" s="148" t="n"/>
      <c r="K64" s="149" t="n"/>
      <c r="L64" s="150">
        <f>IF(OR($J64="",$H64="",$H64=0),"",$J64/(1+IF(IFERROR(INDEX('03 Suppliers'!$N$5:$N$34,MATCH($G64,'03 Suppliers'!$B$5:$B$34,0)),"Excl VAT")="Incl VAT",'01 Control'!$C$6,0))/($H64*IFERROR(VLOOKUP($I64,'02 Lists'!$A$5:$B$18,2,FALSE()),1)))</f>
        <v/>
      </c>
      <c r="M64" s="140" t="n"/>
      <c r="N64" s="147" t="n"/>
      <c r="O64" s="141" t="n"/>
      <c r="P64" s="148" t="n"/>
      <c r="Q64" s="149" t="n"/>
      <c r="R64" s="150">
        <f>IF(OR($P64="",$N64="",$N64=0),"",$P64/(1+IF(IFERROR(INDEX('03 Suppliers'!$N$5:$N$34,MATCH($M64,'03 Suppliers'!$B$5:$B$34,0)),"Excl VAT")="Incl VAT",'01 Control'!$C$6,0))/($N64*IFERROR(VLOOKUP($O64,'02 Lists'!$A$5:$B$18,2,FALSE()),1)))</f>
        <v/>
      </c>
      <c r="S64" s="140" t="n"/>
      <c r="T64" s="147" t="n"/>
      <c r="U64" s="141" t="n"/>
      <c r="V64" s="148" t="n"/>
      <c r="W64" s="149" t="n"/>
      <c r="X64" s="150">
        <f>IF(OR($V64="",$T64="",$T64=0),"",$V64/(1+IF(IFERROR(INDEX('03 Suppliers'!$N$5:$N$34,MATCH($S64,'03 Suppliers'!$B$5:$B$34,0)),"Excl VAT")="Incl VAT",'01 Control'!$C$6,0))/($T64*IFERROR(VLOOKUP($U64,'02 Lists'!$A$5:$B$18,2,FALSE()),1)))</f>
        <v/>
      </c>
      <c r="Y64" s="140" t="n"/>
      <c r="Z64" s="147" t="n"/>
      <c r="AA64" s="141" t="n"/>
      <c r="AB64" s="148" t="n"/>
      <c r="AC64" s="149" t="n"/>
      <c r="AD64" s="150">
        <f>IF(OR($AB64="",$Z64="",$Z64=0),"",$AB64/(1+IF(IFERROR(INDEX('03 Suppliers'!$N$5:$N$34,MATCH($Y64,'03 Suppliers'!$B$5:$B$34,0)),"Excl VAT")="Incl VAT",'01 Control'!$C$6,0))/($Z64*IFERROR(VLOOKUP($AA64,'02 Lists'!$A$5:$B$18,2,FALSE()),1)))</f>
        <v/>
      </c>
      <c r="AE64" s="140" t="n"/>
      <c r="AF64" s="147" t="n"/>
      <c r="AG64" s="141" t="n"/>
      <c r="AH64" s="148" t="n"/>
      <c r="AI64" s="149" t="n"/>
      <c r="AJ64" s="150">
        <f>IF(OR($AH64="",$AF64="",$AF64=0),"",$AH64/(1+IF(IFERROR(INDEX('03 Suppliers'!$N$5:$N$34,MATCH($AE64,'03 Suppliers'!$B$5:$B$34,0)),"Excl VAT")="Incl VAT",'01 Control'!$C$6,0))/($AF64*IFERROR(VLOOKUP($AG64,'02 Lists'!$A$5:$B$18,2,FALSE()),1)))</f>
        <v/>
      </c>
      <c r="AK64" s="151">
        <f>IF(COUNT(L64,R64,X64,AD64,AJ64)=0,"",MIN(L64,R64,X64,AD64,AJ64))</f>
        <v/>
      </c>
      <c r="AL64" s="126">
        <f>IF($AK64="","",IF(L64=$AK64,$G64,IF(R64=$AK64,$M64,IF(X64=$AK64,$S64,IF(AD64=$AK64,$Y64,IF(AJ64=$AK64,$AE64,""))))))</f>
        <v/>
      </c>
      <c r="AM64" s="151">
        <f>IF($AK64="","",$AK64/IF($E64="",1,$E64))</f>
        <v/>
      </c>
      <c r="AN64" s="152">
        <f>COUNT(L64,R64,X64,AD64,AJ64)</f>
        <v/>
      </c>
      <c r="AO64" s="150">
        <f>IF(COUNT(L64,R64,X64,AD64,AJ64)=0,"",MAX(L64,R64,X64,AD64,AJ64))</f>
        <v/>
      </c>
      <c r="AP64" s="153">
        <f>IF(OR($AK64="",$AO64="",$AO64=0),"",($AO64-$AK64)/$AO64)</f>
        <v/>
      </c>
      <c r="AQ64" s="154">
        <f>IF($AK64="","",IF(L64=$AK64,$K64,IF(R64=$AK64,$Q64,IF(X64=$AK64,$W64,IF(AD64=$AK64,$AC64,IF(AJ64=$AK64,$AI64,""))))))</f>
        <v/>
      </c>
    </row>
    <row r="65" ht="15" customHeight="1" s="106">
      <c r="A65" s="134" t="inlineStr">
        <is>
          <t>PP-VEG-SUNDRIEDTOM</t>
        </is>
      </c>
      <c r="B65" s="138" t="inlineStr">
        <is>
          <t>Vegetables</t>
        </is>
      </c>
      <c r="C65" s="113" t="inlineStr">
        <is>
          <t>Sun-dried tomatoes</t>
        </is>
      </c>
      <c r="D65" s="139" t="inlineStr">
        <is>
          <t>g</t>
        </is>
      </c>
      <c r="E65" s="146" t="n">
        <v>1</v>
      </c>
      <c r="F65" s="116" t="inlineStr">
        <is>
          <t>Y3 Mediterranean</t>
        </is>
      </c>
      <c r="G65" s="140" t="inlineStr">
        <is>
          <t>Ferreira Fresh</t>
        </is>
      </c>
      <c r="H65" s="147" t="n">
        <v>1</v>
      </c>
      <c r="I65" s="141" t="inlineStr">
        <is>
          <t>kg</t>
        </is>
      </c>
      <c r="J65" s="148" t="n">
        <v>318.5</v>
      </c>
      <c r="K65" s="149" t="n">
        <v>46251</v>
      </c>
      <c r="L65" s="150">
        <f>IF(OR($J65="",$H65="",$H65=0),"",$J65/(1+IF(IFERROR(INDEX('03 Suppliers'!$N$5:$N$34,MATCH($G65,'03 Suppliers'!$B$5:$B$34,0)),"Excl VAT")="Incl VAT",'01 Control'!$C$6,0))/($H65*IFERROR(VLOOKUP($I65,'02 Lists'!$A$5:$B$18,2,FALSE()),1)))</f>
        <v/>
      </c>
      <c r="M65" s="140" t="n"/>
      <c r="N65" s="147" t="n"/>
      <c r="O65" s="141" t="n"/>
      <c r="P65" s="148" t="n"/>
      <c r="Q65" s="149" t="n"/>
      <c r="R65" s="150">
        <f>IF(OR($P65="",$N65="",$N65=0),"",$P65/(1+IF(IFERROR(INDEX('03 Suppliers'!$N$5:$N$34,MATCH($M65,'03 Suppliers'!$B$5:$B$34,0)),"Excl VAT")="Incl VAT",'01 Control'!$C$6,0))/($N65*IFERROR(VLOOKUP($O65,'02 Lists'!$A$5:$B$18,2,FALSE()),1)))</f>
        <v/>
      </c>
      <c r="S65" s="140" t="n"/>
      <c r="T65" s="147" t="n"/>
      <c r="U65" s="141" t="n"/>
      <c r="V65" s="148" t="n"/>
      <c r="W65" s="149" t="n"/>
      <c r="X65" s="150">
        <f>IF(OR($V65="",$T65="",$T65=0),"",$V65/(1+IF(IFERROR(INDEX('03 Suppliers'!$N$5:$N$34,MATCH($S65,'03 Suppliers'!$B$5:$B$34,0)),"Excl VAT")="Incl VAT",'01 Control'!$C$6,0))/($T65*IFERROR(VLOOKUP($U65,'02 Lists'!$A$5:$B$18,2,FALSE()),1)))</f>
        <v/>
      </c>
      <c r="Y65" s="140" t="n"/>
      <c r="Z65" s="147" t="n"/>
      <c r="AA65" s="141" t="n"/>
      <c r="AB65" s="148" t="n"/>
      <c r="AC65" s="149" t="n"/>
      <c r="AD65" s="150">
        <f>IF(OR($AB65="",$Z65="",$Z65=0),"",$AB65/(1+IF(IFERROR(INDEX('03 Suppliers'!$N$5:$N$34,MATCH($Y65,'03 Suppliers'!$B$5:$B$34,0)),"Excl VAT")="Incl VAT",'01 Control'!$C$6,0))/($Z65*IFERROR(VLOOKUP($AA65,'02 Lists'!$A$5:$B$18,2,FALSE()),1)))</f>
        <v/>
      </c>
      <c r="AE65" s="140" t="n"/>
      <c r="AF65" s="147" t="n"/>
      <c r="AG65" s="141" t="n"/>
      <c r="AH65" s="148" t="n"/>
      <c r="AI65" s="149" t="n"/>
      <c r="AJ65" s="150">
        <f>IF(OR($AH65="",$AF65="",$AF65=0),"",$AH65/(1+IF(IFERROR(INDEX('03 Suppliers'!$N$5:$N$34,MATCH($AE65,'03 Suppliers'!$B$5:$B$34,0)),"Excl VAT")="Incl VAT",'01 Control'!$C$6,0))/($AF65*IFERROR(VLOOKUP($AG65,'02 Lists'!$A$5:$B$18,2,FALSE()),1)))</f>
        <v/>
      </c>
      <c r="AK65" s="151">
        <f>IF(COUNT(L65,R65,X65,AD65,AJ65)=0,"",MIN(L65,R65,X65,AD65,AJ65))</f>
        <v/>
      </c>
      <c r="AL65" s="126">
        <f>IF($AK65="","",IF(L65=$AK65,$G65,IF(R65=$AK65,$M65,IF(X65=$AK65,$S65,IF(AD65=$AK65,$Y65,IF(AJ65=$AK65,$AE65,""))))))</f>
        <v/>
      </c>
      <c r="AM65" s="151">
        <f>IF($AK65="","",$AK65/IF($E65="",1,$E65))</f>
        <v/>
      </c>
      <c r="AN65" s="152">
        <f>COUNT(L65,R65,X65,AD65,AJ65)</f>
        <v/>
      </c>
      <c r="AO65" s="150">
        <f>IF(COUNT(L65,R65,X65,AD65,AJ65)=0,"",MAX(L65,R65,X65,AD65,AJ65))</f>
        <v/>
      </c>
      <c r="AP65" s="153">
        <f>IF(OR($AK65="",$AO65="",$AO65=0),"",($AO65-$AK65)/$AO65)</f>
        <v/>
      </c>
      <c r="AQ65" s="154">
        <f>IF($AK65="","",IF(L65=$AK65,$K65,IF(R65=$AK65,$Q65,IF(X65=$AK65,$W65,IF(AD65=$AK65,$AC65,IF(AJ65=$AK65,$AI65,""))))))</f>
        <v/>
      </c>
    </row>
    <row r="66" ht="15" customHeight="1" s="106">
      <c r="A66" s="134" t="inlineStr">
        <is>
          <t>PP-VEG-SWEETCORN</t>
        </is>
      </c>
      <c r="B66" s="138" t="inlineStr">
        <is>
          <t>Vegetables</t>
        </is>
      </c>
      <c r="C66" s="113" t="inlineStr">
        <is>
          <t>Sweetcorn</t>
        </is>
      </c>
      <c r="D66" s="139" t="inlineStr">
        <is>
          <t>g</t>
        </is>
      </c>
      <c r="E66" s="146" t="n">
        <v>1</v>
      </c>
      <c r="F66" s="116" t="inlineStr">
        <is>
          <t>Rainbow salad</t>
        </is>
      </c>
      <c r="G66" s="140" t="inlineStr">
        <is>
          <t>Ferreira Fresh</t>
        </is>
      </c>
      <c r="H66" s="147" t="n">
        <v>1</v>
      </c>
      <c r="I66" s="141" t="inlineStr">
        <is>
          <t>kg</t>
        </is>
      </c>
      <c r="J66" s="148" t="n">
        <v>49.9</v>
      </c>
      <c r="K66" s="149" t="n">
        <v>46251</v>
      </c>
      <c r="L66" s="150">
        <f>IF(OR($J66="",$H66="",$H66=0),"",$J66/(1+IF(IFERROR(INDEX('03 Suppliers'!$N$5:$N$34,MATCH($G66,'03 Suppliers'!$B$5:$B$34,0)),"Excl VAT")="Incl VAT",'01 Control'!$C$6,0))/($H66*IFERROR(VLOOKUP($I66,'02 Lists'!$A$5:$B$18,2,FALSE()),1)))</f>
        <v/>
      </c>
      <c r="M66" s="140" t="n"/>
      <c r="N66" s="147" t="n"/>
      <c r="O66" s="141" t="n"/>
      <c r="P66" s="148" t="n"/>
      <c r="Q66" s="149" t="n"/>
      <c r="R66" s="150">
        <f>IF(OR($P66="",$N66="",$N66=0),"",$P66/(1+IF(IFERROR(INDEX('03 Suppliers'!$N$5:$N$34,MATCH($M66,'03 Suppliers'!$B$5:$B$34,0)),"Excl VAT")="Incl VAT",'01 Control'!$C$6,0))/($N66*IFERROR(VLOOKUP($O66,'02 Lists'!$A$5:$B$18,2,FALSE()),1)))</f>
        <v/>
      </c>
      <c r="S66" s="140" t="n"/>
      <c r="T66" s="147" t="n"/>
      <c r="U66" s="141" t="n"/>
      <c r="V66" s="148" t="n"/>
      <c r="W66" s="149" t="n"/>
      <c r="X66" s="150">
        <f>IF(OR($V66="",$T66="",$T66=0),"",$V66/(1+IF(IFERROR(INDEX('03 Suppliers'!$N$5:$N$34,MATCH($S66,'03 Suppliers'!$B$5:$B$34,0)),"Excl VAT")="Incl VAT",'01 Control'!$C$6,0))/($T66*IFERROR(VLOOKUP($U66,'02 Lists'!$A$5:$B$18,2,FALSE()),1)))</f>
        <v/>
      </c>
      <c r="Y66" s="140" t="n"/>
      <c r="Z66" s="147" t="n"/>
      <c r="AA66" s="141" t="n"/>
      <c r="AB66" s="148" t="n"/>
      <c r="AC66" s="149" t="n"/>
      <c r="AD66" s="150">
        <f>IF(OR($AB66="",$Z66="",$Z66=0),"",$AB66/(1+IF(IFERROR(INDEX('03 Suppliers'!$N$5:$N$34,MATCH($Y66,'03 Suppliers'!$B$5:$B$34,0)),"Excl VAT")="Incl VAT",'01 Control'!$C$6,0))/($Z66*IFERROR(VLOOKUP($AA66,'02 Lists'!$A$5:$B$18,2,FALSE()),1)))</f>
        <v/>
      </c>
      <c r="AE66" s="140" t="n"/>
      <c r="AF66" s="147" t="n"/>
      <c r="AG66" s="141" t="n"/>
      <c r="AH66" s="148" t="n"/>
      <c r="AI66" s="149" t="n"/>
      <c r="AJ66" s="150">
        <f>IF(OR($AH66="",$AF66="",$AF66=0),"",$AH66/(1+IF(IFERROR(INDEX('03 Suppliers'!$N$5:$N$34,MATCH($AE66,'03 Suppliers'!$B$5:$B$34,0)),"Excl VAT")="Incl VAT",'01 Control'!$C$6,0))/($AF66*IFERROR(VLOOKUP($AG66,'02 Lists'!$A$5:$B$18,2,FALSE()),1)))</f>
        <v/>
      </c>
      <c r="AK66" s="151">
        <f>IF(COUNT(L66,R66,X66,AD66,AJ66)=0,"",MIN(L66,R66,X66,AD66,AJ66))</f>
        <v/>
      </c>
      <c r="AL66" s="126">
        <f>IF($AK66="","",IF(L66=$AK66,$G66,IF(R66=$AK66,$M66,IF(X66=$AK66,$S66,IF(AD66=$AK66,$Y66,IF(AJ66=$AK66,$AE66,""))))))</f>
        <v/>
      </c>
      <c r="AM66" s="151">
        <f>IF($AK66="","",$AK66/IF($E66="",1,$E66))</f>
        <v/>
      </c>
      <c r="AN66" s="152">
        <f>COUNT(L66,R66,X66,AD66,AJ66)</f>
        <v/>
      </c>
      <c r="AO66" s="150">
        <f>IF(COUNT(L66,R66,X66,AD66,AJ66)=0,"",MAX(L66,R66,X66,AD66,AJ66))</f>
        <v/>
      </c>
      <c r="AP66" s="153">
        <f>IF(OR($AK66="",$AO66="",$AO66=0),"",($AO66-$AK66)/$AO66)</f>
        <v/>
      </c>
      <c r="AQ66" s="154">
        <f>IF($AK66="","",IF(L66=$AK66,$K66,IF(R66=$AK66,$Q66,IF(X66=$AK66,$W66,IF(AD66=$AK66,$AC66,IF(AJ66=$AK66,$AI66,""))))))</f>
        <v/>
      </c>
    </row>
    <row r="67" ht="33.75" customHeight="1" s="106">
      <c r="A67" s="134" t="inlineStr">
        <is>
          <t>PP-VEG-PEAS</t>
        </is>
      </c>
      <c r="B67" s="138" t="inlineStr">
        <is>
          <t>Vegetables</t>
        </is>
      </c>
      <c r="C67" s="113" t="inlineStr">
        <is>
          <t>Peas</t>
        </is>
      </c>
      <c r="D67" s="139" t="inlineStr">
        <is>
          <t>g</t>
        </is>
      </c>
      <c r="E67" s="146" t="n">
        <v>1</v>
      </c>
      <c r="F67" s="155" t="inlineStr">
        <is>
          <t>Spring seasonal  CHECK THE UNIT: the carried-over quote reads R348.50/kg, which is out of line with the rest of the list. Confirm per-kg vs pack price before this reaches a menu price.</t>
        </is>
      </c>
      <c r="G67" s="140" t="inlineStr">
        <is>
          <t>Ferreira Fresh</t>
        </is>
      </c>
      <c r="H67" s="147" t="n">
        <v>1</v>
      </c>
      <c r="I67" s="141" t="inlineStr">
        <is>
          <t>kg</t>
        </is>
      </c>
      <c r="J67" s="156" t="n">
        <v>348.5</v>
      </c>
      <c r="K67" s="149" t="n">
        <v>46251</v>
      </c>
      <c r="L67" s="150">
        <f>IF(OR($J67="",$H67="",$H67=0),"",$J67/(1+IF(IFERROR(INDEX('03 Suppliers'!$N$5:$N$34,MATCH($G67,'03 Suppliers'!$B$5:$B$34,0)),"Excl VAT")="Incl VAT",'01 Control'!$C$6,0))/($H67*IFERROR(VLOOKUP($I67,'02 Lists'!$A$5:$B$18,2,FALSE()),1)))</f>
        <v/>
      </c>
      <c r="M67" s="140" t="n"/>
      <c r="N67" s="147" t="n"/>
      <c r="O67" s="141" t="n"/>
      <c r="P67" s="148" t="n"/>
      <c r="Q67" s="149" t="n"/>
      <c r="R67" s="150">
        <f>IF(OR($P67="",$N67="",$N67=0),"",$P67/(1+IF(IFERROR(INDEX('03 Suppliers'!$N$5:$N$34,MATCH($M67,'03 Suppliers'!$B$5:$B$34,0)),"Excl VAT")="Incl VAT",'01 Control'!$C$6,0))/($N67*IFERROR(VLOOKUP($O67,'02 Lists'!$A$5:$B$18,2,FALSE()),1)))</f>
        <v/>
      </c>
      <c r="S67" s="140" t="n"/>
      <c r="T67" s="147" t="n"/>
      <c r="U67" s="141" t="n"/>
      <c r="V67" s="148" t="n"/>
      <c r="W67" s="149" t="n"/>
      <c r="X67" s="150">
        <f>IF(OR($V67="",$T67="",$T67=0),"",$V67/(1+IF(IFERROR(INDEX('03 Suppliers'!$N$5:$N$34,MATCH($S67,'03 Suppliers'!$B$5:$B$34,0)),"Excl VAT")="Incl VAT",'01 Control'!$C$6,0))/($T67*IFERROR(VLOOKUP($U67,'02 Lists'!$A$5:$B$18,2,FALSE()),1)))</f>
        <v/>
      </c>
      <c r="Y67" s="140" t="n"/>
      <c r="Z67" s="147" t="n"/>
      <c r="AA67" s="141" t="n"/>
      <c r="AB67" s="148" t="n"/>
      <c r="AC67" s="149" t="n"/>
      <c r="AD67" s="150">
        <f>IF(OR($AB67="",$Z67="",$Z67=0),"",$AB67/(1+IF(IFERROR(INDEX('03 Suppliers'!$N$5:$N$34,MATCH($Y67,'03 Suppliers'!$B$5:$B$34,0)),"Excl VAT")="Incl VAT",'01 Control'!$C$6,0))/($Z67*IFERROR(VLOOKUP($AA67,'02 Lists'!$A$5:$B$18,2,FALSE()),1)))</f>
        <v/>
      </c>
      <c r="AE67" s="140" t="n"/>
      <c r="AF67" s="147" t="n"/>
      <c r="AG67" s="141" t="n"/>
      <c r="AH67" s="148" t="n"/>
      <c r="AI67" s="149" t="n"/>
      <c r="AJ67" s="150">
        <f>IF(OR($AH67="",$AF67="",$AF67=0),"",$AH67/(1+IF(IFERROR(INDEX('03 Suppliers'!$N$5:$N$34,MATCH($AE67,'03 Suppliers'!$B$5:$B$34,0)),"Excl VAT")="Incl VAT",'01 Control'!$C$6,0))/($AF67*IFERROR(VLOOKUP($AG67,'02 Lists'!$A$5:$B$18,2,FALSE()),1)))</f>
        <v/>
      </c>
      <c r="AK67" s="151">
        <f>IF(COUNT(L67,R67,X67,AD67,AJ67)=0,"",MIN(L67,R67,X67,AD67,AJ67))</f>
        <v/>
      </c>
      <c r="AL67" s="126">
        <f>IF($AK67="","",IF(L67=$AK67,$G67,IF(R67=$AK67,$M67,IF(X67=$AK67,$S67,IF(AD67=$AK67,$Y67,IF(AJ67=$AK67,$AE67,""))))))</f>
        <v/>
      </c>
      <c r="AM67" s="151">
        <f>IF($AK67="","",$AK67/IF($E67="",1,$E67))</f>
        <v/>
      </c>
      <c r="AN67" s="152">
        <f>COUNT(L67,R67,X67,AD67,AJ67)</f>
        <v/>
      </c>
      <c r="AO67" s="150">
        <f>IF(COUNT(L67,R67,X67,AD67,AJ67)=0,"",MAX(L67,R67,X67,AD67,AJ67))</f>
        <v/>
      </c>
      <c r="AP67" s="153">
        <f>IF(OR($AK67="",$AO67="",$AO67=0),"",($AO67-$AK67)/$AO67)</f>
        <v/>
      </c>
      <c r="AQ67" s="154">
        <f>IF($AK67="","",IF(L67=$AK67,$K67,IF(R67=$AK67,$Q67,IF(X67=$AK67,$W67,IF(AD67=$AK67,$AC67,IF(AJ67=$AK67,$AI67,""))))))</f>
        <v/>
      </c>
    </row>
    <row r="68" ht="15" customHeight="1" s="106">
      <c r="A68" s="134" t="inlineStr">
        <is>
          <t>PP-VEG-BUTTERNUT</t>
        </is>
      </c>
      <c r="B68" s="138" t="inlineStr">
        <is>
          <t>Vegetables</t>
        </is>
      </c>
      <c r="C68" s="113" t="inlineStr">
        <is>
          <t>Butternut</t>
        </is>
      </c>
      <c r="D68" s="139" t="inlineStr">
        <is>
          <t>g</t>
        </is>
      </c>
      <c r="E68" s="146" t="n">
        <v>0.75</v>
      </c>
      <c r="F68" s="116" t="inlineStr">
        <is>
          <t>Autumn seasonal + rainbow salad</t>
        </is>
      </c>
      <c r="G68" s="140" t="inlineStr">
        <is>
          <t>Ferreira Fresh</t>
        </is>
      </c>
      <c r="H68" s="147" t="n">
        <v>1</v>
      </c>
      <c r="I68" s="141" t="inlineStr">
        <is>
          <t>kg</t>
        </is>
      </c>
      <c r="J68" s="148" t="n">
        <v>10.9</v>
      </c>
      <c r="K68" s="149" t="n">
        <v>46251</v>
      </c>
      <c r="L68" s="150">
        <f>IF(OR($J68="",$H68="",$H68=0),"",$J68/(1+IF(IFERROR(INDEX('03 Suppliers'!$N$5:$N$34,MATCH($G68,'03 Suppliers'!$B$5:$B$34,0)),"Excl VAT")="Incl VAT",'01 Control'!$C$6,0))/($H68*IFERROR(VLOOKUP($I68,'02 Lists'!$A$5:$B$18,2,FALSE()),1)))</f>
        <v/>
      </c>
      <c r="M68" s="140" t="n"/>
      <c r="N68" s="147" t="n"/>
      <c r="O68" s="141" t="n"/>
      <c r="P68" s="148" t="n"/>
      <c r="Q68" s="149" t="n"/>
      <c r="R68" s="150">
        <f>IF(OR($P68="",$N68="",$N68=0),"",$P68/(1+IF(IFERROR(INDEX('03 Suppliers'!$N$5:$N$34,MATCH($M68,'03 Suppliers'!$B$5:$B$34,0)),"Excl VAT")="Incl VAT",'01 Control'!$C$6,0))/($N68*IFERROR(VLOOKUP($O68,'02 Lists'!$A$5:$B$18,2,FALSE()),1)))</f>
        <v/>
      </c>
      <c r="S68" s="140" t="n"/>
      <c r="T68" s="147" t="n"/>
      <c r="U68" s="141" t="n"/>
      <c r="V68" s="148" t="n"/>
      <c r="W68" s="149" t="n"/>
      <c r="X68" s="150">
        <f>IF(OR($V68="",$T68="",$T68=0),"",$V68/(1+IF(IFERROR(INDEX('03 Suppliers'!$N$5:$N$34,MATCH($S68,'03 Suppliers'!$B$5:$B$34,0)),"Excl VAT")="Incl VAT",'01 Control'!$C$6,0))/($T68*IFERROR(VLOOKUP($U68,'02 Lists'!$A$5:$B$18,2,FALSE()),1)))</f>
        <v/>
      </c>
      <c r="Y68" s="140" t="n"/>
      <c r="Z68" s="147" t="n"/>
      <c r="AA68" s="141" t="n"/>
      <c r="AB68" s="148" t="n"/>
      <c r="AC68" s="149" t="n"/>
      <c r="AD68" s="150">
        <f>IF(OR($AB68="",$Z68="",$Z68=0),"",$AB68/(1+IF(IFERROR(INDEX('03 Suppliers'!$N$5:$N$34,MATCH($Y68,'03 Suppliers'!$B$5:$B$34,0)),"Excl VAT")="Incl VAT",'01 Control'!$C$6,0))/($Z68*IFERROR(VLOOKUP($AA68,'02 Lists'!$A$5:$B$18,2,FALSE()),1)))</f>
        <v/>
      </c>
      <c r="AE68" s="140" t="n"/>
      <c r="AF68" s="147" t="n"/>
      <c r="AG68" s="141" t="n"/>
      <c r="AH68" s="148" t="n"/>
      <c r="AI68" s="149" t="n"/>
      <c r="AJ68" s="150">
        <f>IF(OR($AH68="",$AF68="",$AF68=0),"",$AH68/(1+IF(IFERROR(INDEX('03 Suppliers'!$N$5:$N$34,MATCH($AE68,'03 Suppliers'!$B$5:$B$34,0)),"Excl VAT")="Incl VAT",'01 Control'!$C$6,0))/($AF68*IFERROR(VLOOKUP($AG68,'02 Lists'!$A$5:$B$18,2,FALSE()),1)))</f>
        <v/>
      </c>
      <c r="AK68" s="151">
        <f>IF(COUNT(L68,R68,X68,AD68,AJ68)=0,"",MIN(L68,R68,X68,AD68,AJ68))</f>
        <v/>
      </c>
      <c r="AL68" s="126">
        <f>IF($AK68="","",IF(L68=$AK68,$G68,IF(R68=$AK68,$M68,IF(X68=$AK68,$S68,IF(AD68=$AK68,$Y68,IF(AJ68=$AK68,$AE68,""))))))</f>
        <v/>
      </c>
      <c r="AM68" s="151">
        <f>IF($AK68="","",$AK68/IF($E68="",1,$E68))</f>
        <v/>
      </c>
      <c r="AN68" s="152">
        <f>COUNT(L68,R68,X68,AD68,AJ68)</f>
        <v/>
      </c>
      <c r="AO68" s="150">
        <f>IF(COUNT(L68,R68,X68,AD68,AJ68)=0,"",MAX(L68,R68,X68,AD68,AJ68))</f>
        <v/>
      </c>
      <c r="AP68" s="153">
        <f>IF(OR($AK68="",$AO68="",$AO68=0),"",($AO68-$AK68)/$AO68)</f>
        <v/>
      </c>
      <c r="AQ68" s="154">
        <f>IF($AK68="","",IF(L68=$AK68,$K68,IF(R68=$AK68,$Q68,IF(X68=$AK68,$W68,IF(AD68=$AK68,$AC68,IF(AJ68=$AK68,$AI68,""))))))</f>
        <v/>
      </c>
    </row>
    <row r="69" ht="15" customHeight="1" s="106">
      <c r="A69" s="134" t="inlineStr">
        <is>
          <t>PP-VEG-AUBERGINE</t>
        </is>
      </c>
      <c r="B69" s="138" t="inlineStr">
        <is>
          <t>Vegetables</t>
        </is>
      </c>
      <c r="C69" s="113" t="inlineStr">
        <is>
          <t>Aubergine / eggplant</t>
        </is>
      </c>
      <c r="D69" s="139" t="inlineStr">
        <is>
          <t>g</t>
        </is>
      </c>
      <c r="E69" s="146" t="n">
        <v>0.95</v>
      </c>
      <c r="F69" s="116" t="n"/>
      <c r="G69" s="140" t="n"/>
      <c r="H69" s="147" t="n"/>
      <c r="I69" s="141" t="n"/>
      <c r="J69" s="148" t="n"/>
      <c r="K69" s="149" t="n"/>
      <c r="L69" s="150">
        <f>IF(OR($J69="",$H69="",$H69=0),"",$J69/(1+IF(IFERROR(INDEX('03 Suppliers'!$N$5:$N$34,MATCH($G69,'03 Suppliers'!$B$5:$B$34,0)),"Excl VAT")="Incl VAT",'01 Control'!$C$6,0))/($H69*IFERROR(VLOOKUP($I69,'02 Lists'!$A$5:$B$18,2,FALSE()),1)))</f>
        <v/>
      </c>
      <c r="M69" s="140" t="n"/>
      <c r="N69" s="147" t="n"/>
      <c r="O69" s="141" t="n"/>
      <c r="P69" s="148" t="n"/>
      <c r="Q69" s="149" t="n"/>
      <c r="R69" s="150">
        <f>IF(OR($P69="",$N69="",$N69=0),"",$P69/(1+IF(IFERROR(INDEX('03 Suppliers'!$N$5:$N$34,MATCH($M69,'03 Suppliers'!$B$5:$B$34,0)),"Excl VAT")="Incl VAT",'01 Control'!$C$6,0))/($N69*IFERROR(VLOOKUP($O69,'02 Lists'!$A$5:$B$18,2,FALSE()),1)))</f>
        <v/>
      </c>
      <c r="S69" s="140" t="n"/>
      <c r="T69" s="147" t="n"/>
      <c r="U69" s="141" t="n"/>
      <c r="V69" s="148" t="n"/>
      <c r="W69" s="149" t="n"/>
      <c r="X69" s="150">
        <f>IF(OR($V69="",$T69="",$T69=0),"",$V69/(1+IF(IFERROR(INDEX('03 Suppliers'!$N$5:$N$34,MATCH($S69,'03 Suppliers'!$B$5:$B$34,0)),"Excl VAT")="Incl VAT",'01 Control'!$C$6,0))/($T69*IFERROR(VLOOKUP($U69,'02 Lists'!$A$5:$B$18,2,FALSE()),1)))</f>
        <v/>
      </c>
      <c r="Y69" s="140" t="n"/>
      <c r="Z69" s="147" t="n"/>
      <c r="AA69" s="141" t="n"/>
      <c r="AB69" s="148" t="n"/>
      <c r="AC69" s="149" t="n"/>
      <c r="AD69" s="150">
        <f>IF(OR($AB69="",$Z69="",$Z69=0),"",$AB69/(1+IF(IFERROR(INDEX('03 Suppliers'!$N$5:$N$34,MATCH($Y69,'03 Suppliers'!$B$5:$B$34,0)),"Excl VAT")="Incl VAT",'01 Control'!$C$6,0))/($Z69*IFERROR(VLOOKUP($AA69,'02 Lists'!$A$5:$B$18,2,FALSE()),1)))</f>
        <v/>
      </c>
      <c r="AE69" s="140" t="n"/>
      <c r="AF69" s="147" t="n"/>
      <c r="AG69" s="141" t="n"/>
      <c r="AH69" s="148" t="n"/>
      <c r="AI69" s="149" t="n"/>
      <c r="AJ69" s="150">
        <f>IF(OR($AH69="",$AF69="",$AF69=0),"",$AH69/(1+IF(IFERROR(INDEX('03 Suppliers'!$N$5:$N$34,MATCH($AE69,'03 Suppliers'!$B$5:$B$34,0)),"Excl VAT")="Incl VAT",'01 Control'!$C$6,0))/($AF69*IFERROR(VLOOKUP($AG69,'02 Lists'!$A$5:$B$18,2,FALSE()),1)))</f>
        <v/>
      </c>
      <c r="AK69" s="151">
        <f>IF(COUNT(L69,R69,X69,AD69,AJ69)=0,"",MIN(L69,R69,X69,AD69,AJ69))</f>
        <v/>
      </c>
      <c r="AL69" s="126">
        <f>IF($AK69="","",IF(L69=$AK69,$G69,IF(R69=$AK69,$M69,IF(X69=$AK69,$S69,IF(AD69=$AK69,$Y69,IF(AJ69=$AK69,$AE69,""))))))</f>
        <v/>
      </c>
      <c r="AM69" s="151">
        <f>IF($AK69="","",$AK69/IF($E69="",1,$E69))</f>
        <v/>
      </c>
      <c r="AN69" s="152">
        <f>COUNT(L69,R69,X69,AD69,AJ69)</f>
        <v/>
      </c>
      <c r="AO69" s="150">
        <f>IF(COUNT(L69,R69,X69,AD69,AJ69)=0,"",MAX(L69,R69,X69,AD69,AJ69))</f>
        <v/>
      </c>
      <c r="AP69" s="153">
        <f>IF(OR($AK69="",$AO69="",$AO69=0),"",($AO69-$AK69)/$AO69)</f>
        <v/>
      </c>
      <c r="AQ69" s="154">
        <f>IF($AK69="","",IF(L69=$AK69,$K69,IF(R69=$AK69,$Q69,IF(X69=$AK69,$W69,IF(AD69=$AK69,$AC69,IF(AJ69=$AK69,$AI69,""))))))</f>
        <v/>
      </c>
    </row>
    <row r="70" ht="15" customHeight="1" s="106">
      <c r="A70" s="134" t="inlineStr">
        <is>
          <t>PP-VEG-GREENBEAN</t>
        </is>
      </c>
      <c r="B70" s="138" t="inlineStr">
        <is>
          <t>Vegetables</t>
        </is>
      </c>
      <c r="C70" s="113" t="inlineStr">
        <is>
          <t>Green beans</t>
        </is>
      </c>
      <c r="D70" s="139" t="inlineStr">
        <is>
          <t>g</t>
        </is>
      </c>
      <c r="E70" s="146" t="n">
        <v>0.9</v>
      </c>
      <c r="F70" s="116" t="n"/>
      <c r="G70" s="140" t="inlineStr">
        <is>
          <t>Ferreira Fresh</t>
        </is>
      </c>
      <c r="H70" s="147" t="n">
        <v>1</v>
      </c>
      <c r="I70" s="141" t="inlineStr">
        <is>
          <t>kg</t>
        </is>
      </c>
      <c r="J70" s="148" t="n">
        <v>39.5</v>
      </c>
      <c r="K70" s="149" t="n">
        <v>46251</v>
      </c>
      <c r="L70" s="150">
        <f>IF(OR($J70="",$H70="",$H70=0),"",$J70/(1+IF(IFERROR(INDEX('03 Suppliers'!$N$5:$N$34,MATCH($G70,'03 Suppliers'!$B$5:$B$34,0)),"Excl VAT")="Incl VAT",'01 Control'!$C$6,0))/($H70*IFERROR(VLOOKUP($I70,'02 Lists'!$A$5:$B$18,2,FALSE()),1)))</f>
        <v/>
      </c>
      <c r="M70" s="140" t="n"/>
      <c r="N70" s="147" t="n"/>
      <c r="O70" s="141" t="n"/>
      <c r="P70" s="148" t="n"/>
      <c r="Q70" s="149" t="n"/>
      <c r="R70" s="150">
        <f>IF(OR($P70="",$N70="",$N70=0),"",$P70/(1+IF(IFERROR(INDEX('03 Suppliers'!$N$5:$N$34,MATCH($M70,'03 Suppliers'!$B$5:$B$34,0)),"Excl VAT")="Incl VAT",'01 Control'!$C$6,0))/($N70*IFERROR(VLOOKUP($O70,'02 Lists'!$A$5:$B$18,2,FALSE()),1)))</f>
        <v/>
      </c>
      <c r="S70" s="140" t="n"/>
      <c r="T70" s="147" t="n"/>
      <c r="U70" s="141" t="n"/>
      <c r="V70" s="148" t="n"/>
      <c r="W70" s="149" t="n"/>
      <c r="X70" s="150">
        <f>IF(OR($V70="",$T70="",$T70=0),"",$V70/(1+IF(IFERROR(INDEX('03 Suppliers'!$N$5:$N$34,MATCH($S70,'03 Suppliers'!$B$5:$B$34,0)),"Excl VAT")="Incl VAT",'01 Control'!$C$6,0))/($T70*IFERROR(VLOOKUP($U70,'02 Lists'!$A$5:$B$18,2,FALSE()),1)))</f>
        <v/>
      </c>
      <c r="Y70" s="140" t="n"/>
      <c r="Z70" s="147" t="n"/>
      <c r="AA70" s="141" t="n"/>
      <c r="AB70" s="148" t="n"/>
      <c r="AC70" s="149" t="n"/>
      <c r="AD70" s="150">
        <f>IF(OR($AB70="",$Z70="",$Z70=0),"",$AB70/(1+IF(IFERROR(INDEX('03 Suppliers'!$N$5:$N$34,MATCH($Y70,'03 Suppliers'!$B$5:$B$34,0)),"Excl VAT")="Incl VAT",'01 Control'!$C$6,0))/($Z70*IFERROR(VLOOKUP($AA70,'02 Lists'!$A$5:$B$18,2,FALSE()),1)))</f>
        <v/>
      </c>
      <c r="AE70" s="140" t="n"/>
      <c r="AF70" s="147" t="n"/>
      <c r="AG70" s="141" t="n"/>
      <c r="AH70" s="148" t="n"/>
      <c r="AI70" s="149" t="n"/>
      <c r="AJ70" s="150">
        <f>IF(OR($AH70="",$AF70="",$AF70=0),"",$AH70/(1+IF(IFERROR(INDEX('03 Suppliers'!$N$5:$N$34,MATCH($AE70,'03 Suppliers'!$B$5:$B$34,0)),"Excl VAT")="Incl VAT",'01 Control'!$C$6,0))/($AF70*IFERROR(VLOOKUP($AG70,'02 Lists'!$A$5:$B$18,2,FALSE()),1)))</f>
        <v/>
      </c>
      <c r="AK70" s="151">
        <f>IF(COUNT(L70,R70,X70,AD70,AJ70)=0,"",MIN(L70,R70,X70,AD70,AJ70))</f>
        <v/>
      </c>
      <c r="AL70" s="126">
        <f>IF($AK70="","",IF(L70=$AK70,$G70,IF(R70=$AK70,$M70,IF(X70=$AK70,$S70,IF(AD70=$AK70,$Y70,IF(AJ70=$AK70,$AE70,""))))))</f>
        <v/>
      </c>
      <c r="AM70" s="151">
        <f>IF($AK70="","",$AK70/IF($E70="",1,$E70))</f>
        <v/>
      </c>
      <c r="AN70" s="152">
        <f>COUNT(L70,R70,X70,AD70,AJ70)</f>
        <v/>
      </c>
      <c r="AO70" s="150">
        <f>IF(COUNT(L70,R70,X70,AD70,AJ70)=0,"",MAX(L70,R70,X70,AD70,AJ70))</f>
        <v/>
      </c>
      <c r="AP70" s="153">
        <f>IF(OR($AK70="",$AO70="",$AO70=0),"",($AO70-$AK70)/$AO70)</f>
        <v/>
      </c>
      <c r="AQ70" s="154">
        <f>IF($AK70="","",IF(L70=$AK70,$K70,IF(R70=$AK70,$Q70,IF(X70=$AK70,$W70,IF(AD70=$AK70,$AC70,IF(AJ70=$AK70,$AI70,""))))))</f>
        <v/>
      </c>
    </row>
    <row r="71" ht="33.75" customHeight="1" s="106">
      <c r="A71" s="134" t="inlineStr">
        <is>
          <t>PP-VEG-ASPARAGUS</t>
        </is>
      </c>
      <c r="B71" s="138" t="inlineStr">
        <is>
          <t>Vegetables</t>
        </is>
      </c>
      <c r="C71" s="113" t="inlineStr">
        <is>
          <t>Asparagus</t>
        </is>
      </c>
      <c r="D71" s="139" t="inlineStr">
        <is>
          <t>g</t>
        </is>
      </c>
      <c r="E71" s="146" t="n">
        <v>0.8</v>
      </c>
      <c r="F71" s="155" t="inlineStr">
        <is>
          <t>Y3 Spring seasonal  CHECK THE UNIT: the carried-over quote reads R439.50/kg, which is out of line with the rest of the list. Confirm per-kg vs pack price before this reaches a menu price.</t>
        </is>
      </c>
      <c r="G71" s="140" t="inlineStr">
        <is>
          <t>Ferreira Fresh</t>
        </is>
      </c>
      <c r="H71" s="147" t="n">
        <v>1</v>
      </c>
      <c r="I71" s="141" t="inlineStr">
        <is>
          <t>kg</t>
        </is>
      </c>
      <c r="J71" s="156" t="n">
        <v>439.5</v>
      </c>
      <c r="K71" s="149" t="n">
        <v>46251</v>
      </c>
      <c r="L71" s="150">
        <f>IF(OR($J71="",$H71="",$H71=0),"",$J71/(1+IF(IFERROR(INDEX('03 Suppliers'!$N$5:$N$34,MATCH($G71,'03 Suppliers'!$B$5:$B$34,0)),"Excl VAT")="Incl VAT",'01 Control'!$C$6,0))/($H71*IFERROR(VLOOKUP($I71,'02 Lists'!$A$5:$B$18,2,FALSE()),1)))</f>
        <v/>
      </c>
      <c r="M71" s="140" t="n"/>
      <c r="N71" s="147" t="n"/>
      <c r="O71" s="141" t="n"/>
      <c r="P71" s="148" t="n"/>
      <c r="Q71" s="149" t="n"/>
      <c r="R71" s="150">
        <f>IF(OR($P71="",$N71="",$N71=0),"",$P71/(1+IF(IFERROR(INDEX('03 Suppliers'!$N$5:$N$34,MATCH($M71,'03 Suppliers'!$B$5:$B$34,0)),"Excl VAT")="Incl VAT",'01 Control'!$C$6,0))/($N71*IFERROR(VLOOKUP($O71,'02 Lists'!$A$5:$B$18,2,FALSE()),1)))</f>
        <v/>
      </c>
      <c r="S71" s="140" t="n"/>
      <c r="T71" s="147" t="n"/>
      <c r="U71" s="141" t="n"/>
      <c r="V71" s="148" t="n"/>
      <c r="W71" s="149" t="n"/>
      <c r="X71" s="150">
        <f>IF(OR($V71="",$T71="",$T71=0),"",$V71/(1+IF(IFERROR(INDEX('03 Suppliers'!$N$5:$N$34,MATCH($S71,'03 Suppliers'!$B$5:$B$34,0)),"Excl VAT")="Incl VAT",'01 Control'!$C$6,0))/($T71*IFERROR(VLOOKUP($U71,'02 Lists'!$A$5:$B$18,2,FALSE()),1)))</f>
        <v/>
      </c>
      <c r="Y71" s="140" t="n"/>
      <c r="Z71" s="147" t="n"/>
      <c r="AA71" s="141" t="n"/>
      <c r="AB71" s="148" t="n"/>
      <c r="AC71" s="149" t="n"/>
      <c r="AD71" s="150">
        <f>IF(OR($AB71="",$Z71="",$Z71=0),"",$AB71/(1+IF(IFERROR(INDEX('03 Suppliers'!$N$5:$N$34,MATCH($Y71,'03 Suppliers'!$B$5:$B$34,0)),"Excl VAT")="Incl VAT",'01 Control'!$C$6,0))/($Z71*IFERROR(VLOOKUP($AA71,'02 Lists'!$A$5:$B$18,2,FALSE()),1)))</f>
        <v/>
      </c>
      <c r="AE71" s="140" t="n"/>
      <c r="AF71" s="147" t="n"/>
      <c r="AG71" s="141" t="n"/>
      <c r="AH71" s="148" t="n"/>
      <c r="AI71" s="149" t="n"/>
      <c r="AJ71" s="150">
        <f>IF(OR($AH71="",$AF71="",$AF71=0),"",$AH71/(1+IF(IFERROR(INDEX('03 Suppliers'!$N$5:$N$34,MATCH($AE71,'03 Suppliers'!$B$5:$B$34,0)),"Excl VAT")="Incl VAT",'01 Control'!$C$6,0))/($AF71*IFERROR(VLOOKUP($AG71,'02 Lists'!$A$5:$B$18,2,FALSE()),1)))</f>
        <v/>
      </c>
      <c r="AK71" s="151">
        <f>IF(COUNT(L71,R71,X71,AD71,AJ71)=0,"",MIN(L71,R71,X71,AD71,AJ71))</f>
        <v/>
      </c>
      <c r="AL71" s="126">
        <f>IF($AK71="","",IF(L71=$AK71,$G71,IF(R71=$AK71,$M71,IF(X71=$AK71,$S71,IF(AD71=$AK71,$Y71,IF(AJ71=$AK71,$AE71,""))))))</f>
        <v/>
      </c>
      <c r="AM71" s="151">
        <f>IF($AK71="","",$AK71/IF($E71="",1,$E71))</f>
        <v/>
      </c>
      <c r="AN71" s="152">
        <f>COUNT(L71,R71,X71,AD71,AJ71)</f>
        <v/>
      </c>
      <c r="AO71" s="150">
        <f>IF(COUNT(L71,R71,X71,AD71,AJ71)=0,"",MAX(L71,R71,X71,AD71,AJ71))</f>
        <v/>
      </c>
      <c r="AP71" s="153">
        <f>IF(OR($AK71="",$AO71="",$AO71=0),"",($AO71-$AK71)/$AO71)</f>
        <v/>
      </c>
      <c r="AQ71" s="154">
        <f>IF($AK71="","",IF(L71=$AK71,$K71,IF(R71=$AK71,$Q71,IF(X71=$AK71,$W71,IF(AD71=$AK71,$AC71,IF(AJ71=$AK71,$AI71,""))))))</f>
        <v/>
      </c>
    </row>
    <row r="72" ht="15" customHeight="1" s="106">
      <c r="A72" s="134" t="inlineStr">
        <is>
          <t>PP-VEG-ARTICHOKE</t>
        </is>
      </c>
      <c r="B72" s="138" t="inlineStr">
        <is>
          <t>Vegetables</t>
        </is>
      </c>
      <c r="C72" s="113" t="inlineStr">
        <is>
          <t>Artichokes</t>
        </is>
      </c>
      <c r="D72" s="139" t="inlineStr">
        <is>
          <t>g</t>
        </is>
      </c>
      <c r="E72" s="146" t="n">
        <v>0.9</v>
      </c>
      <c r="F72" s="116" t="n"/>
      <c r="G72" s="140" t="n"/>
      <c r="H72" s="147" t="n"/>
      <c r="I72" s="141" t="n"/>
      <c r="J72" s="148" t="n"/>
      <c r="K72" s="149" t="n"/>
      <c r="L72" s="150">
        <f>IF(OR($J72="",$H72="",$H72=0),"",$J72/(1+IF(IFERROR(INDEX('03 Suppliers'!$N$5:$N$34,MATCH($G72,'03 Suppliers'!$B$5:$B$34,0)),"Excl VAT")="Incl VAT",'01 Control'!$C$6,0))/($H72*IFERROR(VLOOKUP($I72,'02 Lists'!$A$5:$B$18,2,FALSE()),1)))</f>
        <v/>
      </c>
      <c r="M72" s="140" t="n"/>
      <c r="N72" s="147" t="n"/>
      <c r="O72" s="141" t="n"/>
      <c r="P72" s="148" t="n"/>
      <c r="Q72" s="149" t="n"/>
      <c r="R72" s="150">
        <f>IF(OR($P72="",$N72="",$N72=0),"",$P72/(1+IF(IFERROR(INDEX('03 Suppliers'!$N$5:$N$34,MATCH($M72,'03 Suppliers'!$B$5:$B$34,0)),"Excl VAT")="Incl VAT",'01 Control'!$C$6,0))/($N72*IFERROR(VLOOKUP($O72,'02 Lists'!$A$5:$B$18,2,FALSE()),1)))</f>
        <v/>
      </c>
      <c r="S72" s="140" t="n"/>
      <c r="T72" s="147" t="n"/>
      <c r="U72" s="141" t="n"/>
      <c r="V72" s="148" t="n"/>
      <c r="W72" s="149" t="n"/>
      <c r="X72" s="150">
        <f>IF(OR($V72="",$T72="",$T72=0),"",$V72/(1+IF(IFERROR(INDEX('03 Suppliers'!$N$5:$N$34,MATCH($S72,'03 Suppliers'!$B$5:$B$34,0)),"Excl VAT")="Incl VAT",'01 Control'!$C$6,0))/($T72*IFERROR(VLOOKUP($U72,'02 Lists'!$A$5:$B$18,2,FALSE()),1)))</f>
        <v/>
      </c>
      <c r="Y72" s="140" t="n"/>
      <c r="Z72" s="147" t="n"/>
      <c r="AA72" s="141" t="n"/>
      <c r="AB72" s="148" t="n"/>
      <c r="AC72" s="149" t="n"/>
      <c r="AD72" s="150">
        <f>IF(OR($AB72="",$Z72="",$Z72=0),"",$AB72/(1+IF(IFERROR(INDEX('03 Suppliers'!$N$5:$N$34,MATCH($Y72,'03 Suppliers'!$B$5:$B$34,0)),"Excl VAT")="Incl VAT",'01 Control'!$C$6,0))/($Z72*IFERROR(VLOOKUP($AA72,'02 Lists'!$A$5:$B$18,2,FALSE()),1)))</f>
        <v/>
      </c>
      <c r="AE72" s="140" t="n"/>
      <c r="AF72" s="147" t="n"/>
      <c r="AG72" s="141" t="n"/>
      <c r="AH72" s="148" t="n"/>
      <c r="AI72" s="149" t="n"/>
      <c r="AJ72" s="150">
        <f>IF(OR($AH72="",$AF72="",$AF72=0),"",$AH72/(1+IF(IFERROR(INDEX('03 Suppliers'!$N$5:$N$34,MATCH($AE72,'03 Suppliers'!$B$5:$B$34,0)),"Excl VAT")="Incl VAT",'01 Control'!$C$6,0))/($AF72*IFERROR(VLOOKUP($AG72,'02 Lists'!$A$5:$B$18,2,FALSE()),1)))</f>
        <v/>
      </c>
      <c r="AK72" s="151">
        <f>IF(COUNT(L72,R72,X72,AD72,AJ72)=0,"",MIN(L72,R72,X72,AD72,AJ72))</f>
        <v/>
      </c>
      <c r="AL72" s="126">
        <f>IF($AK72="","",IF(L72=$AK72,$G72,IF(R72=$AK72,$M72,IF(X72=$AK72,$S72,IF(AD72=$AK72,$Y72,IF(AJ72=$AK72,$AE72,""))))))</f>
        <v/>
      </c>
      <c r="AM72" s="151">
        <f>IF($AK72="","",$AK72/IF($E72="",1,$E72))</f>
        <v/>
      </c>
      <c r="AN72" s="152">
        <f>COUNT(L72,R72,X72,AD72,AJ72)</f>
        <v/>
      </c>
      <c r="AO72" s="150">
        <f>IF(COUNT(L72,R72,X72,AD72,AJ72)=0,"",MAX(L72,R72,X72,AD72,AJ72))</f>
        <v/>
      </c>
      <c r="AP72" s="153">
        <f>IF(OR($AK72="",$AO72="",$AO72=0),"",($AO72-$AK72)/$AO72)</f>
        <v/>
      </c>
      <c r="AQ72" s="154">
        <f>IF($AK72="","",IF(L72=$AK72,$K72,IF(R72=$AK72,$Q72,IF(X72=$AK72,$W72,IF(AD72=$AK72,$AC72,IF(AJ72=$AK72,$AI72,""))))))</f>
        <v/>
      </c>
    </row>
    <row r="73" ht="15" customHeight="1" s="106">
      <c r="A73" s="134" t="inlineStr">
        <is>
          <t>PP-VEG-OLIVE</t>
        </is>
      </c>
      <c r="B73" s="138" t="inlineStr">
        <is>
          <t>Vegetables</t>
        </is>
      </c>
      <c r="C73" s="113" t="inlineStr">
        <is>
          <t>Olives</t>
        </is>
      </c>
      <c r="D73" s="139" t="inlineStr">
        <is>
          <t>g</t>
        </is>
      </c>
      <c r="E73" s="146" t="n">
        <v>1</v>
      </c>
      <c r="F73" s="116" t="inlineStr">
        <is>
          <t>Y3 Mediterranean</t>
        </is>
      </c>
      <c r="G73" s="140" t="n"/>
      <c r="H73" s="147" t="n"/>
      <c r="I73" s="141" t="n"/>
      <c r="J73" s="148" t="n"/>
      <c r="K73" s="149" t="n"/>
      <c r="L73" s="150">
        <f>IF(OR($J73="",$H73="",$H73=0),"",$J73/(1+IF(IFERROR(INDEX('03 Suppliers'!$N$5:$N$34,MATCH($G73,'03 Suppliers'!$B$5:$B$34,0)),"Excl VAT")="Incl VAT",'01 Control'!$C$6,0))/($H73*IFERROR(VLOOKUP($I73,'02 Lists'!$A$5:$B$18,2,FALSE()),1)))</f>
        <v/>
      </c>
      <c r="M73" s="140" t="n"/>
      <c r="N73" s="147" t="n"/>
      <c r="O73" s="141" t="n"/>
      <c r="P73" s="148" t="n"/>
      <c r="Q73" s="149" t="n"/>
      <c r="R73" s="150">
        <f>IF(OR($P73="",$N73="",$N73=0),"",$P73/(1+IF(IFERROR(INDEX('03 Suppliers'!$N$5:$N$34,MATCH($M73,'03 Suppliers'!$B$5:$B$34,0)),"Excl VAT")="Incl VAT",'01 Control'!$C$6,0))/($N73*IFERROR(VLOOKUP($O73,'02 Lists'!$A$5:$B$18,2,FALSE()),1)))</f>
        <v/>
      </c>
      <c r="S73" s="140" t="n"/>
      <c r="T73" s="147" t="n"/>
      <c r="U73" s="141" t="n"/>
      <c r="V73" s="148" t="n"/>
      <c r="W73" s="149" t="n"/>
      <c r="X73" s="150">
        <f>IF(OR($V73="",$T73="",$T73=0),"",$V73/(1+IF(IFERROR(INDEX('03 Suppliers'!$N$5:$N$34,MATCH($S73,'03 Suppliers'!$B$5:$B$34,0)),"Excl VAT")="Incl VAT",'01 Control'!$C$6,0))/($T73*IFERROR(VLOOKUP($U73,'02 Lists'!$A$5:$B$18,2,FALSE()),1)))</f>
        <v/>
      </c>
      <c r="Y73" s="140" t="n"/>
      <c r="Z73" s="147" t="n"/>
      <c r="AA73" s="141" t="n"/>
      <c r="AB73" s="148" t="n"/>
      <c r="AC73" s="149" t="n"/>
      <c r="AD73" s="150">
        <f>IF(OR($AB73="",$Z73="",$Z73=0),"",$AB73/(1+IF(IFERROR(INDEX('03 Suppliers'!$N$5:$N$34,MATCH($Y73,'03 Suppliers'!$B$5:$B$34,0)),"Excl VAT")="Incl VAT",'01 Control'!$C$6,0))/($Z73*IFERROR(VLOOKUP($AA73,'02 Lists'!$A$5:$B$18,2,FALSE()),1)))</f>
        <v/>
      </c>
      <c r="AE73" s="140" t="n"/>
      <c r="AF73" s="147" t="n"/>
      <c r="AG73" s="141" t="n"/>
      <c r="AH73" s="148" t="n"/>
      <c r="AI73" s="149" t="n"/>
      <c r="AJ73" s="150">
        <f>IF(OR($AH73="",$AF73="",$AF73=0),"",$AH73/(1+IF(IFERROR(INDEX('03 Suppliers'!$N$5:$N$34,MATCH($AE73,'03 Suppliers'!$B$5:$B$34,0)),"Excl VAT")="Incl VAT",'01 Control'!$C$6,0))/($AF73*IFERROR(VLOOKUP($AG73,'02 Lists'!$A$5:$B$18,2,FALSE()),1)))</f>
        <v/>
      </c>
      <c r="AK73" s="151">
        <f>IF(COUNT(L73,R73,X73,AD73,AJ73)=0,"",MIN(L73,R73,X73,AD73,AJ73))</f>
        <v/>
      </c>
      <c r="AL73" s="126">
        <f>IF($AK73="","",IF(L73=$AK73,$G73,IF(R73=$AK73,$M73,IF(X73=$AK73,$S73,IF(AD73=$AK73,$Y73,IF(AJ73=$AK73,$AE73,""))))))</f>
        <v/>
      </c>
      <c r="AM73" s="151">
        <f>IF($AK73="","",$AK73/IF($E73="",1,$E73))</f>
        <v/>
      </c>
      <c r="AN73" s="152">
        <f>COUNT(L73,R73,X73,AD73,AJ73)</f>
        <v/>
      </c>
      <c r="AO73" s="150">
        <f>IF(COUNT(L73,R73,X73,AD73,AJ73)=0,"",MAX(L73,R73,X73,AD73,AJ73))</f>
        <v/>
      </c>
      <c r="AP73" s="153">
        <f>IF(OR($AK73="",$AO73="",$AO73=0),"",($AO73-$AK73)/$AO73)</f>
        <v/>
      </c>
      <c r="AQ73" s="154">
        <f>IF($AK73="","",IF(L73=$AK73,$K73,IF(R73=$AK73,$Q73,IF(X73=$AK73,$W73,IF(AD73=$AK73,$AC73,IF(AJ73=$AK73,$AI73,""))))))</f>
        <v/>
      </c>
    </row>
    <row r="74" ht="15" customHeight="1" s="106">
      <c r="A74" s="134" t="inlineStr">
        <is>
          <t>PP-VEG-CUCUMBER</t>
        </is>
      </c>
      <c r="B74" s="138" t="inlineStr">
        <is>
          <t>Vegetables</t>
        </is>
      </c>
      <c r="C74" s="113" t="inlineStr">
        <is>
          <t>Cucumber</t>
        </is>
      </c>
      <c r="D74" s="139" t="inlineStr">
        <is>
          <t>g</t>
        </is>
      </c>
      <c r="E74" s="146" t="n">
        <v>0.9</v>
      </c>
      <c r="F74" s="116" t="inlineStr">
        <is>
          <t>Salad base</t>
        </is>
      </c>
      <c r="G74" s="140" t="n"/>
      <c r="H74" s="147" t="n"/>
      <c r="I74" s="141" t="n"/>
      <c r="J74" s="148" t="n"/>
      <c r="K74" s="149" t="n"/>
      <c r="L74" s="150">
        <f>IF(OR($J74="",$H74="",$H74=0),"",$J74/(1+IF(IFERROR(INDEX('03 Suppliers'!$N$5:$N$34,MATCH($G74,'03 Suppliers'!$B$5:$B$34,0)),"Excl VAT")="Incl VAT",'01 Control'!$C$6,0))/($H74*IFERROR(VLOOKUP($I74,'02 Lists'!$A$5:$B$18,2,FALSE()),1)))</f>
        <v/>
      </c>
      <c r="M74" s="140" t="n"/>
      <c r="N74" s="147" t="n"/>
      <c r="O74" s="141" t="n"/>
      <c r="P74" s="148" t="n"/>
      <c r="Q74" s="149" t="n"/>
      <c r="R74" s="150">
        <f>IF(OR($P74="",$N74="",$N74=0),"",$P74/(1+IF(IFERROR(INDEX('03 Suppliers'!$N$5:$N$34,MATCH($M74,'03 Suppliers'!$B$5:$B$34,0)),"Excl VAT")="Incl VAT",'01 Control'!$C$6,0))/($N74*IFERROR(VLOOKUP($O74,'02 Lists'!$A$5:$B$18,2,FALSE()),1)))</f>
        <v/>
      </c>
      <c r="S74" s="140" t="n"/>
      <c r="T74" s="147" t="n"/>
      <c r="U74" s="141" t="n"/>
      <c r="V74" s="148" t="n"/>
      <c r="W74" s="149" t="n"/>
      <c r="X74" s="150">
        <f>IF(OR($V74="",$T74="",$T74=0),"",$V74/(1+IF(IFERROR(INDEX('03 Suppliers'!$N$5:$N$34,MATCH($S74,'03 Suppliers'!$B$5:$B$34,0)),"Excl VAT")="Incl VAT",'01 Control'!$C$6,0))/($T74*IFERROR(VLOOKUP($U74,'02 Lists'!$A$5:$B$18,2,FALSE()),1)))</f>
        <v/>
      </c>
      <c r="Y74" s="140" t="n"/>
      <c r="Z74" s="147" t="n"/>
      <c r="AA74" s="141" t="n"/>
      <c r="AB74" s="148" t="n"/>
      <c r="AC74" s="149" t="n"/>
      <c r="AD74" s="150">
        <f>IF(OR($AB74="",$Z74="",$Z74=0),"",$AB74/(1+IF(IFERROR(INDEX('03 Suppliers'!$N$5:$N$34,MATCH($Y74,'03 Suppliers'!$B$5:$B$34,0)),"Excl VAT")="Incl VAT",'01 Control'!$C$6,0))/($Z74*IFERROR(VLOOKUP($AA74,'02 Lists'!$A$5:$B$18,2,FALSE()),1)))</f>
        <v/>
      </c>
      <c r="AE74" s="140" t="n"/>
      <c r="AF74" s="147" t="n"/>
      <c r="AG74" s="141" t="n"/>
      <c r="AH74" s="148" t="n"/>
      <c r="AI74" s="149" t="n"/>
      <c r="AJ74" s="150">
        <f>IF(OR($AH74="",$AF74="",$AF74=0),"",$AH74/(1+IF(IFERROR(INDEX('03 Suppliers'!$N$5:$N$34,MATCH($AE74,'03 Suppliers'!$B$5:$B$34,0)),"Excl VAT")="Incl VAT",'01 Control'!$C$6,0))/($AF74*IFERROR(VLOOKUP($AG74,'02 Lists'!$A$5:$B$18,2,FALSE()),1)))</f>
        <v/>
      </c>
      <c r="AK74" s="151">
        <f>IF(COUNT(L74,R74,X74,AD74,AJ74)=0,"",MIN(L74,R74,X74,AD74,AJ74))</f>
        <v/>
      </c>
      <c r="AL74" s="126">
        <f>IF($AK74="","",IF(L74=$AK74,$G74,IF(R74=$AK74,$M74,IF(X74=$AK74,$S74,IF(AD74=$AK74,$Y74,IF(AJ74=$AK74,$AE74,""))))))</f>
        <v/>
      </c>
      <c r="AM74" s="151">
        <f>IF($AK74="","",$AK74/IF($E74="",1,$E74))</f>
        <v/>
      </c>
      <c r="AN74" s="152">
        <f>COUNT(L74,R74,X74,AD74,AJ74)</f>
        <v/>
      </c>
      <c r="AO74" s="150">
        <f>IF(COUNT(L74,R74,X74,AD74,AJ74)=0,"",MAX(L74,R74,X74,AD74,AJ74))</f>
        <v/>
      </c>
      <c r="AP74" s="153">
        <f>IF(OR($AK74="",$AO74="",$AO74=0),"",($AO74-$AK74)/$AO74)</f>
        <v/>
      </c>
      <c r="AQ74" s="154">
        <f>IF($AK74="","",IF(L74=$AK74,$K74,IF(R74=$AK74,$Q74,IF(X74=$AK74,$W74,IF(AD74=$AK74,$AC74,IF(AJ74=$AK74,$AI74,""))))))</f>
        <v/>
      </c>
    </row>
    <row r="75" ht="15" customHeight="1" s="106">
      <c r="A75" s="134" t="inlineStr">
        <is>
          <t>PP-VEG-LEMON</t>
        </is>
      </c>
      <c r="B75" s="138" t="inlineStr">
        <is>
          <t>Vegetables</t>
        </is>
      </c>
      <c r="C75" s="113" t="inlineStr">
        <is>
          <t>Lemons</t>
        </is>
      </c>
      <c r="D75" s="139" t="inlineStr">
        <is>
          <t>g</t>
        </is>
      </c>
      <c r="E75" s="146" t="n">
        <v>0.45</v>
      </c>
      <c r="F75" s="116" t="inlineStr">
        <is>
          <t>Juice yield only</t>
        </is>
      </c>
      <c r="G75" s="140" t="n"/>
      <c r="H75" s="147" t="n"/>
      <c r="I75" s="141" t="n"/>
      <c r="J75" s="148" t="n"/>
      <c r="K75" s="149" t="n"/>
      <c r="L75" s="150">
        <f>IF(OR($J75="",$H75="",$H75=0),"",$J75/(1+IF(IFERROR(INDEX('03 Suppliers'!$N$5:$N$34,MATCH($G75,'03 Suppliers'!$B$5:$B$34,0)),"Excl VAT")="Incl VAT",'01 Control'!$C$6,0))/($H75*IFERROR(VLOOKUP($I75,'02 Lists'!$A$5:$B$18,2,FALSE()),1)))</f>
        <v/>
      </c>
      <c r="M75" s="140" t="n"/>
      <c r="N75" s="147" t="n"/>
      <c r="O75" s="141" t="n"/>
      <c r="P75" s="148" t="n"/>
      <c r="Q75" s="149" t="n"/>
      <c r="R75" s="150">
        <f>IF(OR($P75="",$N75="",$N75=0),"",$P75/(1+IF(IFERROR(INDEX('03 Suppliers'!$N$5:$N$34,MATCH($M75,'03 Suppliers'!$B$5:$B$34,0)),"Excl VAT")="Incl VAT",'01 Control'!$C$6,0))/($N75*IFERROR(VLOOKUP($O75,'02 Lists'!$A$5:$B$18,2,FALSE()),1)))</f>
        <v/>
      </c>
      <c r="S75" s="140" t="n"/>
      <c r="T75" s="147" t="n"/>
      <c r="U75" s="141" t="n"/>
      <c r="V75" s="148" t="n"/>
      <c r="W75" s="149" t="n"/>
      <c r="X75" s="150">
        <f>IF(OR($V75="",$T75="",$T75=0),"",$V75/(1+IF(IFERROR(INDEX('03 Suppliers'!$N$5:$N$34,MATCH($S75,'03 Suppliers'!$B$5:$B$34,0)),"Excl VAT")="Incl VAT",'01 Control'!$C$6,0))/($T75*IFERROR(VLOOKUP($U75,'02 Lists'!$A$5:$B$18,2,FALSE()),1)))</f>
        <v/>
      </c>
      <c r="Y75" s="140" t="n"/>
      <c r="Z75" s="147" t="n"/>
      <c r="AA75" s="141" t="n"/>
      <c r="AB75" s="148" t="n"/>
      <c r="AC75" s="149" t="n"/>
      <c r="AD75" s="150">
        <f>IF(OR($AB75="",$Z75="",$Z75=0),"",$AB75/(1+IF(IFERROR(INDEX('03 Suppliers'!$N$5:$N$34,MATCH($Y75,'03 Suppliers'!$B$5:$B$34,0)),"Excl VAT")="Incl VAT",'01 Control'!$C$6,0))/($Z75*IFERROR(VLOOKUP($AA75,'02 Lists'!$A$5:$B$18,2,FALSE()),1)))</f>
        <v/>
      </c>
      <c r="AE75" s="140" t="n"/>
      <c r="AF75" s="147" t="n"/>
      <c r="AG75" s="141" t="n"/>
      <c r="AH75" s="148" t="n"/>
      <c r="AI75" s="149" t="n"/>
      <c r="AJ75" s="150">
        <f>IF(OR($AH75="",$AF75="",$AF75=0),"",$AH75/(1+IF(IFERROR(INDEX('03 Suppliers'!$N$5:$N$34,MATCH($AE75,'03 Suppliers'!$B$5:$B$34,0)),"Excl VAT")="Incl VAT",'01 Control'!$C$6,0))/($AF75*IFERROR(VLOOKUP($AG75,'02 Lists'!$A$5:$B$18,2,FALSE()),1)))</f>
        <v/>
      </c>
      <c r="AK75" s="151">
        <f>IF(COUNT(L75,R75,X75,AD75,AJ75)=0,"",MIN(L75,R75,X75,AD75,AJ75))</f>
        <v/>
      </c>
      <c r="AL75" s="126">
        <f>IF($AK75="","",IF(L75=$AK75,$G75,IF(R75=$AK75,$M75,IF(X75=$AK75,$S75,IF(AD75=$AK75,$Y75,IF(AJ75=$AK75,$AE75,""))))))</f>
        <v/>
      </c>
      <c r="AM75" s="151">
        <f>IF($AK75="","",$AK75/IF($E75="",1,$E75))</f>
        <v/>
      </c>
      <c r="AN75" s="152">
        <f>COUNT(L75,R75,X75,AD75,AJ75)</f>
        <v/>
      </c>
      <c r="AO75" s="150">
        <f>IF(COUNT(L75,R75,X75,AD75,AJ75)=0,"",MAX(L75,R75,X75,AD75,AJ75))</f>
        <v/>
      </c>
      <c r="AP75" s="153">
        <f>IF(OR($AK75="",$AO75="",$AO75=0),"",($AO75-$AK75)/$AO75)</f>
        <v/>
      </c>
      <c r="AQ75" s="154">
        <f>IF($AK75="","",IF(L75=$AK75,$K75,IF(R75=$AK75,$Q75,IF(X75=$AK75,$W75,IF(AD75=$AK75,$AC75,IF(AJ75=$AK75,$AI75,""))))))</f>
        <v/>
      </c>
    </row>
    <row r="76" ht="15" customHeight="1" s="106">
      <c r="A76" s="134" t="inlineStr">
        <is>
          <t>PP-VEG-ROCKET</t>
        </is>
      </c>
      <c r="B76" s="138" t="inlineStr">
        <is>
          <t>Vegetables</t>
        </is>
      </c>
      <c r="C76" s="113" t="inlineStr">
        <is>
          <t>Rocket leaves</t>
        </is>
      </c>
      <c r="D76" s="139" t="inlineStr">
        <is>
          <t>g</t>
        </is>
      </c>
      <c r="E76" s="146" t="n">
        <v>0.95</v>
      </c>
      <c r="F76" s="116" t="inlineStr">
        <is>
          <t>Pesto finish</t>
        </is>
      </c>
      <c r="G76" s="140" t="n"/>
      <c r="H76" s="147" t="n"/>
      <c r="I76" s="141" t="n"/>
      <c r="J76" s="148" t="n"/>
      <c r="K76" s="149" t="n"/>
      <c r="L76" s="150">
        <f>IF(OR($J76="",$H76="",$H76=0),"",$J76/(1+IF(IFERROR(INDEX('03 Suppliers'!$N$5:$N$34,MATCH($G76,'03 Suppliers'!$B$5:$B$34,0)),"Excl VAT")="Incl VAT",'01 Control'!$C$6,0))/($H76*IFERROR(VLOOKUP($I76,'02 Lists'!$A$5:$B$18,2,FALSE()),1)))</f>
        <v/>
      </c>
      <c r="M76" s="140" t="n"/>
      <c r="N76" s="147" t="n"/>
      <c r="O76" s="141" t="n"/>
      <c r="P76" s="148" t="n"/>
      <c r="Q76" s="149" t="n"/>
      <c r="R76" s="150">
        <f>IF(OR($P76="",$N76="",$N76=0),"",$P76/(1+IF(IFERROR(INDEX('03 Suppliers'!$N$5:$N$34,MATCH($M76,'03 Suppliers'!$B$5:$B$34,0)),"Excl VAT")="Incl VAT",'01 Control'!$C$6,0))/($N76*IFERROR(VLOOKUP($O76,'02 Lists'!$A$5:$B$18,2,FALSE()),1)))</f>
        <v/>
      </c>
      <c r="S76" s="140" t="n"/>
      <c r="T76" s="147" t="n"/>
      <c r="U76" s="141" t="n"/>
      <c r="V76" s="148" t="n"/>
      <c r="W76" s="149" t="n"/>
      <c r="X76" s="150">
        <f>IF(OR($V76="",$T76="",$T76=0),"",$V76/(1+IF(IFERROR(INDEX('03 Suppliers'!$N$5:$N$34,MATCH($S76,'03 Suppliers'!$B$5:$B$34,0)),"Excl VAT")="Incl VAT",'01 Control'!$C$6,0))/($T76*IFERROR(VLOOKUP($U76,'02 Lists'!$A$5:$B$18,2,FALSE()),1)))</f>
        <v/>
      </c>
      <c r="Y76" s="140" t="n"/>
      <c r="Z76" s="147" t="n"/>
      <c r="AA76" s="141" t="n"/>
      <c r="AB76" s="148" t="n"/>
      <c r="AC76" s="149" t="n"/>
      <c r="AD76" s="150">
        <f>IF(OR($AB76="",$Z76="",$Z76=0),"",$AB76/(1+IF(IFERROR(INDEX('03 Suppliers'!$N$5:$N$34,MATCH($Y76,'03 Suppliers'!$B$5:$B$34,0)),"Excl VAT")="Incl VAT",'01 Control'!$C$6,0))/($Z76*IFERROR(VLOOKUP($AA76,'02 Lists'!$A$5:$B$18,2,FALSE()),1)))</f>
        <v/>
      </c>
      <c r="AE76" s="140" t="n"/>
      <c r="AF76" s="147" t="n"/>
      <c r="AG76" s="141" t="n"/>
      <c r="AH76" s="148" t="n"/>
      <c r="AI76" s="149" t="n"/>
      <c r="AJ76" s="150">
        <f>IF(OR($AH76="",$AF76="",$AF76=0),"",$AH76/(1+IF(IFERROR(INDEX('03 Suppliers'!$N$5:$N$34,MATCH($AE76,'03 Suppliers'!$B$5:$B$34,0)),"Excl VAT")="Incl VAT",'01 Control'!$C$6,0))/($AF76*IFERROR(VLOOKUP($AG76,'02 Lists'!$A$5:$B$18,2,FALSE()),1)))</f>
        <v/>
      </c>
      <c r="AK76" s="151">
        <f>IF(COUNT(L76,R76,X76,AD76,AJ76)=0,"",MIN(L76,R76,X76,AD76,AJ76))</f>
        <v/>
      </c>
      <c r="AL76" s="126">
        <f>IF($AK76="","",IF(L76=$AK76,$G76,IF(R76=$AK76,$M76,IF(X76=$AK76,$S76,IF(AD76=$AK76,$Y76,IF(AJ76=$AK76,$AE76,""))))))</f>
        <v/>
      </c>
      <c r="AM76" s="151">
        <f>IF($AK76="","",$AK76/IF($E76="",1,$E76))</f>
        <v/>
      </c>
      <c r="AN76" s="152">
        <f>COUNT(L76,R76,X76,AD76,AJ76)</f>
        <v/>
      </c>
      <c r="AO76" s="150">
        <f>IF(COUNT(L76,R76,X76,AD76,AJ76)=0,"",MAX(L76,R76,X76,AD76,AJ76))</f>
        <v/>
      </c>
      <c r="AP76" s="153">
        <f>IF(OR($AK76="",$AO76="",$AO76=0),"",($AO76-$AK76)/$AO76)</f>
        <v/>
      </c>
      <c r="AQ76" s="154">
        <f>IF($AK76="","",IF(L76=$AK76,$K76,IF(R76=$AK76,$Q76,IF(X76=$AK76,$W76,IF(AD76=$AK76,$AC76,IF(AJ76=$AK76,$AI76,""))))))</f>
        <v/>
      </c>
    </row>
    <row r="77" ht="15" customHeight="1" s="106">
      <c r="A77" s="134" t="inlineStr">
        <is>
          <t>PP-GRO-MSH-001</t>
        </is>
      </c>
      <c r="B77" s="138" t="inlineStr">
        <is>
          <t>Mushroom (TLF)</t>
        </is>
      </c>
      <c r="C77" s="113" t="inlineStr">
        <is>
          <t>Grey oyster mushrooms</t>
        </is>
      </c>
      <c r="D77" s="139" t="inlineStr">
        <is>
          <t>g</t>
        </is>
      </c>
      <c r="E77" s="146" t="n">
        <v>0.95</v>
      </c>
      <c r="F77" s="116" t="inlineStr">
        <is>
          <t>The Local Farmer</t>
        </is>
      </c>
      <c r="G77" s="140" t="inlineStr">
        <is>
          <t>The Local Farmer</t>
        </is>
      </c>
      <c r="H77" s="147" t="n">
        <v>1</v>
      </c>
      <c r="I77" s="141" t="inlineStr">
        <is>
          <t>kg</t>
        </is>
      </c>
      <c r="J77" s="148" t="n">
        <v>563.14</v>
      </c>
      <c r="K77" s="149" t="n">
        <v>46251</v>
      </c>
      <c r="L77" s="150">
        <f>IF(OR($J77="",$H77="",$H77=0),"",$J77/(1+IF(IFERROR(INDEX('03 Suppliers'!$N$5:$N$34,MATCH($G77,'03 Suppliers'!$B$5:$B$34,0)),"Excl VAT")="Incl VAT",'01 Control'!$C$6,0))/($H77*IFERROR(VLOOKUP($I77,'02 Lists'!$A$5:$B$18,2,FALSE()),1)))</f>
        <v/>
      </c>
      <c r="M77" s="140" t="n"/>
      <c r="N77" s="147" t="n"/>
      <c r="O77" s="141" t="n"/>
      <c r="P77" s="148" t="n"/>
      <c r="Q77" s="149" t="n"/>
      <c r="R77" s="150">
        <f>IF(OR($P77="",$N77="",$N77=0),"",$P77/(1+IF(IFERROR(INDEX('03 Suppliers'!$N$5:$N$34,MATCH($M77,'03 Suppliers'!$B$5:$B$34,0)),"Excl VAT")="Incl VAT",'01 Control'!$C$6,0))/($N77*IFERROR(VLOOKUP($O77,'02 Lists'!$A$5:$B$18,2,FALSE()),1)))</f>
        <v/>
      </c>
      <c r="S77" s="140" t="n"/>
      <c r="T77" s="147" t="n"/>
      <c r="U77" s="141" t="n"/>
      <c r="V77" s="148" t="n"/>
      <c r="W77" s="149" t="n"/>
      <c r="X77" s="150">
        <f>IF(OR($V77="",$T77="",$T77=0),"",$V77/(1+IF(IFERROR(INDEX('03 Suppliers'!$N$5:$N$34,MATCH($S77,'03 Suppliers'!$B$5:$B$34,0)),"Excl VAT")="Incl VAT",'01 Control'!$C$6,0))/($T77*IFERROR(VLOOKUP($U77,'02 Lists'!$A$5:$B$18,2,FALSE()),1)))</f>
        <v/>
      </c>
      <c r="Y77" s="140" t="n"/>
      <c r="Z77" s="147" t="n"/>
      <c r="AA77" s="141" t="n"/>
      <c r="AB77" s="148" t="n"/>
      <c r="AC77" s="149" t="n"/>
      <c r="AD77" s="150">
        <f>IF(OR($AB77="",$Z77="",$Z77=0),"",$AB77/(1+IF(IFERROR(INDEX('03 Suppliers'!$N$5:$N$34,MATCH($Y77,'03 Suppliers'!$B$5:$B$34,0)),"Excl VAT")="Incl VAT",'01 Control'!$C$6,0))/($Z77*IFERROR(VLOOKUP($AA77,'02 Lists'!$A$5:$B$18,2,FALSE()),1)))</f>
        <v/>
      </c>
      <c r="AE77" s="140" t="n"/>
      <c r="AF77" s="147" t="n"/>
      <c r="AG77" s="141" t="n"/>
      <c r="AH77" s="148" t="n"/>
      <c r="AI77" s="149" t="n"/>
      <c r="AJ77" s="150">
        <f>IF(OR($AH77="",$AF77="",$AF77=0),"",$AH77/(1+IF(IFERROR(INDEX('03 Suppliers'!$N$5:$N$34,MATCH($AE77,'03 Suppliers'!$B$5:$B$34,0)),"Excl VAT")="Incl VAT",'01 Control'!$C$6,0))/($AF77*IFERROR(VLOOKUP($AG77,'02 Lists'!$A$5:$B$18,2,FALSE()),1)))</f>
        <v/>
      </c>
      <c r="AK77" s="151">
        <f>IF(COUNT(L77,R77,X77,AD77,AJ77)=0,"",MIN(L77,R77,X77,AD77,AJ77))</f>
        <v/>
      </c>
      <c r="AL77" s="126">
        <f>IF($AK77="","",IF(L77=$AK77,$G77,IF(R77=$AK77,$M77,IF(X77=$AK77,$S77,IF(AD77=$AK77,$Y77,IF(AJ77=$AK77,$AE77,""))))))</f>
        <v/>
      </c>
      <c r="AM77" s="151">
        <f>IF($AK77="","",$AK77/IF($E77="",1,$E77))</f>
        <v/>
      </c>
      <c r="AN77" s="152">
        <f>COUNT(L77,R77,X77,AD77,AJ77)</f>
        <v/>
      </c>
      <c r="AO77" s="150">
        <f>IF(COUNT(L77,R77,X77,AD77,AJ77)=0,"",MAX(L77,R77,X77,AD77,AJ77))</f>
        <v/>
      </c>
      <c r="AP77" s="153">
        <f>IF(OR($AK77="",$AO77="",$AO77=0),"",($AO77-$AK77)/$AO77)</f>
        <v/>
      </c>
      <c r="AQ77" s="154">
        <f>IF($AK77="","",IF(L77=$AK77,$K77,IF(R77=$AK77,$Q77,IF(X77=$AK77,$W77,IF(AD77=$AK77,$AC77,IF(AJ77=$AK77,$AI77,""))))))</f>
        <v/>
      </c>
    </row>
    <row r="78" ht="15" customHeight="1" s="106">
      <c r="A78" s="134" t="inlineStr">
        <is>
          <t>PP-KO-MSH-002</t>
        </is>
      </c>
      <c r="B78" s="138" t="inlineStr">
        <is>
          <t>Mushroom (TLF)</t>
        </is>
      </c>
      <c r="C78" s="113" t="inlineStr">
        <is>
          <t>King oyster mushrooms</t>
        </is>
      </c>
      <c r="D78" s="139" t="inlineStr">
        <is>
          <t>g</t>
        </is>
      </c>
      <c r="E78" s="146" t="n">
        <v>0.95</v>
      </c>
      <c r="F78" s="116" t="inlineStr">
        <is>
          <t>The Local Farmer</t>
        </is>
      </c>
      <c r="G78" s="140" t="inlineStr">
        <is>
          <t>The Local Farmer</t>
        </is>
      </c>
      <c r="H78" s="147" t="n">
        <v>1</v>
      </c>
      <c r="I78" s="141" t="inlineStr">
        <is>
          <t>kg</t>
        </is>
      </c>
      <c r="J78" s="148" t="n">
        <v>563.14</v>
      </c>
      <c r="K78" s="149" t="n">
        <v>46251</v>
      </c>
      <c r="L78" s="150">
        <f>IF(OR($J78="",$H78="",$H78=0),"",$J78/(1+IF(IFERROR(INDEX('03 Suppliers'!$N$5:$N$34,MATCH($G78,'03 Suppliers'!$B$5:$B$34,0)),"Excl VAT")="Incl VAT",'01 Control'!$C$6,0))/($H78*IFERROR(VLOOKUP($I78,'02 Lists'!$A$5:$B$18,2,FALSE()),1)))</f>
        <v/>
      </c>
      <c r="M78" s="140" t="n"/>
      <c r="N78" s="147" t="n"/>
      <c r="O78" s="141" t="n"/>
      <c r="P78" s="148" t="n"/>
      <c r="Q78" s="149" t="n"/>
      <c r="R78" s="150">
        <f>IF(OR($P78="",$N78="",$N78=0),"",$P78/(1+IF(IFERROR(INDEX('03 Suppliers'!$N$5:$N$34,MATCH($M78,'03 Suppliers'!$B$5:$B$34,0)),"Excl VAT")="Incl VAT",'01 Control'!$C$6,0))/($N78*IFERROR(VLOOKUP($O78,'02 Lists'!$A$5:$B$18,2,FALSE()),1)))</f>
        <v/>
      </c>
      <c r="S78" s="140" t="n"/>
      <c r="T78" s="147" t="n"/>
      <c r="U78" s="141" t="n"/>
      <c r="V78" s="148" t="n"/>
      <c r="W78" s="149" t="n"/>
      <c r="X78" s="150">
        <f>IF(OR($V78="",$T78="",$T78=0),"",$V78/(1+IF(IFERROR(INDEX('03 Suppliers'!$N$5:$N$34,MATCH($S78,'03 Suppliers'!$B$5:$B$34,0)),"Excl VAT")="Incl VAT",'01 Control'!$C$6,0))/($T78*IFERROR(VLOOKUP($U78,'02 Lists'!$A$5:$B$18,2,FALSE()),1)))</f>
        <v/>
      </c>
      <c r="Y78" s="140" t="n"/>
      <c r="Z78" s="147" t="n"/>
      <c r="AA78" s="141" t="n"/>
      <c r="AB78" s="148" t="n"/>
      <c r="AC78" s="149" t="n"/>
      <c r="AD78" s="150">
        <f>IF(OR($AB78="",$Z78="",$Z78=0),"",$AB78/(1+IF(IFERROR(INDEX('03 Suppliers'!$N$5:$N$34,MATCH($Y78,'03 Suppliers'!$B$5:$B$34,0)),"Excl VAT")="Incl VAT",'01 Control'!$C$6,0))/($Z78*IFERROR(VLOOKUP($AA78,'02 Lists'!$A$5:$B$18,2,FALSE()),1)))</f>
        <v/>
      </c>
      <c r="AE78" s="140" t="n"/>
      <c r="AF78" s="147" t="n"/>
      <c r="AG78" s="141" t="n"/>
      <c r="AH78" s="148" t="n"/>
      <c r="AI78" s="149" t="n"/>
      <c r="AJ78" s="150">
        <f>IF(OR($AH78="",$AF78="",$AF78=0),"",$AH78/(1+IF(IFERROR(INDEX('03 Suppliers'!$N$5:$N$34,MATCH($AE78,'03 Suppliers'!$B$5:$B$34,0)),"Excl VAT")="Incl VAT",'01 Control'!$C$6,0))/($AF78*IFERROR(VLOOKUP($AG78,'02 Lists'!$A$5:$B$18,2,FALSE()),1)))</f>
        <v/>
      </c>
      <c r="AK78" s="151">
        <f>IF(COUNT(L78,R78,X78,AD78,AJ78)=0,"",MIN(L78,R78,X78,AD78,AJ78))</f>
        <v/>
      </c>
      <c r="AL78" s="126">
        <f>IF($AK78="","",IF(L78=$AK78,$G78,IF(R78=$AK78,$M78,IF(X78=$AK78,$S78,IF(AD78=$AK78,$Y78,IF(AJ78=$AK78,$AE78,""))))))</f>
        <v/>
      </c>
      <c r="AM78" s="151">
        <f>IF($AK78="","",$AK78/IF($E78="",1,$E78))</f>
        <v/>
      </c>
      <c r="AN78" s="152">
        <f>COUNT(L78,R78,X78,AD78,AJ78)</f>
        <v/>
      </c>
      <c r="AO78" s="150">
        <f>IF(COUNT(L78,R78,X78,AD78,AJ78)=0,"",MAX(L78,R78,X78,AD78,AJ78))</f>
        <v/>
      </c>
      <c r="AP78" s="153">
        <f>IF(OR($AK78="",$AO78="",$AO78=0),"",($AO78-$AK78)/$AO78)</f>
        <v/>
      </c>
      <c r="AQ78" s="154">
        <f>IF($AK78="","",IF(L78=$AK78,$K78,IF(R78=$AK78,$Q78,IF(X78=$AK78,$W78,IF(AD78=$AK78,$AC78,IF(AJ78=$AK78,$AI78,""))))))</f>
        <v/>
      </c>
    </row>
    <row r="79" ht="15" customHeight="1" s="106">
      <c r="A79" s="134" t="inlineStr">
        <is>
          <t>PP-BA-MIC-001</t>
        </is>
      </c>
      <c r="B79" s="138" t="inlineStr">
        <is>
          <t>Microgreen</t>
        </is>
      </c>
      <c r="C79" s="113" t="inlineStr">
        <is>
          <t>Basil microgreens</t>
        </is>
      </c>
      <c r="D79" s="139" t="inlineStr">
        <is>
          <t>g</t>
        </is>
      </c>
      <c r="E79" s="146" t="n">
        <v>1</v>
      </c>
      <c r="F79" s="116" t="inlineStr">
        <is>
          <t>The Local Farmer</t>
        </is>
      </c>
      <c r="G79" s="140" t="inlineStr">
        <is>
          <t>The Local Farmer</t>
        </is>
      </c>
      <c r="H79" s="147" t="n">
        <v>1</v>
      </c>
      <c r="I79" s="141" t="inlineStr">
        <is>
          <t>kg</t>
        </is>
      </c>
      <c r="J79" s="148" t="n">
        <v>362.96</v>
      </c>
      <c r="K79" s="149" t="n">
        <v>46251</v>
      </c>
      <c r="L79" s="150">
        <f>IF(OR($J79="",$H79="",$H79=0),"",$J79/(1+IF(IFERROR(INDEX('03 Suppliers'!$N$5:$N$34,MATCH($G79,'03 Suppliers'!$B$5:$B$34,0)),"Excl VAT")="Incl VAT",'01 Control'!$C$6,0))/($H79*IFERROR(VLOOKUP($I79,'02 Lists'!$A$5:$B$18,2,FALSE()),1)))</f>
        <v/>
      </c>
      <c r="M79" s="140" t="n"/>
      <c r="N79" s="147" t="n"/>
      <c r="O79" s="141" t="n"/>
      <c r="P79" s="148" t="n"/>
      <c r="Q79" s="149" t="n"/>
      <c r="R79" s="150">
        <f>IF(OR($P79="",$N79="",$N79=0),"",$P79/(1+IF(IFERROR(INDEX('03 Suppliers'!$N$5:$N$34,MATCH($M79,'03 Suppliers'!$B$5:$B$34,0)),"Excl VAT")="Incl VAT",'01 Control'!$C$6,0))/($N79*IFERROR(VLOOKUP($O79,'02 Lists'!$A$5:$B$18,2,FALSE()),1)))</f>
        <v/>
      </c>
      <c r="S79" s="140" t="n"/>
      <c r="T79" s="147" t="n"/>
      <c r="U79" s="141" t="n"/>
      <c r="V79" s="148" t="n"/>
      <c r="W79" s="149" t="n"/>
      <c r="X79" s="150">
        <f>IF(OR($V79="",$T79="",$T79=0),"",$V79/(1+IF(IFERROR(INDEX('03 Suppliers'!$N$5:$N$34,MATCH($S79,'03 Suppliers'!$B$5:$B$34,0)),"Excl VAT")="Incl VAT",'01 Control'!$C$6,0))/($T79*IFERROR(VLOOKUP($U79,'02 Lists'!$A$5:$B$18,2,FALSE()),1)))</f>
        <v/>
      </c>
      <c r="Y79" s="140" t="n"/>
      <c r="Z79" s="147" t="n"/>
      <c r="AA79" s="141" t="n"/>
      <c r="AB79" s="148" t="n"/>
      <c r="AC79" s="149" t="n"/>
      <c r="AD79" s="150">
        <f>IF(OR($AB79="",$Z79="",$Z79=0),"",$AB79/(1+IF(IFERROR(INDEX('03 Suppliers'!$N$5:$N$34,MATCH($Y79,'03 Suppliers'!$B$5:$B$34,0)),"Excl VAT")="Incl VAT",'01 Control'!$C$6,0))/($Z79*IFERROR(VLOOKUP($AA79,'02 Lists'!$A$5:$B$18,2,FALSE()),1)))</f>
        <v/>
      </c>
      <c r="AE79" s="140" t="n"/>
      <c r="AF79" s="147" t="n"/>
      <c r="AG79" s="141" t="n"/>
      <c r="AH79" s="148" t="n"/>
      <c r="AI79" s="149" t="n"/>
      <c r="AJ79" s="150">
        <f>IF(OR($AH79="",$AF79="",$AF79=0),"",$AH79/(1+IF(IFERROR(INDEX('03 Suppliers'!$N$5:$N$34,MATCH($AE79,'03 Suppliers'!$B$5:$B$34,0)),"Excl VAT")="Incl VAT",'01 Control'!$C$6,0))/($AF79*IFERROR(VLOOKUP($AG79,'02 Lists'!$A$5:$B$18,2,FALSE()),1)))</f>
        <v/>
      </c>
      <c r="AK79" s="151">
        <f>IF(COUNT(L79,R79,X79,AD79,AJ79)=0,"",MIN(L79,R79,X79,AD79,AJ79))</f>
        <v/>
      </c>
      <c r="AL79" s="126">
        <f>IF($AK79="","",IF(L79=$AK79,$G79,IF(R79=$AK79,$M79,IF(X79=$AK79,$S79,IF(AD79=$AK79,$Y79,IF(AJ79=$AK79,$AE79,""))))))</f>
        <v/>
      </c>
      <c r="AM79" s="151">
        <f>IF($AK79="","",$AK79/IF($E79="",1,$E79))</f>
        <v/>
      </c>
      <c r="AN79" s="152">
        <f>COUNT(L79,R79,X79,AD79,AJ79)</f>
        <v/>
      </c>
      <c r="AO79" s="150">
        <f>IF(COUNT(L79,R79,X79,AD79,AJ79)=0,"",MAX(L79,R79,X79,AD79,AJ79))</f>
        <v/>
      </c>
      <c r="AP79" s="153">
        <f>IF(OR($AK79="",$AO79="",$AO79=0),"",($AO79-$AK79)/$AO79)</f>
        <v/>
      </c>
      <c r="AQ79" s="154">
        <f>IF($AK79="","",IF(L79=$AK79,$K79,IF(R79=$AK79,$Q79,IF(X79=$AK79,$W79,IF(AD79=$AK79,$AC79,IF(AJ79=$AK79,$AI79,""))))))</f>
        <v/>
      </c>
    </row>
    <row r="80" ht="15" customHeight="1" s="106">
      <c r="A80" s="134" t="inlineStr">
        <is>
          <t>PP-ROC-MIC-002</t>
        </is>
      </c>
      <c r="B80" s="138" t="inlineStr">
        <is>
          <t>Microgreen</t>
        </is>
      </c>
      <c r="C80" s="113" t="inlineStr">
        <is>
          <t>Rocket microgreens</t>
        </is>
      </c>
      <c r="D80" s="139" t="inlineStr">
        <is>
          <t>g</t>
        </is>
      </c>
      <c r="E80" s="146" t="n">
        <v>1</v>
      </c>
      <c r="F80" s="116" t="inlineStr">
        <is>
          <t>The Local Farmer</t>
        </is>
      </c>
      <c r="G80" s="140" t="inlineStr">
        <is>
          <t>The Local Farmer</t>
        </is>
      </c>
      <c r="H80" s="147" t="n">
        <v>1</v>
      </c>
      <c r="I80" s="141" t="inlineStr">
        <is>
          <t>kg</t>
        </is>
      </c>
      <c r="J80" s="148" t="n">
        <v>287.42</v>
      </c>
      <c r="K80" s="149" t="n">
        <v>46251</v>
      </c>
      <c r="L80" s="150">
        <f>IF(OR($J80="",$H80="",$H80=0),"",$J80/(1+IF(IFERROR(INDEX('03 Suppliers'!$N$5:$N$34,MATCH($G80,'03 Suppliers'!$B$5:$B$34,0)),"Excl VAT")="Incl VAT",'01 Control'!$C$6,0))/($H80*IFERROR(VLOOKUP($I80,'02 Lists'!$A$5:$B$18,2,FALSE()),1)))</f>
        <v/>
      </c>
      <c r="M80" s="140" t="n"/>
      <c r="N80" s="147" t="n"/>
      <c r="O80" s="141" t="n"/>
      <c r="P80" s="148" t="n"/>
      <c r="Q80" s="149" t="n"/>
      <c r="R80" s="150">
        <f>IF(OR($P80="",$N80="",$N80=0),"",$P80/(1+IF(IFERROR(INDEX('03 Suppliers'!$N$5:$N$34,MATCH($M80,'03 Suppliers'!$B$5:$B$34,0)),"Excl VAT")="Incl VAT",'01 Control'!$C$6,0))/($N80*IFERROR(VLOOKUP($O80,'02 Lists'!$A$5:$B$18,2,FALSE()),1)))</f>
        <v/>
      </c>
      <c r="S80" s="140" t="n"/>
      <c r="T80" s="147" t="n"/>
      <c r="U80" s="141" t="n"/>
      <c r="V80" s="148" t="n"/>
      <c r="W80" s="149" t="n"/>
      <c r="X80" s="150">
        <f>IF(OR($V80="",$T80="",$T80=0),"",$V80/(1+IF(IFERROR(INDEX('03 Suppliers'!$N$5:$N$34,MATCH($S80,'03 Suppliers'!$B$5:$B$34,0)),"Excl VAT")="Incl VAT",'01 Control'!$C$6,0))/($T80*IFERROR(VLOOKUP($U80,'02 Lists'!$A$5:$B$18,2,FALSE()),1)))</f>
        <v/>
      </c>
      <c r="Y80" s="140" t="n"/>
      <c r="Z80" s="147" t="n"/>
      <c r="AA80" s="141" t="n"/>
      <c r="AB80" s="148" t="n"/>
      <c r="AC80" s="149" t="n"/>
      <c r="AD80" s="150">
        <f>IF(OR($AB80="",$Z80="",$Z80=0),"",$AB80/(1+IF(IFERROR(INDEX('03 Suppliers'!$N$5:$N$34,MATCH($Y80,'03 Suppliers'!$B$5:$B$34,0)),"Excl VAT")="Incl VAT",'01 Control'!$C$6,0))/($Z80*IFERROR(VLOOKUP($AA80,'02 Lists'!$A$5:$B$18,2,FALSE()),1)))</f>
        <v/>
      </c>
      <c r="AE80" s="140" t="n"/>
      <c r="AF80" s="147" t="n"/>
      <c r="AG80" s="141" t="n"/>
      <c r="AH80" s="148" t="n"/>
      <c r="AI80" s="149" t="n"/>
      <c r="AJ80" s="150">
        <f>IF(OR($AH80="",$AF80="",$AF80=0),"",$AH80/(1+IF(IFERROR(INDEX('03 Suppliers'!$N$5:$N$34,MATCH($AE80,'03 Suppliers'!$B$5:$B$34,0)),"Excl VAT")="Incl VAT",'01 Control'!$C$6,0))/($AF80*IFERROR(VLOOKUP($AG80,'02 Lists'!$A$5:$B$18,2,FALSE()),1)))</f>
        <v/>
      </c>
      <c r="AK80" s="151">
        <f>IF(COUNT(L80,R80,X80,AD80,AJ80)=0,"",MIN(L80,R80,X80,AD80,AJ80))</f>
        <v/>
      </c>
      <c r="AL80" s="126">
        <f>IF($AK80="","",IF(L80=$AK80,$G80,IF(R80=$AK80,$M80,IF(X80=$AK80,$S80,IF(AD80=$AK80,$Y80,IF(AJ80=$AK80,$AE80,""))))))</f>
        <v/>
      </c>
      <c r="AM80" s="151">
        <f>IF($AK80="","",$AK80/IF($E80="",1,$E80))</f>
        <v/>
      </c>
      <c r="AN80" s="152">
        <f>COUNT(L80,R80,X80,AD80,AJ80)</f>
        <v/>
      </c>
      <c r="AO80" s="150">
        <f>IF(COUNT(L80,R80,X80,AD80,AJ80)=0,"",MAX(L80,R80,X80,AD80,AJ80))</f>
        <v/>
      </c>
      <c r="AP80" s="153">
        <f>IF(OR($AK80="",$AO80="",$AO80=0),"",($AO80-$AK80)/$AO80)</f>
        <v/>
      </c>
      <c r="AQ80" s="154">
        <f>IF($AK80="","",IF(L80=$AK80,$K80,IF(R80=$AK80,$Q80,IF(X80=$AK80,$W80,IF(AD80=$AK80,$AC80,IF(AJ80=$AK80,$AI80,""))))))</f>
        <v/>
      </c>
    </row>
    <row r="81" ht="33.75" customHeight="1" s="106">
      <c r="A81" s="134" t="inlineStr">
        <is>
          <t>PP-RAD-MIC-003</t>
        </is>
      </c>
      <c r="B81" s="138" t="inlineStr">
        <is>
          <t>Microgreen</t>
        </is>
      </c>
      <c r="C81" s="113" t="inlineStr">
        <is>
          <t>Radish microgreens</t>
        </is>
      </c>
      <c r="D81" s="139" t="inlineStr">
        <is>
          <t>g</t>
        </is>
      </c>
      <c r="E81" s="146" t="n">
        <v>1</v>
      </c>
      <c r="F81" s="155" t="inlineStr">
        <is>
          <t>The Local Farmer  CHECK THE UNIT: the carried-over quote reads R19.06/kg, which is out of line with the rest of the list. Confirm per-kg vs pack price before this reaches a menu price.</t>
        </is>
      </c>
      <c r="G81" s="140" t="inlineStr">
        <is>
          <t>The Local Farmer</t>
        </is>
      </c>
      <c r="H81" s="147" t="n">
        <v>1</v>
      </c>
      <c r="I81" s="141" t="inlineStr">
        <is>
          <t>kg</t>
        </is>
      </c>
      <c r="J81" s="156" t="n">
        <v>19.06</v>
      </c>
      <c r="K81" s="149" t="n">
        <v>46251</v>
      </c>
      <c r="L81" s="150">
        <f>IF(OR($J81="",$H81="",$H81=0),"",$J81/(1+IF(IFERROR(INDEX('03 Suppliers'!$N$5:$N$34,MATCH($G81,'03 Suppliers'!$B$5:$B$34,0)),"Excl VAT")="Incl VAT",'01 Control'!$C$6,0))/($H81*IFERROR(VLOOKUP($I81,'02 Lists'!$A$5:$B$18,2,FALSE()),1)))</f>
        <v/>
      </c>
      <c r="M81" s="140" t="n"/>
      <c r="N81" s="147" t="n"/>
      <c r="O81" s="141" t="n"/>
      <c r="P81" s="148" t="n"/>
      <c r="Q81" s="149" t="n"/>
      <c r="R81" s="150">
        <f>IF(OR($P81="",$N81="",$N81=0),"",$P81/(1+IF(IFERROR(INDEX('03 Suppliers'!$N$5:$N$34,MATCH($M81,'03 Suppliers'!$B$5:$B$34,0)),"Excl VAT")="Incl VAT",'01 Control'!$C$6,0))/($N81*IFERROR(VLOOKUP($O81,'02 Lists'!$A$5:$B$18,2,FALSE()),1)))</f>
        <v/>
      </c>
      <c r="S81" s="140" t="n"/>
      <c r="T81" s="147" t="n"/>
      <c r="U81" s="141" t="n"/>
      <c r="V81" s="148" t="n"/>
      <c r="W81" s="149" t="n"/>
      <c r="X81" s="150">
        <f>IF(OR($V81="",$T81="",$T81=0),"",$V81/(1+IF(IFERROR(INDEX('03 Suppliers'!$N$5:$N$34,MATCH($S81,'03 Suppliers'!$B$5:$B$34,0)),"Excl VAT")="Incl VAT",'01 Control'!$C$6,0))/($T81*IFERROR(VLOOKUP($U81,'02 Lists'!$A$5:$B$18,2,FALSE()),1)))</f>
        <v/>
      </c>
      <c r="Y81" s="140" t="n"/>
      <c r="Z81" s="147" t="n"/>
      <c r="AA81" s="141" t="n"/>
      <c r="AB81" s="148" t="n"/>
      <c r="AC81" s="149" t="n"/>
      <c r="AD81" s="150">
        <f>IF(OR($AB81="",$Z81="",$Z81=0),"",$AB81/(1+IF(IFERROR(INDEX('03 Suppliers'!$N$5:$N$34,MATCH($Y81,'03 Suppliers'!$B$5:$B$34,0)),"Excl VAT")="Incl VAT",'01 Control'!$C$6,0))/($Z81*IFERROR(VLOOKUP($AA81,'02 Lists'!$A$5:$B$18,2,FALSE()),1)))</f>
        <v/>
      </c>
      <c r="AE81" s="140" t="n"/>
      <c r="AF81" s="147" t="n"/>
      <c r="AG81" s="141" t="n"/>
      <c r="AH81" s="148" t="n"/>
      <c r="AI81" s="149" t="n"/>
      <c r="AJ81" s="150">
        <f>IF(OR($AH81="",$AF81="",$AF81=0),"",$AH81/(1+IF(IFERROR(INDEX('03 Suppliers'!$N$5:$N$34,MATCH($AE81,'03 Suppliers'!$B$5:$B$34,0)),"Excl VAT")="Incl VAT",'01 Control'!$C$6,0))/($AF81*IFERROR(VLOOKUP($AG81,'02 Lists'!$A$5:$B$18,2,FALSE()),1)))</f>
        <v/>
      </c>
      <c r="AK81" s="151">
        <f>IF(COUNT(L81,R81,X81,AD81,AJ81)=0,"",MIN(L81,R81,X81,AD81,AJ81))</f>
        <v/>
      </c>
      <c r="AL81" s="126">
        <f>IF($AK81="","",IF(L81=$AK81,$G81,IF(R81=$AK81,$M81,IF(X81=$AK81,$S81,IF(AD81=$AK81,$Y81,IF(AJ81=$AK81,$AE81,""))))))</f>
        <v/>
      </c>
      <c r="AM81" s="151">
        <f>IF($AK81="","",$AK81/IF($E81="",1,$E81))</f>
        <v/>
      </c>
      <c r="AN81" s="152">
        <f>COUNT(L81,R81,X81,AD81,AJ81)</f>
        <v/>
      </c>
      <c r="AO81" s="150">
        <f>IF(COUNT(L81,R81,X81,AD81,AJ81)=0,"",MAX(L81,R81,X81,AD81,AJ81))</f>
        <v/>
      </c>
      <c r="AP81" s="153">
        <f>IF(OR($AK81="",$AO81="",$AO81=0),"",($AO81-$AK81)/$AO81)</f>
        <v/>
      </c>
      <c r="AQ81" s="154">
        <f>IF($AK81="","",IF(L81=$AK81,$K81,IF(R81=$AK81,$Q81,IF(X81=$AK81,$W81,IF(AD81=$AK81,$AC81,IF(AJ81=$AK81,$AI81,""))))))</f>
        <v/>
      </c>
    </row>
    <row r="82" ht="15" customHeight="1" s="106">
      <c r="A82" s="134" t="inlineStr">
        <is>
          <t>PP-AMR-MIC-004</t>
        </is>
      </c>
      <c r="B82" s="138" t="inlineStr">
        <is>
          <t>Microgreen</t>
        </is>
      </c>
      <c r="C82" s="113" t="inlineStr">
        <is>
          <t>Amaranth microgreens</t>
        </is>
      </c>
      <c r="D82" s="139" t="inlineStr">
        <is>
          <t>g</t>
        </is>
      </c>
      <c r="E82" s="146" t="n">
        <v>1</v>
      </c>
      <c r="F82" s="116" t="inlineStr">
        <is>
          <t>The Local Farmer</t>
        </is>
      </c>
      <c r="G82" s="140" t="inlineStr">
        <is>
          <t>The Local Farmer</t>
        </is>
      </c>
      <c r="H82" s="147" t="n">
        <v>1</v>
      </c>
      <c r="I82" s="141" t="inlineStr">
        <is>
          <t>kg</t>
        </is>
      </c>
      <c r="J82" s="148" t="n">
        <v>527.14</v>
      </c>
      <c r="K82" s="149" t="n">
        <v>46251</v>
      </c>
      <c r="L82" s="150">
        <f>IF(OR($J82="",$H82="",$H82=0),"",$J82/(1+IF(IFERROR(INDEX('03 Suppliers'!$N$5:$N$34,MATCH($G82,'03 Suppliers'!$B$5:$B$34,0)),"Excl VAT")="Incl VAT",'01 Control'!$C$6,0))/($H82*IFERROR(VLOOKUP($I82,'02 Lists'!$A$5:$B$18,2,FALSE()),1)))</f>
        <v/>
      </c>
      <c r="M82" s="140" t="n"/>
      <c r="N82" s="147" t="n"/>
      <c r="O82" s="141" t="n"/>
      <c r="P82" s="148" t="n"/>
      <c r="Q82" s="149" t="n"/>
      <c r="R82" s="150">
        <f>IF(OR($P82="",$N82="",$N82=0),"",$P82/(1+IF(IFERROR(INDEX('03 Suppliers'!$N$5:$N$34,MATCH($M82,'03 Suppliers'!$B$5:$B$34,0)),"Excl VAT")="Incl VAT",'01 Control'!$C$6,0))/($N82*IFERROR(VLOOKUP($O82,'02 Lists'!$A$5:$B$18,2,FALSE()),1)))</f>
        <v/>
      </c>
      <c r="S82" s="140" t="n"/>
      <c r="T82" s="147" t="n"/>
      <c r="U82" s="141" t="n"/>
      <c r="V82" s="148" t="n"/>
      <c r="W82" s="149" t="n"/>
      <c r="X82" s="150">
        <f>IF(OR($V82="",$T82="",$T82=0),"",$V82/(1+IF(IFERROR(INDEX('03 Suppliers'!$N$5:$N$34,MATCH($S82,'03 Suppliers'!$B$5:$B$34,0)),"Excl VAT")="Incl VAT",'01 Control'!$C$6,0))/($T82*IFERROR(VLOOKUP($U82,'02 Lists'!$A$5:$B$18,2,FALSE()),1)))</f>
        <v/>
      </c>
      <c r="Y82" s="140" t="n"/>
      <c r="Z82" s="147" t="n"/>
      <c r="AA82" s="141" t="n"/>
      <c r="AB82" s="148" t="n"/>
      <c r="AC82" s="149" t="n"/>
      <c r="AD82" s="150">
        <f>IF(OR($AB82="",$Z82="",$Z82=0),"",$AB82/(1+IF(IFERROR(INDEX('03 Suppliers'!$N$5:$N$34,MATCH($Y82,'03 Suppliers'!$B$5:$B$34,0)),"Excl VAT")="Incl VAT",'01 Control'!$C$6,0))/($Z82*IFERROR(VLOOKUP($AA82,'02 Lists'!$A$5:$B$18,2,FALSE()),1)))</f>
        <v/>
      </c>
      <c r="AE82" s="140" t="n"/>
      <c r="AF82" s="147" t="n"/>
      <c r="AG82" s="141" t="n"/>
      <c r="AH82" s="148" t="n"/>
      <c r="AI82" s="149" t="n"/>
      <c r="AJ82" s="150">
        <f>IF(OR($AH82="",$AF82="",$AF82=0),"",$AH82/(1+IF(IFERROR(INDEX('03 Suppliers'!$N$5:$N$34,MATCH($AE82,'03 Suppliers'!$B$5:$B$34,0)),"Excl VAT")="Incl VAT",'01 Control'!$C$6,0))/($AF82*IFERROR(VLOOKUP($AG82,'02 Lists'!$A$5:$B$18,2,FALSE()),1)))</f>
        <v/>
      </c>
      <c r="AK82" s="151">
        <f>IF(COUNT(L82,R82,X82,AD82,AJ82)=0,"",MIN(L82,R82,X82,AD82,AJ82))</f>
        <v/>
      </c>
      <c r="AL82" s="126">
        <f>IF($AK82="","",IF(L82=$AK82,$G82,IF(R82=$AK82,$M82,IF(X82=$AK82,$S82,IF(AD82=$AK82,$Y82,IF(AJ82=$AK82,$AE82,""))))))</f>
        <v/>
      </c>
      <c r="AM82" s="151">
        <f>IF($AK82="","",$AK82/IF($E82="",1,$E82))</f>
        <v/>
      </c>
      <c r="AN82" s="152">
        <f>COUNT(L82,R82,X82,AD82,AJ82)</f>
        <v/>
      </c>
      <c r="AO82" s="150">
        <f>IF(COUNT(L82,R82,X82,AD82,AJ82)=0,"",MAX(L82,R82,X82,AD82,AJ82))</f>
        <v/>
      </c>
      <c r="AP82" s="153">
        <f>IF(OR($AK82="",$AO82="",$AO82=0),"",($AO82-$AK82)/$AO82)</f>
        <v/>
      </c>
      <c r="AQ82" s="154">
        <f>IF($AK82="","",IF(L82=$AK82,$K82,IF(R82=$AK82,$Q82,IF(X82=$AK82,$W82,IF(AD82=$AK82,$AC82,IF(AJ82=$AK82,$AI82,""))))))</f>
        <v/>
      </c>
    </row>
    <row r="83" ht="15" customHeight="1" s="106">
      <c r="A83" s="134" t="inlineStr">
        <is>
          <t>PP-PEA-MIC-005</t>
        </is>
      </c>
      <c r="B83" s="138" t="inlineStr">
        <is>
          <t>Microgreen</t>
        </is>
      </c>
      <c r="C83" s="113" t="inlineStr">
        <is>
          <t>Pea shoot microgreens</t>
        </is>
      </c>
      <c r="D83" s="139" t="inlineStr">
        <is>
          <t>g</t>
        </is>
      </c>
      <c r="E83" s="146" t="n">
        <v>1</v>
      </c>
      <c r="F83" s="116" t="inlineStr">
        <is>
          <t>The Local Farmer</t>
        </is>
      </c>
      <c r="G83" s="140" t="inlineStr">
        <is>
          <t>The Local Farmer</t>
        </is>
      </c>
      <c r="H83" s="147" t="n">
        <v>1</v>
      </c>
      <c r="I83" s="141" t="inlineStr">
        <is>
          <t>kg</t>
        </is>
      </c>
      <c r="J83" s="148" t="n">
        <v>152.3</v>
      </c>
      <c r="K83" s="149" t="n">
        <v>46251</v>
      </c>
      <c r="L83" s="150">
        <f>IF(OR($J83="",$H83="",$H83=0),"",$J83/(1+IF(IFERROR(INDEX('03 Suppliers'!$N$5:$N$34,MATCH($G83,'03 Suppliers'!$B$5:$B$34,0)),"Excl VAT")="Incl VAT",'01 Control'!$C$6,0))/($H83*IFERROR(VLOOKUP($I83,'02 Lists'!$A$5:$B$18,2,FALSE()),1)))</f>
        <v/>
      </c>
      <c r="M83" s="140" t="n"/>
      <c r="N83" s="147" t="n"/>
      <c r="O83" s="141" t="n"/>
      <c r="P83" s="148" t="n"/>
      <c r="Q83" s="149" t="n"/>
      <c r="R83" s="150">
        <f>IF(OR($P83="",$N83="",$N83=0),"",$P83/(1+IF(IFERROR(INDEX('03 Suppliers'!$N$5:$N$34,MATCH($M83,'03 Suppliers'!$B$5:$B$34,0)),"Excl VAT")="Incl VAT",'01 Control'!$C$6,0))/($N83*IFERROR(VLOOKUP($O83,'02 Lists'!$A$5:$B$18,2,FALSE()),1)))</f>
        <v/>
      </c>
      <c r="S83" s="140" t="n"/>
      <c r="T83" s="147" t="n"/>
      <c r="U83" s="141" t="n"/>
      <c r="V83" s="148" t="n"/>
      <c r="W83" s="149" t="n"/>
      <c r="X83" s="150">
        <f>IF(OR($V83="",$T83="",$T83=0),"",$V83/(1+IF(IFERROR(INDEX('03 Suppliers'!$N$5:$N$34,MATCH($S83,'03 Suppliers'!$B$5:$B$34,0)),"Excl VAT")="Incl VAT",'01 Control'!$C$6,0))/($T83*IFERROR(VLOOKUP($U83,'02 Lists'!$A$5:$B$18,2,FALSE()),1)))</f>
        <v/>
      </c>
      <c r="Y83" s="140" t="n"/>
      <c r="Z83" s="147" t="n"/>
      <c r="AA83" s="141" t="n"/>
      <c r="AB83" s="148" t="n"/>
      <c r="AC83" s="149" t="n"/>
      <c r="AD83" s="150">
        <f>IF(OR($AB83="",$Z83="",$Z83=0),"",$AB83/(1+IF(IFERROR(INDEX('03 Suppliers'!$N$5:$N$34,MATCH($Y83,'03 Suppliers'!$B$5:$B$34,0)),"Excl VAT")="Incl VAT",'01 Control'!$C$6,0))/($Z83*IFERROR(VLOOKUP($AA83,'02 Lists'!$A$5:$B$18,2,FALSE()),1)))</f>
        <v/>
      </c>
      <c r="AE83" s="140" t="n"/>
      <c r="AF83" s="147" t="n"/>
      <c r="AG83" s="141" t="n"/>
      <c r="AH83" s="148" t="n"/>
      <c r="AI83" s="149" t="n"/>
      <c r="AJ83" s="150">
        <f>IF(OR($AH83="",$AF83="",$AF83=0),"",$AH83/(1+IF(IFERROR(INDEX('03 Suppliers'!$N$5:$N$34,MATCH($AE83,'03 Suppliers'!$B$5:$B$34,0)),"Excl VAT")="Incl VAT",'01 Control'!$C$6,0))/($AF83*IFERROR(VLOOKUP($AG83,'02 Lists'!$A$5:$B$18,2,FALSE()),1)))</f>
        <v/>
      </c>
      <c r="AK83" s="151">
        <f>IF(COUNT(L83,R83,X83,AD83,AJ83)=0,"",MIN(L83,R83,X83,AD83,AJ83))</f>
        <v/>
      </c>
      <c r="AL83" s="126">
        <f>IF($AK83="","",IF(L83=$AK83,$G83,IF(R83=$AK83,$M83,IF(X83=$AK83,$S83,IF(AD83=$AK83,$Y83,IF(AJ83=$AK83,$AE83,""))))))</f>
        <v/>
      </c>
      <c r="AM83" s="151">
        <f>IF($AK83="","",$AK83/IF($E83="",1,$E83))</f>
        <v/>
      </c>
      <c r="AN83" s="152">
        <f>COUNT(L83,R83,X83,AD83,AJ83)</f>
        <v/>
      </c>
      <c r="AO83" s="150">
        <f>IF(COUNT(L83,R83,X83,AD83,AJ83)=0,"",MAX(L83,R83,X83,AD83,AJ83))</f>
        <v/>
      </c>
      <c r="AP83" s="153">
        <f>IF(OR($AK83="",$AO83="",$AO83=0),"",($AO83-$AK83)/$AO83)</f>
        <v/>
      </c>
      <c r="AQ83" s="154">
        <f>IF($AK83="","",IF(L83=$AK83,$K83,IF(R83=$AK83,$Q83,IF(X83=$AK83,$W83,IF(AD83=$AK83,$AC83,IF(AJ83=$AK83,$AI83,""))))))</f>
        <v/>
      </c>
    </row>
    <row r="84" ht="15" customHeight="1" s="106">
      <c r="A84" s="134" t="inlineStr">
        <is>
          <t>PP-SUN-MIC-006</t>
        </is>
      </c>
      <c r="B84" s="138" t="inlineStr">
        <is>
          <t>Microgreen</t>
        </is>
      </c>
      <c r="C84" s="113" t="inlineStr">
        <is>
          <t>Sunflower microgreens</t>
        </is>
      </c>
      <c r="D84" s="139" t="inlineStr">
        <is>
          <t>g</t>
        </is>
      </c>
      <c r="E84" s="146" t="n">
        <v>1</v>
      </c>
      <c r="F84" s="116" t="inlineStr">
        <is>
          <t>The Local Farmer</t>
        </is>
      </c>
      <c r="G84" s="140" t="inlineStr">
        <is>
          <t>The Local Farmer</t>
        </is>
      </c>
      <c r="H84" s="147" t="n">
        <v>1</v>
      </c>
      <c r="I84" s="141" t="inlineStr">
        <is>
          <t>kg</t>
        </is>
      </c>
      <c r="J84" s="148" t="n">
        <v>193.16</v>
      </c>
      <c r="K84" s="149" t="n">
        <v>46251</v>
      </c>
      <c r="L84" s="150">
        <f>IF(OR($J84="",$H84="",$H84=0),"",$J84/(1+IF(IFERROR(INDEX('03 Suppliers'!$N$5:$N$34,MATCH($G84,'03 Suppliers'!$B$5:$B$34,0)),"Excl VAT")="Incl VAT",'01 Control'!$C$6,0))/($H84*IFERROR(VLOOKUP($I84,'02 Lists'!$A$5:$B$18,2,FALSE()),1)))</f>
        <v/>
      </c>
      <c r="M84" s="140" t="n"/>
      <c r="N84" s="147" t="n"/>
      <c r="O84" s="141" t="n"/>
      <c r="P84" s="148" t="n"/>
      <c r="Q84" s="149" t="n"/>
      <c r="R84" s="150">
        <f>IF(OR($P84="",$N84="",$N84=0),"",$P84/(1+IF(IFERROR(INDEX('03 Suppliers'!$N$5:$N$34,MATCH($M84,'03 Suppliers'!$B$5:$B$34,0)),"Excl VAT")="Incl VAT",'01 Control'!$C$6,0))/($N84*IFERROR(VLOOKUP($O84,'02 Lists'!$A$5:$B$18,2,FALSE()),1)))</f>
        <v/>
      </c>
      <c r="S84" s="140" t="n"/>
      <c r="T84" s="147" t="n"/>
      <c r="U84" s="141" t="n"/>
      <c r="V84" s="148" t="n"/>
      <c r="W84" s="149" t="n"/>
      <c r="X84" s="150">
        <f>IF(OR($V84="",$T84="",$T84=0),"",$V84/(1+IF(IFERROR(INDEX('03 Suppliers'!$N$5:$N$34,MATCH($S84,'03 Suppliers'!$B$5:$B$34,0)),"Excl VAT")="Incl VAT",'01 Control'!$C$6,0))/($T84*IFERROR(VLOOKUP($U84,'02 Lists'!$A$5:$B$18,2,FALSE()),1)))</f>
        <v/>
      </c>
      <c r="Y84" s="140" t="n"/>
      <c r="Z84" s="147" t="n"/>
      <c r="AA84" s="141" t="n"/>
      <c r="AB84" s="148" t="n"/>
      <c r="AC84" s="149" t="n"/>
      <c r="AD84" s="150">
        <f>IF(OR($AB84="",$Z84="",$Z84=0),"",$AB84/(1+IF(IFERROR(INDEX('03 Suppliers'!$N$5:$N$34,MATCH($Y84,'03 Suppliers'!$B$5:$B$34,0)),"Excl VAT")="Incl VAT",'01 Control'!$C$6,0))/($Z84*IFERROR(VLOOKUP($AA84,'02 Lists'!$A$5:$B$18,2,FALSE()),1)))</f>
        <v/>
      </c>
      <c r="AE84" s="140" t="n"/>
      <c r="AF84" s="147" t="n"/>
      <c r="AG84" s="141" t="n"/>
      <c r="AH84" s="148" t="n"/>
      <c r="AI84" s="149" t="n"/>
      <c r="AJ84" s="150">
        <f>IF(OR($AH84="",$AF84="",$AF84=0),"",$AH84/(1+IF(IFERROR(INDEX('03 Suppliers'!$N$5:$N$34,MATCH($AE84,'03 Suppliers'!$B$5:$B$34,0)),"Excl VAT")="Incl VAT",'01 Control'!$C$6,0))/($AF84*IFERROR(VLOOKUP($AG84,'02 Lists'!$A$5:$B$18,2,FALSE()),1)))</f>
        <v/>
      </c>
      <c r="AK84" s="151">
        <f>IF(COUNT(L84,R84,X84,AD84,AJ84)=0,"",MIN(L84,R84,X84,AD84,AJ84))</f>
        <v/>
      </c>
      <c r="AL84" s="126">
        <f>IF($AK84="","",IF(L84=$AK84,$G84,IF(R84=$AK84,$M84,IF(X84=$AK84,$S84,IF(AD84=$AK84,$Y84,IF(AJ84=$AK84,$AE84,""))))))</f>
        <v/>
      </c>
      <c r="AM84" s="151">
        <f>IF($AK84="","",$AK84/IF($E84="",1,$E84))</f>
        <v/>
      </c>
      <c r="AN84" s="152">
        <f>COUNT(L84,R84,X84,AD84,AJ84)</f>
        <v/>
      </c>
      <c r="AO84" s="150">
        <f>IF(COUNT(L84,R84,X84,AD84,AJ84)=0,"",MAX(L84,R84,X84,AD84,AJ84))</f>
        <v/>
      </c>
      <c r="AP84" s="153">
        <f>IF(OR($AK84="",$AO84="",$AO84=0),"",($AO84-$AK84)/$AO84)</f>
        <v/>
      </c>
      <c r="AQ84" s="154">
        <f>IF($AK84="","",IF(L84=$AK84,$K84,IF(R84=$AK84,$Q84,IF(X84=$AK84,$W84,IF(AD84=$AK84,$AC84,IF(AJ84=$AK84,$AI84,""))))))</f>
        <v/>
      </c>
    </row>
    <row r="85" ht="15" customHeight="1" s="106">
      <c r="A85" s="134" t="inlineStr">
        <is>
          <t>PP-NUT-PINE</t>
        </is>
      </c>
      <c r="B85" s="138" t="inlineStr">
        <is>
          <t>Nuts / Seeds</t>
        </is>
      </c>
      <c r="C85" s="113" t="inlineStr">
        <is>
          <t>Pine nuts / toasted nuts (pesto)</t>
        </is>
      </c>
      <c r="D85" s="139" t="inlineStr">
        <is>
          <t>g</t>
        </is>
      </c>
      <c r="E85" s="146" t="n">
        <v>1</v>
      </c>
      <c r="F85" s="116" t="inlineStr">
        <is>
          <t>NUT ALLERGEN</t>
        </is>
      </c>
      <c r="G85" s="140" t="n"/>
      <c r="H85" s="147" t="n"/>
      <c r="I85" s="141" t="n"/>
      <c r="J85" s="148" t="n"/>
      <c r="K85" s="149" t="n"/>
      <c r="L85" s="150">
        <f>IF(OR($J85="",$H85="",$H85=0),"",$J85/(1+IF(IFERROR(INDEX('03 Suppliers'!$N$5:$N$34,MATCH($G85,'03 Suppliers'!$B$5:$B$34,0)),"Excl VAT")="Incl VAT",'01 Control'!$C$6,0))/($H85*IFERROR(VLOOKUP($I85,'02 Lists'!$A$5:$B$18,2,FALSE()),1)))</f>
        <v/>
      </c>
      <c r="M85" s="140" t="n"/>
      <c r="N85" s="147" t="n"/>
      <c r="O85" s="141" t="n"/>
      <c r="P85" s="148" t="n"/>
      <c r="Q85" s="149" t="n"/>
      <c r="R85" s="150">
        <f>IF(OR($P85="",$N85="",$N85=0),"",$P85/(1+IF(IFERROR(INDEX('03 Suppliers'!$N$5:$N$34,MATCH($M85,'03 Suppliers'!$B$5:$B$34,0)),"Excl VAT")="Incl VAT",'01 Control'!$C$6,0))/($N85*IFERROR(VLOOKUP($O85,'02 Lists'!$A$5:$B$18,2,FALSE()),1)))</f>
        <v/>
      </c>
      <c r="S85" s="140" t="n"/>
      <c r="T85" s="147" t="n"/>
      <c r="U85" s="141" t="n"/>
      <c r="V85" s="148" t="n"/>
      <c r="W85" s="149" t="n"/>
      <c r="X85" s="150">
        <f>IF(OR($V85="",$T85="",$T85=0),"",$V85/(1+IF(IFERROR(INDEX('03 Suppliers'!$N$5:$N$34,MATCH($S85,'03 Suppliers'!$B$5:$B$34,0)),"Excl VAT")="Incl VAT",'01 Control'!$C$6,0))/($T85*IFERROR(VLOOKUP($U85,'02 Lists'!$A$5:$B$18,2,FALSE()),1)))</f>
        <v/>
      </c>
      <c r="Y85" s="140" t="n"/>
      <c r="Z85" s="147" t="n"/>
      <c r="AA85" s="141" t="n"/>
      <c r="AB85" s="148" t="n"/>
      <c r="AC85" s="149" t="n"/>
      <c r="AD85" s="150">
        <f>IF(OR($AB85="",$Z85="",$Z85=0),"",$AB85/(1+IF(IFERROR(INDEX('03 Suppliers'!$N$5:$N$34,MATCH($Y85,'03 Suppliers'!$B$5:$B$34,0)),"Excl VAT")="Incl VAT",'01 Control'!$C$6,0))/($Z85*IFERROR(VLOOKUP($AA85,'02 Lists'!$A$5:$B$18,2,FALSE()),1)))</f>
        <v/>
      </c>
      <c r="AE85" s="140" t="n"/>
      <c r="AF85" s="147" t="n"/>
      <c r="AG85" s="141" t="n"/>
      <c r="AH85" s="148" t="n"/>
      <c r="AI85" s="149" t="n"/>
      <c r="AJ85" s="150">
        <f>IF(OR($AH85="",$AF85="",$AF85=0),"",$AH85/(1+IF(IFERROR(INDEX('03 Suppliers'!$N$5:$N$34,MATCH($AE85,'03 Suppliers'!$B$5:$B$34,0)),"Excl VAT")="Incl VAT",'01 Control'!$C$6,0))/($AF85*IFERROR(VLOOKUP($AG85,'02 Lists'!$A$5:$B$18,2,FALSE()),1)))</f>
        <v/>
      </c>
      <c r="AK85" s="151">
        <f>IF(COUNT(L85,R85,X85,AD85,AJ85)=0,"",MIN(L85,R85,X85,AD85,AJ85))</f>
        <v/>
      </c>
      <c r="AL85" s="126">
        <f>IF($AK85="","",IF(L85=$AK85,$G85,IF(R85=$AK85,$M85,IF(X85=$AK85,$S85,IF(AD85=$AK85,$Y85,IF(AJ85=$AK85,$AE85,""))))))</f>
        <v/>
      </c>
      <c r="AM85" s="151">
        <f>IF($AK85="","",$AK85/IF($E85="",1,$E85))</f>
        <v/>
      </c>
      <c r="AN85" s="152">
        <f>COUNT(L85,R85,X85,AD85,AJ85)</f>
        <v/>
      </c>
      <c r="AO85" s="150">
        <f>IF(COUNT(L85,R85,X85,AD85,AJ85)=0,"",MAX(L85,R85,X85,AD85,AJ85))</f>
        <v/>
      </c>
      <c r="AP85" s="153">
        <f>IF(OR($AK85="",$AO85="",$AO85=0),"",($AO85-$AK85)/$AO85)</f>
        <v/>
      </c>
      <c r="AQ85" s="154">
        <f>IF($AK85="","",IF(L85=$AK85,$K85,IF(R85=$AK85,$Q85,IF(X85=$AK85,$W85,IF(AD85=$AK85,$AC85,IF(AJ85=$AK85,$AI85,""))))))</f>
        <v/>
      </c>
    </row>
    <row r="86" ht="15" customHeight="1" s="106">
      <c r="A86" s="134" t="inlineStr">
        <is>
          <t>PP-SEED-SUN</t>
        </is>
      </c>
      <c r="B86" s="138" t="inlineStr">
        <is>
          <t>Nuts / Seeds</t>
        </is>
      </c>
      <c r="C86" s="113" t="inlineStr">
        <is>
          <t>Sunflower seeds (nut-free pesto build)</t>
        </is>
      </c>
      <c r="D86" s="139" t="inlineStr">
        <is>
          <t>g</t>
        </is>
      </c>
      <c r="E86" s="146" t="n">
        <v>1</v>
      </c>
      <c r="F86" s="116" t="inlineStr">
        <is>
          <t>Nut-free alternative</t>
        </is>
      </c>
      <c r="G86" s="140" t="n"/>
      <c r="H86" s="147" t="n"/>
      <c r="I86" s="141" t="n"/>
      <c r="J86" s="148" t="n"/>
      <c r="K86" s="149" t="n"/>
      <c r="L86" s="150">
        <f>IF(OR($J86="",$H86="",$H86=0),"",$J86/(1+IF(IFERROR(INDEX('03 Suppliers'!$N$5:$N$34,MATCH($G86,'03 Suppliers'!$B$5:$B$34,0)),"Excl VAT")="Incl VAT",'01 Control'!$C$6,0))/($H86*IFERROR(VLOOKUP($I86,'02 Lists'!$A$5:$B$18,2,FALSE()),1)))</f>
        <v/>
      </c>
      <c r="M86" s="140" t="n"/>
      <c r="N86" s="147" t="n"/>
      <c r="O86" s="141" t="n"/>
      <c r="P86" s="148" t="n"/>
      <c r="Q86" s="149" t="n"/>
      <c r="R86" s="150">
        <f>IF(OR($P86="",$N86="",$N86=0),"",$P86/(1+IF(IFERROR(INDEX('03 Suppliers'!$N$5:$N$34,MATCH($M86,'03 Suppliers'!$B$5:$B$34,0)),"Excl VAT")="Incl VAT",'01 Control'!$C$6,0))/($N86*IFERROR(VLOOKUP($O86,'02 Lists'!$A$5:$B$18,2,FALSE()),1)))</f>
        <v/>
      </c>
      <c r="S86" s="140" t="n"/>
      <c r="T86" s="147" t="n"/>
      <c r="U86" s="141" t="n"/>
      <c r="V86" s="148" t="n"/>
      <c r="W86" s="149" t="n"/>
      <c r="X86" s="150">
        <f>IF(OR($V86="",$T86="",$T86=0),"",$V86/(1+IF(IFERROR(INDEX('03 Suppliers'!$N$5:$N$34,MATCH($S86,'03 Suppliers'!$B$5:$B$34,0)),"Excl VAT")="Incl VAT",'01 Control'!$C$6,0))/($T86*IFERROR(VLOOKUP($U86,'02 Lists'!$A$5:$B$18,2,FALSE()),1)))</f>
        <v/>
      </c>
      <c r="Y86" s="140" t="n"/>
      <c r="Z86" s="147" t="n"/>
      <c r="AA86" s="141" t="n"/>
      <c r="AB86" s="148" t="n"/>
      <c r="AC86" s="149" t="n"/>
      <c r="AD86" s="150">
        <f>IF(OR($AB86="",$Z86="",$Z86=0),"",$AB86/(1+IF(IFERROR(INDEX('03 Suppliers'!$N$5:$N$34,MATCH($Y86,'03 Suppliers'!$B$5:$B$34,0)),"Excl VAT")="Incl VAT",'01 Control'!$C$6,0))/($Z86*IFERROR(VLOOKUP($AA86,'02 Lists'!$A$5:$B$18,2,FALSE()),1)))</f>
        <v/>
      </c>
      <c r="AE86" s="140" t="n"/>
      <c r="AF86" s="147" t="n"/>
      <c r="AG86" s="141" t="n"/>
      <c r="AH86" s="148" t="n"/>
      <c r="AI86" s="149" t="n"/>
      <c r="AJ86" s="150">
        <f>IF(OR($AH86="",$AF86="",$AF86=0),"",$AH86/(1+IF(IFERROR(INDEX('03 Suppliers'!$N$5:$N$34,MATCH($AE86,'03 Suppliers'!$B$5:$B$34,0)),"Excl VAT")="Incl VAT",'01 Control'!$C$6,0))/($AF86*IFERROR(VLOOKUP($AG86,'02 Lists'!$A$5:$B$18,2,FALSE()),1)))</f>
        <v/>
      </c>
      <c r="AK86" s="151">
        <f>IF(COUNT(L86,R86,X86,AD86,AJ86)=0,"",MIN(L86,R86,X86,AD86,AJ86))</f>
        <v/>
      </c>
      <c r="AL86" s="126">
        <f>IF($AK86="","",IF(L86=$AK86,$G86,IF(R86=$AK86,$M86,IF(X86=$AK86,$S86,IF(AD86=$AK86,$Y86,IF(AJ86=$AK86,$AE86,""))))))</f>
        <v/>
      </c>
      <c r="AM86" s="151">
        <f>IF($AK86="","",$AK86/IF($E86="",1,$E86))</f>
        <v/>
      </c>
      <c r="AN86" s="152">
        <f>COUNT(L86,R86,X86,AD86,AJ86)</f>
        <v/>
      </c>
      <c r="AO86" s="150">
        <f>IF(COUNT(L86,R86,X86,AD86,AJ86)=0,"",MAX(L86,R86,X86,AD86,AJ86))</f>
        <v/>
      </c>
      <c r="AP86" s="153">
        <f>IF(OR($AK86="",$AO86="",$AO86=0),"",($AO86-$AK86)/$AO86)</f>
        <v/>
      </c>
      <c r="AQ86" s="154">
        <f>IF($AK86="","",IF(L86=$AK86,$K86,IF(R86=$AK86,$Q86,IF(X86=$AK86,$W86,IF(AD86=$AK86,$AC86,IF(AJ86=$AK86,$AI86,""))))))</f>
        <v/>
      </c>
    </row>
    <row r="87" ht="15" customHeight="1" s="106">
      <c r="A87" s="134" t="inlineStr">
        <is>
          <t>PP-PEANUT-BUTTER</t>
        </is>
      </c>
      <c r="B87" s="138" t="inlineStr">
        <is>
          <t>Nuts / Seeds</t>
        </is>
      </c>
      <c r="C87" s="113" t="inlineStr">
        <is>
          <t>Groundnut / peanut butter</t>
        </is>
      </c>
      <c r="D87" s="139" t="inlineStr">
        <is>
          <t>g</t>
        </is>
      </c>
      <c r="E87" s="146" t="n">
        <v>1</v>
      </c>
      <c r="F87" s="116" t="inlineStr">
        <is>
          <t>PEANUT ALLERGEN - Y2 West Africa</t>
        </is>
      </c>
      <c r="G87" s="140" t="n"/>
      <c r="H87" s="147" t="n"/>
      <c r="I87" s="141" t="n"/>
      <c r="J87" s="148" t="n"/>
      <c r="K87" s="149" t="n"/>
      <c r="L87" s="150">
        <f>IF(OR($J87="",$H87="",$H87=0),"",$J87/(1+IF(IFERROR(INDEX('03 Suppliers'!$N$5:$N$34,MATCH($G87,'03 Suppliers'!$B$5:$B$34,0)),"Excl VAT")="Incl VAT",'01 Control'!$C$6,0))/($H87*IFERROR(VLOOKUP($I87,'02 Lists'!$A$5:$B$18,2,FALSE()),1)))</f>
        <v/>
      </c>
      <c r="M87" s="140" t="n"/>
      <c r="N87" s="147" t="n"/>
      <c r="O87" s="141" t="n"/>
      <c r="P87" s="148" t="n"/>
      <c r="Q87" s="149" t="n"/>
      <c r="R87" s="150">
        <f>IF(OR($P87="",$N87="",$N87=0),"",$P87/(1+IF(IFERROR(INDEX('03 Suppliers'!$N$5:$N$34,MATCH($M87,'03 Suppliers'!$B$5:$B$34,0)),"Excl VAT")="Incl VAT",'01 Control'!$C$6,0))/($N87*IFERROR(VLOOKUP($O87,'02 Lists'!$A$5:$B$18,2,FALSE()),1)))</f>
        <v/>
      </c>
      <c r="S87" s="140" t="n"/>
      <c r="T87" s="147" t="n"/>
      <c r="U87" s="141" t="n"/>
      <c r="V87" s="148" t="n"/>
      <c r="W87" s="149" t="n"/>
      <c r="X87" s="150">
        <f>IF(OR($V87="",$T87="",$T87=0),"",$V87/(1+IF(IFERROR(INDEX('03 Suppliers'!$N$5:$N$34,MATCH($S87,'03 Suppliers'!$B$5:$B$34,0)),"Excl VAT")="Incl VAT",'01 Control'!$C$6,0))/($T87*IFERROR(VLOOKUP($U87,'02 Lists'!$A$5:$B$18,2,FALSE()),1)))</f>
        <v/>
      </c>
      <c r="Y87" s="140" t="n"/>
      <c r="Z87" s="147" t="n"/>
      <c r="AA87" s="141" t="n"/>
      <c r="AB87" s="148" t="n"/>
      <c r="AC87" s="149" t="n"/>
      <c r="AD87" s="150">
        <f>IF(OR($AB87="",$Z87="",$Z87=0),"",$AB87/(1+IF(IFERROR(INDEX('03 Suppliers'!$N$5:$N$34,MATCH($Y87,'03 Suppliers'!$B$5:$B$34,0)),"Excl VAT")="Incl VAT",'01 Control'!$C$6,0))/($Z87*IFERROR(VLOOKUP($AA87,'02 Lists'!$A$5:$B$18,2,FALSE()),1)))</f>
        <v/>
      </c>
      <c r="AE87" s="140" t="n"/>
      <c r="AF87" s="147" t="n"/>
      <c r="AG87" s="141" t="n"/>
      <c r="AH87" s="148" t="n"/>
      <c r="AI87" s="149" t="n"/>
      <c r="AJ87" s="150">
        <f>IF(OR($AH87="",$AF87="",$AF87=0),"",$AH87/(1+IF(IFERROR(INDEX('03 Suppliers'!$N$5:$N$34,MATCH($AE87,'03 Suppliers'!$B$5:$B$34,0)),"Excl VAT")="Incl VAT",'01 Control'!$C$6,0))/($AF87*IFERROR(VLOOKUP($AG87,'02 Lists'!$A$5:$B$18,2,FALSE()),1)))</f>
        <v/>
      </c>
      <c r="AK87" s="151">
        <f>IF(COUNT(L87,R87,X87,AD87,AJ87)=0,"",MIN(L87,R87,X87,AD87,AJ87))</f>
        <v/>
      </c>
      <c r="AL87" s="126">
        <f>IF($AK87="","",IF(L87=$AK87,$G87,IF(R87=$AK87,$M87,IF(X87=$AK87,$S87,IF(AD87=$AK87,$Y87,IF(AJ87=$AK87,$AE87,""))))))</f>
        <v/>
      </c>
      <c r="AM87" s="151">
        <f>IF($AK87="","",$AK87/IF($E87="",1,$E87))</f>
        <v/>
      </c>
      <c r="AN87" s="152">
        <f>COUNT(L87,R87,X87,AD87,AJ87)</f>
        <v/>
      </c>
      <c r="AO87" s="150">
        <f>IF(COUNT(L87,R87,X87,AD87,AJ87)=0,"",MAX(L87,R87,X87,AD87,AJ87))</f>
        <v/>
      </c>
      <c r="AP87" s="153">
        <f>IF(OR($AK87="",$AO87="",$AO87=0),"",($AO87-$AK87)/$AO87)</f>
        <v/>
      </c>
      <c r="AQ87" s="154">
        <f>IF($AK87="","",IF(L87=$AK87,$K87,IF(R87=$AK87,$Q87,IF(X87=$AK87,$W87,IF(AD87=$AK87,$AC87,IF(AJ87=$AK87,$AI87,""))))))</f>
        <v/>
      </c>
    </row>
    <row r="88" ht="15" customHeight="1" s="106">
      <c r="A88" s="134" t="inlineStr">
        <is>
          <t>PP-SPICE-PERIPERI</t>
        </is>
      </c>
      <c r="B88" s="138" t="inlineStr">
        <is>
          <t>Spice Blend</t>
        </is>
      </c>
      <c r="C88" s="113" t="inlineStr">
        <is>
          <t>Peri-peri spice / bird's-eye chilli blend</t>
        </is>
      </c>
      <c r="D88" s="139" t="inlineStr">
        <is>
          <t>g</t>
        </is>
      </c>
      <c r="E88" s="146" t="n">
        <v>1</v>
      </c>
      <c r="F88" s="116" t="inlineStr">
        <is>
          <t>Y1 Summer, Y2 Coast</t>
        </is>
      </c>
      <c r="G88" s="140" t="n"/>
      <c r="H88" s="147" t="n"/>
      <c r="I88" s="141" t="n"/>
      <c r="J88" s="148" t="n"/>
      <c r="K88" s="149" t="n"/>
      <c r="L88" s="150">
        <f>IF(OR($J88="",$H88="",$H88=0),"",$J88/(1+IF(IFERROR(INDEX('03 Suppliers'!$N$5:$N$34,MATCH($G88,'03 Suppliers'!$B$5:$B$34,0)),"Excl VAT")="Incl VAT",'01 Control'!$C$6,0))/($H88*IFERROR(VLOOKUP($I88,'02 Lists'!$A$5:$B$18,2,FALSE()),1)))</f>
        <v/>
      </c>
      <c r="M88" s="140" t="n"/>
      <c r="N88" s="147" t="n"/>
      <c r="O88" s="141" t="n"/>
      <c r="P88" s="148" t="n"/>
      <c r="Q88" s="149" t="n"/>
      <c r="R88" s="150">
        <f>IF(OR($P88="",$N88="",$N88=0),"",$P88/(1+IF(IFERROR(INDEX('03 Suppliers'!$N$5:$N$34,MATCH($M88,'03 Suppliers'!$B$5:$B$34,0)),"Excl VAT")="Incl VAT",'01 Control'!$C$6,0))/($N88*IFERROR(VLOOKUP($O88,'02 Lists'!$A$5:$B$18,2,FALSE()),1)))</f>
        <v/>
      </c>
      <c r="S88" s="140" t="n"/>
      <c r="T88" s="147" t="n"/>
      <c r="U88" s="141" t="n"/>
      <c r="V88" s="148" t="n"/>
      <c r="W88" s="149" t="n"/>
      <c r="X88" s="150">
        <f>IF(OR($V88="",$T88="",$T88=0),"",$V88/(1+IF(IFERROR(INDEX('03 Suppliers'!$N$5:$N$34,MATCH($S88,'03 Suppliers'!$B$5:$B$34,0)),"Excl VAT")="Incl VAT",'01 Control'!$C$6,0))/($T88*IFERROR(VLOOKUP($U88,'02 Lists'!$A$5:$B$18,2,FALSE()),1)))</f>
        <v/>
      </c>
      <c r="Y88" s="140" t="n"/>
      <c r="Z88" s="147" t="n"/>
      <c r="AA88" s="141" t="n"/>
      <c r="AB88" s="148" t="n"/>
      <c r="AC88" s="149" t="n"/>
      <c r="AD88" s="150">
        <f>IF(OR($AB88="",$Z88="",$Z88=0),"",$AB88/(1+IF(IFERROR(INDEX('03 Suppliers'!$N$5:$N$34,MATCH($Y88,'03 Suppliers'!$B$5:$B$34,0)),"Excl VAT")="Incl VAT",'01 Control'!$C$6,0))/($Z88*IFERROR(VLOOKUP($AA88,'02 Lists'!$A$5:$B$18,2,FALSE()),1)))</f>
        <v/>
      </c>
      <c r="AE88" s="140" t="n"/>
      <c r="AF88" s="147" t="n"/>
      <c r="AG88" s="141" t="n"/>
      <c r="AH88" s="148" t="n"/>
      <c r="AI88" s="149" t="n"/>
      <c r="AJ88" s="150">
        <f>IF(OR($AH88="",$AF88="",$AF88=0),"",$AH88/(1+IF(IFERROR(INDEX('03 Suppliers'!$N$5:$N$34,MATCH($AE88,'03 Suppliers'!$B$5:$B$34,0)),"Excl VAT")="Incl VAT",'01 Control'!$C$6,0))/($AF88*IFERROR(VLOOKUP($AG88,'02 Lists'!$A$5:$B$18,2,FALSE()),1)))</f>
        <v/>
      </c>
      <c r="AK88" s="151">
        <f>IF(COUNT(L88,R88,X88,AD88,AJ88)=0,"",MIN(L88,R88,X88,AD88,AJ88))</f>
        <v/>
      </c>
      <c r="AL88" s="126">
        <f>IF($AK88="","",IF(L88=$AK88,$G88,IF(R88=$AK88,$M88,IF(X88=$AK88,$S88,IF(AD88=$AK88,$Y88,IF(AJ88=$AK88,$AE88,""))))))</f>
        <v/>
      </c>
      <c r="AM88" s="151">
        <f>IF($AK88="","",$AK88/IF($E88="",1,$E88))</f>
        <v/>
      </c>
      <c r="AN88" s="152">
        <f>COUNT(L88,R88,X88,AD88,AJ88)</f>
        <v/>
      </c>
      <c r="AO88" s="150">
        <f>IF(COUNT(L88,R88,X88,AD88,AJ88)=0,"",MAX(L88,R88,X88,AD88,AJ88))</f>
        <v/>
      </c>
      <c r="AP88" s="153">
        <f>IF(OR($AK88="",$AO88="",$AO88=0),"",($AO88-$AK88)/$AO88)</f>
        <v/>
      </c>
      <c r="AQ88" s="154">
        <f>IF($AK88="","",IF(L88=$AK88,$K88,IF(R88=$AK88,$Q88,IF(X88=$AK88,$W88,IF(AD88=$AK88,$AC88,IF(AJ88=$AK88,$AI88,""))))))</f>
        <v/>
      </c>
    </row>
    <row r="89" ht="15" customHeight="1" s="106">
      <c r="A89" s="134" t="inlineStr">
        <is>
          <t>PP-SPICE-BOEREWORS</t>
        </is>
      </c>
      <c r="B89" s="138" t="inlineStr">
        <is>
          <t>Spice Blend</t>
        </is>
      </c>
      <c r="C89" s="113" t="inlineStr">
        <is>
          <t>Boerewors spice (coriander-forward)</t>
        </is>
      </c>
      <c r="D89" s="139" t="inlineStr">
        <is>
          <t>g</t>
        </is>
      </c>
      <c r="E89" s="146" t="n">
        <v>1</v>
      </c>
      <c r="F89" s="116" t="inlineStr">
        <is>
          <t>Y1 Summer</t>
        </is>
      </c>
      <c r="G89" s="140" t="n"/>
      <c r="H89" s="147" t="n"/>
      <c r="I89" s="141" t="n"/>
      <c r="J89" s="148" t="n"/>
      <c r="K89" s="149" t="n"/>
      <c r="L89" s="150">
        <f>IF(OR($J89="",$H89="",$H89=0),"",$J89/(1+IF(IFERROR(INDEX('03 Suppliers'!$N$5:$N$34,MATCH($G89,'03 Suppliers'!$B$5:$B$34,0)),"Excl VAT")="Incl VAT",'01 Control'!$C$6,0))/($H89*IFERROR(VLOOKUP($I89,'02 Lists'!$A$5:$B$18,2,FALSE()),1)))</f>
        <v/>
      </c>
      <c r="M89" s="140" t="n"/>
      <c r="N89" s="147" t="n"/>
      <c r="O89" s="141" t="n"/>
      <c r="P89" s="148" t="n"/>
      <c r="Q89" s="149" t="n"/>
      <c r="R89" s="150">
        <f>IF(OR($P89="",$N89="",$N89=0),"",$P89/(1+IF(IFERROR(INDEX('03 Suppliers'!$N$5:$N$34,MATCH($M89,'03 Suppliers'!$B$5:$B$34,0)),"Excl VAT")="Incl VAT",'01 Control'!$C$6,0))/($N89*IFERROR(VLOOKUP($O89,'02 Lists'!$A$5:$B$18,2,FALSE()),1)))</f>
        <v/>
      </c>
      <c r="S89" s="140" t="n"/>
      <c r="T89" s="147" t="n"/>
      <c r="U89" s="141" t="n"/>
      <c r="V89" s="148" t="n"/>
      <c r="W89" s="149" t="n"/>
      <c r="X89" s="150">
        <f>IF(OR($V89="",$T89="",$T89=0),"",$V89/(1+IF(IFERROR(INDEX('03 Suppliers'!$N$5:$N$34,MATCH($S89,'03 Suppliers'!$B$5:$B$34,0)),"Excl VAT")="Incl VAT",'01 Control'!$C$6,0))/($T89*IFERROR(VLOOKUP($U89,'02 Lists'!$A$5:$B$18,2,FALSE()),1)))</f>
        <v/>
      </c>
      <c r="Y89" s="140" t="n"/>
      <c r="Z89" s="147" t="n"/>
      <c r="AA89" s="141" t="n"/>
      <c r="AB89" s="148" t="n"/>
      <c r="AC89" s="149" t="n"/>
      <c r="AD89" s="150">
        <f>IF(OR($AB89="",$Z89="",$Z89=0),"",$AB89/(1+IF(IFERROR(INDEX('03 Suppliers'!$N$5:$N$34,MATCH($Y89,'03 Suppliers'!$B$5:$B$34,0)),"Excl VAT")="Incl VAT",'01 Control'!$C$6,0))/($Z89*IFERROR(VLOOKUP($AA89,'02 Lists'!$A$5:$B$18,2,FALSE()),1)))</f>
        <v/>
      </c>
      <c r="AE89" s="140" t="n"/>
      <c r="AF89" s="147" t="n"/>
      <c r="AG89" s="141" t="n"/>
      <c r="AH89" s="148" t="n"/>
      <c r="AI89" s="149" t="n"/>
      <c r="AJ89" s="150">
        <f>IF(OR($AH89="",$AF89="",$AF89=0),"",$AH89/(1+IF(IFERROR(INDEX('03 Suppliers'!$N$5:$N$34,MATCH($AE89,'03 Suppliers'!$B$5:$B$34,0)),"Excl VAT")="Incl VAT",'01 Control'!$C$6,0))/($AF89*IFERROR(VLOOKUP($AG89,'02 Lists'!$A$5:$B$18,2,FALSE()),1)))</f>
        <v/>
      </c>
      <c r="AK89" s="151">
        <f>IF(COUNT(L89,R89,X89,AD89,AJ89)=0,"",MIN(L89,R89,X89,AD89,AJ89))</f>
        <v/>
      </c>
      <c r="AL89" s="126">
        <f>IF($AK89="","",IF(L89=$AK89,$G89,IF(R89=$AK89,$M89,IF(X89=$AK89,$S89,IF(AD89=$AK89,$Y89,IF(AJ89=$AK89,$AE89,""))))))</f>
        <v/>
      </c>
      <c r="AM89" s="151">
        <f>IF($AK89="","",$AK89/IF($E89="",1,$E89))</f>
        <v/>
      </c>
      <c r="AN89" s="152">
        <f>COUNT(L89,R89,X89,AD89,AJ89)</f>
        <v/>
      </c>
      <c r="AO89" s="150">
        <f>IF(COUNT(L89,R89,X89,AD89,AJ89)=0,"",MAX(L89,R89,X89,AD89,AJ89))</f>
        <v/>
      </c>
      <c r="AP89" s="153">
        <f>IF(OR($AK89="",$AO89="",$AO89=0),"",($AO89-$AK89)/$AO89)</f>
        <v/>
      </c>
      <c r="AQ89" s="154">
        <f>IF($AK89="","",IF(L89=$AK89,$K89,IF(R89=$AK89,$Q89,IF(X89=$AK89,$W89,IF(AD89=$AK89,$AC89,IF(AJ89=$AK89,$AI89,""))))))</f>
        <v/>
      </c>
    </row>
    <row r="90" ht="15" customHeight="1" s="106">
      <c r="A90" s="134" t="inlineStr">
        <is>
          <t>PP-SPICE-DURBAN</t>
        </is>
      </c>
      <c r="B90" s="138" t="inlineStr">
        <is>
          <t>Spice Blend</t>
        </is>
      </c>
      <c r="C90" s="113" t="inlineStr">
        <is>
          <t>Durban masala (mother-in-law)</t>
        </is>
      </c>
      <c r="D90" s="139" t="inlineStr">
        <is>
          <t>g</t>
        </is>
      </c>
      <c r="E90" s="146" t="n">
        <v>1</v>
      </c>
      <c r="F90" s="116" t="inlineStr">
        <is>
          <t>Y1 Winter, Y3 bring-back</t>
        </is>
      </c>
      <c r="G90" s="140" t="n"/>
      <c r="H90" s="147" t="n"/>
      <c r="I90" s="141" t="n"/>
      <c r="J90" s="148" t="n"/>
      <c r="K90" s="149" t="n"/>
      <c r="L90" s="150">
        <f>IF(OR($J90="",$H90="",$H90=0),"",$J90/(1+IF(IFERROR(INDEX('03 Suppliers'!$N$5:$N$34,MATCH($G90,'03 Suppliers'!$B$5:$B$34,0)),"Excl VAT")="Incl VAT",'01 Control'!$C$6,0))/($H90*IFERROR(VLOOKUP($I90,'02 Lists'!$A$5:$B$18,2,FALSE()),1)))</f>
        <v/>
      </c>
      <c r="M90" s="140" t="n"/>
      <c r="N90" s="147" t="n"/>
      <c r="O90" s="141" t="n"/>
      <c r="P90" s="148" t="n"/>
      <c r="Q90" s="149" t="n"/>
      <c r="R90" s="150">
        <f>IF(OR($P90="",$N90="",$N90=0),"",$P90/(1+IF(IFERROR(INDEX('03 Suppliers'!$N$5:$N$34,MATCH($M90,'03 Suppliers'!$B$5:$B$34,0)),"Excl VAT")="Incl VAT",'01 Control'!$C$6,0))/($N90*IFERROR(VLOOKUP($O90,'02 Lists'!$A$5:$B$18,2,FALSE()),1)))</f>
        <v/>
      </c>
      <c r="S90" s="140" t="n"/>
      <c r="T90" s="147" t="n"/>
      <c r="U90" s="141" t="n"/>
      <c r="V90" s="148" t="n"/>
      <c r="W90" s="149" t="n"/>
      <c r="X90" s="150">
        <f>IF(OR($V90="",$T90="",$T90=0),"",$V90/(1+IF(IFERROR(INDEX('03 Suppliers'!$N$5:$N$34,MATCH($S90,'03 Suppliers'!$B$5:$B$34,0)),"Excl VAT")="Incl VAT",'01 Control'!$C$6,0))/($T90*IFERROR(VLOOKUP($U90,'02 Lists'!$A$5:$B$18,2,FALSE()),1)))</f>
        <v/>
      </c>
      <c r="Y90" s="140" t="n"/>
      <c r="Z90" s="147" t="n"/>
      <c r="AA90" s="141" t="n"/>
      <c r="AB90" s="148" t="n"/>
      <c r="AC90" s="149" t="n"/>
      <c r="AD90" s="150">
        <f>IF(OR($AB90="",$Z90="",$Z90=0),"",$AB90/(1+IF(IFERROR(INDEX('03 Suppliers'!$N$5:$N$34,MATCH($Y90,'03 Suppliers'!$B$5:$B$34,0)),"Excl VAT")="Incl VAT",'01 Control'!$C$6,0))/($Z90*IFERROR(VLOOKUP($AA90,'02 Lists'!$A$5:$B$18,2,FALSE()),1)))</f>
        <v/>
      </c>
      <c r="AE90" s="140" t="n"/>
      <c r="AF90" s="147" t="n"/>
      <c r="AG90" s="141" t="n"/>
      <c r="AH90" s="148" t="n"/>
      <c r="AI90" s="149" t="n"/>
      <c r="AJ90" s="150">
        <f>IF(OR($AH90="",$AF90="",$AF90=0),"",$AH90/(1+IF(IFERROR(INDEX('03 Suppliers'!$N$5:$N$34,MATCH($AE90,'03 Suppliers'!$B$5:$B$34,0)),"Excl VAT")="Incl VAT",'01 Control'!$C$6,0))/($AF90*IFERROR(VLOOKUP($AG90,'02 Lists'!$A$5:$B$18,2,FALSE()),1)))</f>
        <v/>
      </c>
      <c r="AK90" s="151">
        <f>IF(COUNT(L90,R90,X90,AD90,AJ90)=0,"",MIN(L90,R90,X90,AD90,AJ90))</f>
        <v/>
      </c>
      <c r="AL90" s="126">
        <f>IF($AK90="","",IF(L90=$AK90,$G90,IF(R90=$AK90,$M90,IF(X90=$AK90,$S90,IF(AD90=$AK90,$Y90,IF(AJ90=$AK90,$AE90,""))))))</f>
        <v/>
      </c>
      <c r="AM90" s="151">
        <f>IF($AK90="","",$AK90/IF($E90="",1,$E90))</f>
        <v/>
      </c>
      <c r="AN90" s="152">
        <f>COUNT(L90,R90,X90,AD90,AJ90)</f>
        <v/>
      </c>
      <c r="AO90" s="150">
        <f>IF(COUNT(L90,R90,X90,AD90,AJ90)=0,"",MAX(L90,R90,X90,AD90,AJ90))</f>
        <v/>
      </c>
      <c r="AP90" s="153">
        <f>IF(OR($AK90="",$AO90="",$AO90=0),"",($AO90-$AK90)/$AO90)</f>
        <v/>
      </c>
      <c r="AQ90" s="154">
        <f>IF($AK90="","",IF(L90=$AK90,$K90,IF(R90=$AK90,$Q90,IF(X90=$AK90,$W90,IF(AD90=$AK90,$AC90,IF(AJ90=$AK90,$AI90,""))))))</f>
        <v/>
      </c>
    </row>
    <row r="91" ht="15" customHeight="1" s="106">
      <c r="A91" s="134" t="inlineStr">
        <is>
          <t>PP-SPICE-CHAKALAKA</t>
        </is>
      </c>
      <c r="B91" s="138" t="inlineStr">
        <is>
          <t>Spice Blend</t>
        </is>
      </c>
      <c r="C91" s="113" t="inlineStr">
        <is>
          <t>Chakalaka spice / relish base</t>
        </is>
      </c>
      <c r="D91" s="139" t="inlineStr">
        <is>
          <t>g</t>
        </is>
      </c>
      <c r="E91" s="146" t="n">
        <v>1</v>
      </c>
      <c r="F91" s="116" t="inlineStr">
        <is>
          <t>Y1 Spring</t>
        </is>
      </c>
      <c r="G91" s="140" t="n"/>
      <c r="H91" s="147" t="n"/>
      <c r="I91" s="141" t="n"/>
      <c r="J91" s="148" t="n"/>
      <c r="K91" s="149" t="n"/>
      <c r="L91" s="150">
        <f>IF(OR($J91="",$H91="",$H91=0),"",$J91/(1+IF(IFERROR(INDEX('03 Suppliers'!$N$5:$N$34,MATCH($G91,'03 Suppliers'!$B$5:$B$34,0)),"Excl VAT")="Incl VAT",'01 Control'!$C$6,0))/($H91*IFERROR(VLOOKUP($I91,'02 Lists'!$A$5:$B$18,2,FALSE()),1)))</f>
        <v/>
      </c>
      <c r="M91" s="140" t="n"/>
      <c r="N91" s="147" t="n"/>
      <c r="O91" s="141" t="n"/>
      <c r="P91" s="148" t="n"/>
      <c r="Q91" s="149" t="n"/>
      <c r="R91" s="150">
        <f>IF(OR($P91="",$N91="",$N91=0),"",$P91/(1+IF(IFERROR(INDEX('03 Suppliers'!$N$5:$N$34,MATCH($M91,'03 Suppliers'!$B$5:$B$34,0)),"Excl VAT")="Incl VAT",'01 Control'!$C$6,0))/($N91*IFERROR(VLOOKUP($O91,'02 Lists'!$A$5:$B$18,2,FALSE()),1)))</f>
        <v/>
      </c>
      <c r="S91" s="140" t="n"/>
      <c r="T91" s="147" t="n"/>
      <c r="U91" s="141" t="n"/>
      <c r="V91" s="148" t="n"/>
      <c r="W91" s="149" t="n"/>
      <c r="X91" s="150">
        <f>IF(OR($V91="",$T91="",$T91=0),"",$V91/(1+IF(IFERROR(INDEX('03 Suppliers'!$N$5:$N$34,MATCH($S91,'03 Suppliers'!$B$5:$B$34,0)),"Excl VAT")="Incl VAT",'01 Control'!$C$6,0))/($T91*IFERROR(VLOOKUP($U91,'02 Lists'!$A$5:$B$18,2,FALSE()),1)))</f>
        <v/>
      </c>
      <c r="Y91" s="140" t="n"/>
      <c r="Z91" s="147" t="n"/>
      <c r="AA91" s="141" t="n"/>
      <c r="AB91" s="148" t="n"/>
      <c r="AC91" s="149" t="n"/>
      <c r="AD91" s="150">
        <f>IF(OR($AB91="",$Z91="",$Z91=0),"",$AB91/(1+IF(IFERROR(INDEX('03 Suppliers'!$N$5:$N$34,MATCH($Y91,'03 Suppliers'!$B$5:$B$34,0)),"Excl VAT")="Incl VAT",'01 Control'!$C$6,0))/($Z91*IFERROR(VLOOKUP($AA91,'02 Lists'!$A$5:$B$18,2,FALSE()),1)))</f>
        <v/>
      </c>
      <c r="AE91" s="140" t="n"/>
      <c r="AF91" s="147" t="n"/>
      <c r="AG91" s="141" t="n"/>
      <c r="AH91" s="148" t="n"/>
      <c r="AI91" s="149" t="n"/>
      <c r="AJ91" s="150">
        <f>IF(OR($AH91="",$AF91="",$AF91=0),"",$AH91/(1+IF(IFERROR(INDEX('03 Suppliers'!$N$5:$N$34,MATCH($AE91,'03 Suppliers'!$B$5:$B$34,0)),"Excl VAT")="Incl VAT",'01 Control'!$C$6,0))/($AF91*IFERROR(VLOOKUP($AG91,'02 Lists'!$A$5:$B$18,2,FALSE()),1)))</f>
        <v/>
      </c>
      <c r="AK91" s="151">
        <f>IF(COUNT(L91,R91,X91,AD91,AJ91)=0,"",MIN(L91,R91,X91,AD91,AJ91))</f>
        <v/>
      </c>
      <c r="AL91" s="126">
        <f>IF($AK91="","",IF(L91=$AK91,$G91,IF(R91=$AK91,$M91,IF(X91=$AK91,$S91,IF(AD91=$AK91,$Y91,IF(AJ91=$AK91,$AE91,""))))))</f>
        <v/>
      </c>
      <c r="AM91" s="151">
        <f>IF($AK91="","",$AK91/IF($E91="",1,$E91))</f>
        <v/>
      </c>
      <c r="AN91" s="152">
        <f>COUNT(L91,R91,X91,AD91,AJ91)</f>
        <v/>
      </c>
      <c r="AO91" s="150">
        <f>IF(COUNT(L91,R91,X91,AD91,AJ91)=0,"",MAX(L91,R91,X91,AD91,AJ91))</f>
        <v/>
      </c>
      <c r="AP91" s="153">
        <f>IF(OR($AK91="",$AO91="",$AO91=0),"",($AO91-$AK91)/$AO91)</f>
        <v/>
      </c>
      <c r="AQ91" s="154">
        <f>IF($AK91="","",IF(L91=$AK91,$K91,IF(R91=$AK91,$Q91,IF(X91=$AK91,$W91,IF(AD91=$AK91,$AC91,IF(AJ91=$AK91,$AI91,""))))))</f>
        <v/>
      </c>
    </row>
    <row r="92" ht="15" customHeight="1" s="106">
      <c r="A92" s="134" t="inlineStr">
        <is>
          <t>PP-SPICE-CAPEMALAY</t>
        </is>
      </c>
      <c r="B92" s="138" t="inlineStr">
        <is>
          <t>Spice Blend</t>
        </is>
      </c>
      <c r="C92" s="113" t="inlineStr">
        <is>
          <t>Cape Malay masala</t>
        </is>
      </c>
      <c r="D92" s="139" t="inlineStr">
        <is>
          <t>g</t>
        </is>
      </c>
      <c r="E92" s="146" t="n">
        <v>1</v>
      </c>
      <c r="F92" s="116" t="inlineStr">
        <is>
          <t>Y2 Autumn</t>
        </is>
      </c>
      <c r="G92" s="140" t="n"/>
      <c r="H92" s="147" t="n"/>
      <c r="I92" s="141" t="n"/>
      <c r="J92" s="148" t="n"/>
      <c r="K92" s="149" t="n"/>
      <c r="L92" s="150">
        <f>IF(OR($J92="",$H92="",$H92=0),"",$J92/(1+IF(IFERROR(INDEX('03 Suppliers'!$N$5:$N$34,MATCH($G92,'03 Suppliers'!$B$5:$B$34,0)),"Excl VAT")="Incl VAT",'01 Control'!$C$6,0))/($H92*IFERROR(VLOOKUP($I92,'02 Lists'!$A$5:$B$18,2,FALSE()),1)))</f>
        <v/>
      </c>
      <c r="M92" s="140" t="n"/>
      <c r="N92" s="147" t="n"/>
      <c r="O92" s="141" t="n"/>
      <c r="P92" s="148" t="n"/>
      <c r="Q92" s="149" t="n"/>
      <c r="R92" s="150">
        <f>IF(OR($P92="",$N92="",$N92=0),"",$P92/(1+IF(IFERROR(INDEX('03 Suppliers'!$N$5:$N$34,MATCH($M92,'03 Suppliers'!$B$5:$B$34,0)),"Excl VAT")="Incl VAT",'01 Control'!$C$6,0))/($N92*IFERROR(VLOOKUP($O92,'02 Lists'!$A$5:$B$18,2,FALSE()),1)))</f>
        <v/>
      </c>
      <c r="S92" s="140" t="n"/>
      <c r="T92" s="147" t="n"/>
      <c r="U92" s="141" t="n"/>
      <c r="V92" s="148" t="n"/>
      <c r="W92" s="149" t="n"/>
      <c r="X92" s="150">
        <f>IF(OR($V92="",$T92="",$T92=0),"",$V92/(1+IF(IFERROR(INDEX('03 Suppliers'!$N$5:$N$34,MATCH($S92,'03 Suppliers'!$B$5:$B$34,0)),"Excl VAT")="Incl VAT",'01 Control'!$C$6,0))/($T92*IFERROR(VLOOKUP($U92,'02 Lists'!$A$5:$B$18,2,FALSE()),1)))</f>
        <v/>
      </c>
      <c r="Y92" s="140" t="n"/>
      <c r="Z92" s="147" t="n"/>
      <c r="AA92" s="141" t="n"/>
      <c r="AB92" s="148" t="n"/>
      <c r="AC92" s="149" t="n"/>
      <c r="AD92" s="150">
        <f>IF(OR($AB92="",$Z92="",$Z92=0),"",$AB92/(1+IF(IFERROR(INDEX('03 Suppliers'!$N$5:$N$34,MATCH($Y92,'03 Suppliers'!$B$5:$B$34,0)),"Excl VAT")="Incl VAT",'01 Control'!$C$6,0))/($Z92*IFERROR(VLOOKUP($AA92,'02 Lists'!$A$5:$B$18,2,FALSE()),1)))</f>
        <v/>
      </c>
      <c r="AE92" s="140" t="n"/>
      <c r="AF92" s="147" t="n"/>
      <c r="AG92" s="141" t="n"/>
      <c r="AH92" s="148" t="n"/>
      <c r="AI92" s="149" t="n"/>
      <c r="AJ92" s="150">
        <f>IF(OR($AH92="",$AF92="",$AF92=0),"",$AH92/(1+IF(IFERROR(INDEX('03 Suppliers'!$N$5:$N$34,MATCH($AE92,'03 Suppliers'!$B$5:$B$34,0)),"Excl VAT")="Incl VAT",'01 Control'!$C$6,0))/($AF92*IFERROR(VLOOKUP($AG92,'02 Lists'!$A$5:$B$18,2,FALSE()),1)))</f>
        <v/>
      </c>
      <c r="AK92" s="151">
        <f>IF(COUNT(L92,R92,X92,AD92,AJ92)=0,"",MIN(L92,R92,X92,AD92,AJ92))</f>
        <v/>
      </c>
      <c r="AL92" s="126">
        <f>IF($AK92="","",IF(L92=$AK92,$G92,IF(R92=$AK92,$M92,IF(X92=$AK92,$S92,IF(AD92=$AK92,$Y92,IF(AJ92=$AK92,$AE92,""))))))</f>
        <v/>
      </c>
      <c r="AM92" s="151">
        <f>IF($AK92="","",$AK92/IF($E92="",1,$E92))</f>
        <v/>
      </c>
      <c r="AN92" s="152">
        <f>COUNT(L92,R92,X92,AD92,AJ92)</f>
        <v/>
      </c>
      <c r="AO92" s="150">
        <f>IF(COUNT(L92,R92,X92,AD92,AJ92)=0,"",MAX(L92,R92,X92,AD92,AJ92))</f>
        <v/>
      </c>
      <c r="AP92" s="153">
        <f>IF(OR($AK92="",$AO92="",$AO92=0),"",($AO92-$AK92)/$AO92)</f>
        <v/>
      </c>
      <c r="AQ92" s="154">
        <f>IF($AK92="","",IF(L92=$AK92,$K92,IF(R92=$AK92,$Q92,IF(X92=$AK92,$W92,IF(AD92=$AK92,$AC92,IF(AJ92=$AK92,$AI92,""))))))</f>
        <v/>
      </c>
    </row>
    <row r="93" ht="15" customHeight="1" s="106">
      <c r="A93" s="134" t="inlineStr">
        <is>
          <t>PP-SPICE-HARISSA</t>
        </is>
      </c>
      <c r="B93" s="138" t="inlineStr">
        <is>
          <t>Spice Blend</t>
        </is>
      </c>
      <c r="C93" s="113" t="inlineStr">
        <is>
          <t>Harissa paste</t>
        </is>
      </c>
      <c r="D93" s="139" t="inlineStr">
        <is>
          <t>g</t>
        </is>
      </c>
      <c r="E93" s="146" t="n">
        <v>1</v>
      </c>
      <c r="F93" s="116" t="inlineStr">
        <is>
          <t>Y2 Winter</t>
        </is>
      </c>
      <c r="G93" s="140" t="n"/>
      <c r="H93" s="147" t="n"/>
      <c r="I93" s="141" t="n"/>
      <c r="J93" s="148" t="n"/>
      <c r="K93" s="149" t="n"/>
      <c r="L93" s="150">
        <f>IF(OR($J93="",$H93="",$H93=0),"",$J93/(1+IF(IFERROR(INDEX('03 Suppliers'!$N$5:$N$34,MATCH($G93,'03 Suppliers'!$B$5:$B$34,0)),"Excl VAT")="Incl VAT",'01 Control'!$C$6,0))/($H93*IFERROR(VLOOKUP($I93,'02 Lists'!$A$5:$B$18,2,FALSE()),1)))</f>
        <v/>
      </c>
      <c r="M93" s="140" t="n"/>
      <c r="N93" s="147" t="n"/>
      <c r="O93" s="141" t="n"/>
      <c r="P93" s="148" t="n"/>
      <c r="Q93" s="149" t="n"/>
      <c r="R93" s="150">
        <f>IF(OR($P93="",$N93="",$N93=0),"",$P93/(1+IF(IFERROR(INDEX('03 Suppliers'!$N$5:$N$34,MATCH($M93,'03 Suppliers'!$B$5:$B$34,0)),"Excl VAT")="Incl VAT",'01 Control'!$C$6,0))/($N93*IFERROR(VLOOKUP($O93,'02 Lists'!$A$5:$B$18,2,FALSE()),1)))</f>
        <v/>
      </c>
      <c r="S93" s="140" t="n"/>
      <c r="T93" s="147" t="n"/>
      <c r="U93" s="141" t="n"/>
      <c r="V93" s="148" t="n"/>
      <c r="W93" s="149" t="n"/>
      <c r="X93" s="150">
        <f>IF(OR($V93="",$T93="",$T93=0),"",$V93/(1+IF(IFERROR(INDEX('03 Suppliers'!$N$5:$N$34,MATCH($S93,'03 Suppliers'!$B$5:$B$34,0)),"Excl VAT")="Incl VAT",'01 Control'!$C$6,0))/($T93*IFERROR(VLOOKUP($U93,'02 Lists'!$A$5:$B$18,2,FALSE()),1)))</f>
        <v/>
      </c>
      <c r="Y93" s="140" t="n"/>
      <c r="Z93" s="147" t="n"/>
      <c r="AA93" s="141" t="n"/>
      <c r="AB93" s="148" t="n"/>
      <c r="AC93" s="149" t="n"/>
      <c r="AD93" s="150">
        <f>IF(OR($AB93="",$Z93="",$Z93=0),"",$AB93/(1+IF(IFERROR(INDEX('03 Suppliers'!$N$5:$N$34,MATCH($Y93,'03 Suppliers'!$B$5:$B$34,0)),"Excl VAT")="Incl VAT",'01 Control'!$C$6,0))/($Z93*IFERROR(VLOOKUP($AA93,'02 Lists'!$A$5:$B$18,2,FALSE()),1)))</f>
        <v/>
      </c>
      <c r="AE93" s="140" t="n"/>
      <c r="AF93" s="147" t="n"/>
      <c r="AG93" s="141" t="n"/>
      <c r="AH93" s="148" t="n"/>
      <c r="AI93" s="149" t="n"/>
      <c r="AJ93" s="150">
        <f>IF(OR($AH93="",$AF93="",$AF93=0),"",$AH93/(1+IF(IFERROR(INDEX('03 Suppliers'!$N$5:$N$34,MATCH($AE93,'03 Suppliers'!$B$5:$B$34,0)),"Excl VAT")="Incl VAT",'01 Control'!$C$6,0))/($AF93*IFERROR(VLOOKUP($AG93,'02 Lists'!$A$5:$B$18,2,FALSE()),1)))</f>
        <v/>
      </c>
      <c r="AK93" s="151">
        <f>IF(COUNT(L93,R93,X93,AD93,AJ93)=0,"",MIN(L93,R93,X93,AD93,AJ93))</f>
        <v/>
      </c>
      <c r="AL93" s="126">
        <f>IF($AK93="","",IF(L93=$AK93,$G93,IF(R93=$AK93,$M93,IF(X93=$AK93,$S93,IF(AD93=$AK93,$Y93,IF(AJ93=$AK93,$AE93,""))))))</f>
        <v/>
      </c>
      <c r="AM93" s="151">
        <f>IF($AK93="","",$AK93/IF($E93="",1,$E93))</f>
        <v/>
      </c>
      <c r="AN93" s="152">
        <f>COUNT(L93,R93,X93,AD93,AJ93)</f>
        <v/>
      </c>
      <c r="AO93" s="150">
        <f>IF(COUNT(L93,R93,X93,AD93,AJ93)=0,"",MAX(L93,R93,X93,AD93,AJ93))</f>
        <v/>
      </c>
      <c r="AP93" s="153">
        <f>IF(OR($AK93="",$AO93="",$AO93=0),"",($AO93-$AK93)/$AO93)</f>
        <v/>
      </c>
      <c r="AQ93" s="154">
        <f>IF($AK93="","",IF(L93=$AK93,$K93,IF(R93=$AK93,$Q93,IF(X93=$AK93,$W93,IF(AD93=$AK93,$AC93,IF(AJ93=$AK93,$AI93,""))))))</f>
        <v/>
      </c>
    </row>
    <row r="94" ht="15" customHeight="1" s="106">
      <c r="A94" s="134" t="inlineStr">
        <is>
          <t>PP-SPICE-BERBERE</t>
        </is>
      </c>
      <c r="B94" s="138" t="inlineStr">
        <is>
          <t>Spice Blend</t>
        </is>
      </c>
      <c r="C94" s="113" t="inlineStr">
        <is>
          <t>Berbere spice (Ethiopian)</t>
        </is>
      </c>
      <c r="D94" s="139" t="inlineStr">
        <is>
          <t>g</t>
        </is>
      </c>
      <c r="E94" s="146" t="n">
        <v>1</v>
      </c>
      <c r="F94" s="116" t="inlineStr">
        <is>
          <t>Y2 Winter</t>
        </is>
      </c>
      <c r="G94" s="140" t="n"/>
      <c r="H94" s="147" t="n"/>
      <c r="I94" s="141" t="n"/>
      <c r="J94" s="148" t="n"/>
      <c r="K94" s="149" t="n"/>
      <c r="L94" s="150">
        <f>IF(OR($J94="",$H94="",$H94=0),"",$J94/(1+IF(IFERROR(INDEX('03 Suppliers'!$N$5:$N$34,MATCH($G94,'03 Suppliers'!$B$5:$B$34,0)),"Excl VAT")="Incl VAT",'01 Control'!$C$6,0))/($H94*IFERROR(VLOOKUP($I94,'02 Lists'!$A$5:$B$18,2,FALSE()),1)))</f>
        <v/>
      </c>
      <c r="M94" s="140" t="n"/>
      <c r="N94" s="147" t="n"/>
      <c r="O94" s="141" t="n"/>
      <c r="P94" s="148" t="n"/>
      <c r="Q94" s="149" t="n"/>
      <c r="R94" s="150">
        <f>IF(OR($P94="",$N94="",$N94=0),"",$P94/(1+IF(IFERROR(INDEX('03 Suppliers'!$N$5:$N$34,MATCH($M94,'03 Suppliers'!$B$5:$B$34,0)),"Excl VAT")="Incl VAT",'01 Control'!$C$6,0))/($N94*IFERROR(VLOOKUP($O94,'02 Lists'!$A$5:$B$18,2,FALSE()),1)))</f>
        <v/>
      </c>
      <c r="S94" s="140" t="n"/>
      <c r="T94" s="147" t="n"/>
      <c r="U94" s="141" t="n"/>
      <c r="V94" s="148" t="n"/>
      <c r="W94" s="149" t="n"/>
      <c r="X94" s="150">
        <f>IF(OR($V94="",$T94="",$T94=0),"",$V94/(1+IF(IFERROR(INDEX('03 Suppliers'!$N$5:$N$34,MATCH($S94,'03 Suppliers'!$B$5:$B$34,0)),"Excl VAT")="Incl VAT",'01 Control'!$C$6,0))/($T94*IFERROR(VLOOKUP($U94,'02 Lists'!$A$5:$B$18,2,FALSE()),1)))</f>
        <v/>
      </c>
      <c r="Y94" s="140" t="n"/>
      <c r="Z94" s="147" t="n"/>
      <c r="AA94" s="141" t="n"/>
      <c r="AB94" s="148" t="n"/>
      <c r="AC94" s="149" t="n"/>
      <c r="AD94" s="150">
        <f>IF(OR($AB94="",$Z94="",$Z94=0),"",$AB94/(1+IF(IFERROR(INDEX('03 Suppliers'!$N$5:$N$34,MATCH($Y94,'03 Suppliers'!$B$5:$B$34,0)),"Excl VAT")="Incl VAT",'01 Control'!$C$6,0))/($Z94*IFERROR(VLOOKUP($AA94,'02 Lists'!$A$5:$B$18,2,FALSE()),1)))</f>
        <v/>
      </c>
      <c r="AE94" s="140" t="n"/>
      <c r="AF94" s="147" t="n"/>
      <c r="AG94" s="141" t="n"/>
      <c r="AH94" s="148" t="n"/>
      <c r="AI94" s="149" t="n"/>
      <c r="AJ94" s="150">
        <f>IF(OR($AH94="",$AF94="",$AF94=0),"",$AH94/(1+IF(IFERROR(INDEX('03 Suppliers'!$N$5:$N$34,MATCH($AE94,'03 Suppliers'!$B$5:$B$34,0)),"Excl VAT")="Incl VAT",'01 Control'!$C$6,0))/($AF94*IFERROR(VLOOKUP($AG94,'02 Lists'!$A$5:$B$18,2,FALSE()),1)))</f>
        <v/>
      </c>
      <c r="AK94" s="151">
        <f>IF(COUNT(L94,R94,X94,AD94,AJ94)=0,"",MIN(L94,R94,X94,AD94,AJ94))</f>
        <v/>
      </c>
      <c r="AL94" s="126">
        <f>IF($AK94="","",IF(L94=$AK94,$G94,IF(R94=$AK94,$M94,IF(X94=$AK94,$S94,IF(AD94=$AK94,$Y94,IF(AJ94=$AK94,$AE94,""))))))</f>
        <v/>
      </c>
      <c r="AM94" s="151">
        <f>IF($AK94="","",$AK94/IF($E94="",1,$E94))</f>
        <v/>
      </c>
      <c r="AN94" s="152">
        <f>COUNT(L94,R94,X94,AD94,AJ94)</f>
        <v/>
      </c>
      <c r="AO94" s="150">
        <f>IF(COUNT(L94,R94,X94,AD94,AJ94)=0,"",MAX(L94,R94,X94,AD94,AJ94))</f>
        <v/>
      </c>
      <c r="AP94" s="153">
        <f>IF(OR($AK94="",$AO94="",$AO94=0),"",($AO94-$AK94)/$AO94)</f>
        <v/>
      </c>
      <c r="AQ94" s="154">
        <f>IF($AK94="","",IF(L94=$AK94,$K94,IF(R94=$AK94,$Q94,IF(X94=$AK94,$W94,IF(AD94=$AK94,$AC94,IF(AJ94=$AK94,$AI94,""))))))</f>
        <v/>
      </c>
    </row>
    <row r="95" ht="15" customHeight="1" s="106">
      <c r="A95" s="134" t="inlineStr">
        <is>
          <t>PP-SPICE-CHERMOULA</t>
        </is>
      </c>
      <c r="B95" s="138" t="inlineStr">
        <is>
          <t>Spice Blend</t>
        </is>
      </c>
      <c r="C95" s="113" t="inlineStr">
        <is>
          <t>Chermoula blend (coriander, cumin, lemon)</t>
        </is>
      </c>
      <c r="D95" s="139" t="inlineStr">
        <is>
          <t>g</t>
        </is>
      </c>
      <c r="E95" s="146" t="n">
        <v>1</v>
      </c>
      <c r="F95" s="116" t="inlineStr">
        <is>
          <t>Y2 Winter</t>
        </is>
      </c>
      <c r="G95" s="140" t="n"/>
      <c r="H95" s="147" t="n"/>
      <c r="I95" s="141" t="n"/>
      <c r="J95" s="148" t="n"/>
      <c r="K95" s="149" t="n"/>
      <c r="L95" s="150">
        <f>IF(OR($J95="",$H95="",$H95=0),"",$J95/(1+IF(IFERROR(INDEX('03 Suppliers'!$N$5:$N$34,MATCH($G95,'03 Suppliers'!$B$5:$B$34,0)),"Excl VAT")="Incl VAT",'01 Control'!$C$6,0))/($H95*IFERROR(VLOOKUP($I95,'02 Lists'!$A$5:$B$18,2,FALSE()),1)))</f>
        <v/>
      </c>
      <c r="M95" s="140" t="n"/>
      <c r="N95" s="147" t="n"/>
      <c r="O95" s="141" t="n"/>
      <c r="P95" s="148" t="n"/>
      <c r="Q95" s="149" t="n"/>
      <c r="R95" s="150">
        <f>IF(OR($P95="",$N95="",$N95=0),"",$P95/(1+IF(IFERROR(INDEX('03 Suppliers'!$N$5:$N$34,MATCH($M95,'03 Suppliers'!$B$5:$B$34,0)),"Excl VAT")="Incl VAT",'01 Control'!$C$6,0))/($N95*IFERROR(VLOOKUP($O95,'02 Lists'!$A$5:$B$18,2,FALSE()),1)))</f>
        <v/>
      </c>
      <c r="S95" s="140" t="n"/>
      <c r="T95" s="147" t="n"/>
      <c r="U95" s="141" t="n"/>
      <c r="V95" s="148" t="n"/>
      <c r="W95" s="149" t="n"/>
      <c r="X95" s="150">
        <f>IF(OR($V95="",$T95="",$T95=0),"",$V95/(1+IF(IFERROR(INDEX('03 Suppliers'!$N$5:$N$34,MATCH($S95,'03 Suppliers'!$B$5:$B$34,0)),"Excl VAT")="Incl VAT",'01 Control'!$C$6,0))/($T95*IFERROR(VLOOKUP($U95,'02 Lists'!$A$5:$B$18,2,FALSE()),1)))</f>
        <v/>
      </c>
      <c r="Y95" s="140" t="n"/>
      <c r="Z95" s="147" t="n"/>
      <c r="AA95" s="141" t="n"/>
      <c r="AB95" s="148" t="n"/>
      <c r="AC95" s="149" t="n"/>
      <c r="AD95" s="150">
        <f>IF(OR($AB95="",$Z95="",$Z95=0),"",$AB95/(1+IF(IFERROR(INDEX('03 Suppliers'!$N$5:$N$34,MATCH($Y95,'03 Suppliers'!$B$5:$B$34,0)),"Excl VAT")="Incl VAT",'01 Control'!$C$6,0))/($Z95*IFERROR(VLOOKUP($AA95,'02 Lists'!$A$5:$B$18,2,FALSE()),1)))</f>
        <v/>
      </c>
      <c r="AE95" s="140" t="n"/>
      <c r="AF95" s="147" t="n"/>
      <c r="AG95" s="141" t="n"/>
      <c r="AH95" s="148" t="n"/>
      <c r="AI95" s="149" t="n"/>
      <c r="AJ95" s="150">
        <f>IF(OR($AH95="",$AF95="",$AF95=0),"",$AH95/(1+IF(IFERROR(INDEX('03 Suppliers'!$N$5:$N$34,MATCH($AE95,'03 Suppliers'!$B$5:$B$34,0)),"Excl VAT")="Incl VAT",'01 Control'!$C$6,0))/($AF95*IFERROR(VLOOKUP($AG95,'02 Lists'!$A$5:$B$18,2,FALSE()),1)))</f>
        <v/>
      </c>
      <c r="AK95" s="151">
        <f>IF(COUNT(L95,R95,X95,AD95,AJ95)=0,"",MIN(L95,R95,X95,AD95,AJ95))</f>
        <v/>
      </c>
      <c r="AL95" s="126">
        <f>IF($AK95="","",IF(L95=$AK95,$G95,IF(R95=$AK95,$M95,IF(X95=$AK95,$S95,IF(AD95=$AK95,$Y95,IF(AJ95=$AK95,$AE95,""))))))</f>
        <v/>
      </c>
      <c r="AM95" s="151">
        <f>IF($AK95="","",$AK95/IF($E95="",1,$E95))</f>
        <v/>
      </c>
      <c r="AN95" s="152">
        <f>COUNT(L95,R95,X95,AD95,AJ95)</f>
        <v/>
      </c>
      <c r="AO95" s="150">
        <f>IF(COUNT(L95,R95,X95,AD95,AJ95)=0,"",MAX(L95,R95,X95,AD95,AJ95))</f>
        <v/>
      </c>
      <c r="AP95" s="153">
        <f>IF(OR($AK95="",$AO95="",$AO95=0),"",($AO95-$AK95)/$AO95)</f>
        <v/>
      </c>
      <c r="AQ95" s="154">
        <f>IF($AK95="","",IF(L95=$AK95,$K95,IF(R95=$AK95,$Q95,IF(X95=$AK95,$W95,IF(AD95=$AK95,$AC95,IF(AJ95=$AK95,$AI95,""))))))</f>
        <v/>
      </c>
    </row>
    <row r="96" ht="15" customHeight="1" s="106">
      <c r="A96" s="134" t="inlineStr">
        <is>
          <t>PP-SPICE-JOLLOF</t>
        </is>
      </c>
      <c r="B96" s="138" t="inlineStr">
        <is>
          <t>Spice Blend</t>
        </is>
      </c>
      <c r="C96" s="113" t="inlineStr">
        <is>
          <t>Jollof spice</t>
        </is>
      </c>
      <c r="D96" s="139" t="inlineStr">
        <is>
          <t>g</t>
        </is>
      </c>
      <c r="E96" s="146" t="n">
        <v>1</v>
      </c>
      <c r="F96" s="116" t="inlineStr">
        <is>
          <t>Y2 Spring</t>
        </is>
      </c>
      <c r="G96" s="140" t="n"/>
      <c r="H96" s="147" t="n"/>
      <c r="I96" s="141" t="n"/>
      <c r="J96" s="148" t="n"/>
      <c r="K96" s="149" t="n"/>
      <c r="L96" s="150">
        <f>IF(OR($J96="",$H96="",$H96=0),"",$J96/(1+IF(IFERROR(INDEX('03 Suppliers'!$N$5:$N$34,MATCH($G96,'03 Suppliers'!$B$5:$B$34,0)),"Excl VAT")="Incl VAT",'01 Control'!$C$6,0))/($H96*IFERROR(VLOOKUP($I96,'02 Lists'!$A$5:$B$18,2,FALSE()),1)))</f>
        <v/>
      </c>
      <c r="M96" s="140" t="n"/>
      <c r="N96" s="147" t="n"/>
      <c r="O96" s="141" t="n"/>
      <c r="P96" s="148" t="n"/>
      <c r="Q96" s="149" t="n"/>
      <c r="R96" s="150">
        <f>IF(OR($P96="",$N96="",$N96=0),"",$P96/(1+IF(IFERROR(INDEX('03 Suppliers'!$N$5:$N$34,MATCH($M96,'03 Suppliers'!$B$5:$B$34,0)),"Excl VAT")="Incl VAT",'01 Control'!$C$6,0))/($N96*IFERROR(VLOOKUP($O96,'02 Lists'!$A$5:$B$18,2,FALSE()),1)))</f>
        <v/>
      </c>
      <c r="S96" s="140" t="n"/>
      <c r="T96" s="147" t="n"/>
      <c r="U96" s="141" t="n"/>
      <c r="V96" s="148" t="n"/>
      <c r="W96" s="149" t="n"/>
      <c r="X96" s="150">
        <f>IF(OR($V96="",$T96="",$T96=0),"",$V96/(1+IF(IFERROR(INDEX('03 Suppliers'!$N$5:$N$34,MATCH($S96,'03 Suppliers'!$B$5:$B$34,0)),"Excl VAT")="Incl VAT",'01 Control'!$C$6,0))/($T96*IFERROR(VLOOKUP($U96,'02 Lists'!$A$5:$B$18,2,FALSE()),1)))</f>
        <v/>
      </c>
      <c r="Y96" s="140" t="n"/>
      <c r="Z96" s="147" t="n"/>
      <c r="AA96" s="141" t="n"/>
      <c r="AB96" s="148" t="n"/>
      <c r="AC96" s="149" t="n"/>
      <c r="AD96" s="150">
        <f>IF(OR($AB96="",$Z96="",$Z96=0),"",$AB96/(1+IF(IFERROR(INDEX('03 Suppliers'!$N$5:$N$34,MATCH($Y96,'03 Suppliers'!$B$5:$B$34,0)),"Excl VAT")="Incl VAT",'01 Control'!$C$6,0))/($Z96*IFERROR(VLOOKUP($AA96,'02 Lists'!$A$5:$B$18,2,FALSE()),1)))</f>
        <v/>
      </c>
      <c r="AE96" s="140" t="n"/>
      <c r="AF96" s="147" t="n"/>
      <c r="AG96" s="141" t="n"/>
      <c r="AH96" s="148" t="n"/>
      <c r="AI96" s="149" t="n"/>
      <c r="AJ96" s="150">
        <f>IF(OR($AH96="",$AF96="",$AF96=0),"",$AH96/(1+IF(IFERROR(INDEX('03 Suppliers'!$N$5:$N$34,MATCH($AE96,'03 Suppliers'!$B$5:$B$34,0)),"Excl VAT")="Incl VAT",'01 Control'!$C$6,0))/($AF96*IFERROR(VLOOKUP($AG96,'02 Lists'!$A$5:$B$18,2,FALSE()),1)))</f>
        <v/>
      </c>
      <c r="AK96" s="151">
        <f>IF(COUNT(L96,R96,X96,AD96,AJ96)=0,"",MIN(L96,R96,X96,AD96,AJ96))</f>
        <v/>
      </c>
      <c r="AL96" s="126">
        <f>IF($AK96="","",IF(L96=$AK96,$G96,IF(R96=$AK96,$M96,IF(X96=$AK96,$S96,IF(AD96=$AK96,$Y96,IF(AJ96=$AK96,$AE96,""))))))</f>
        <v/>
      </c>
      <c r="AM96" s="151">
        <f>IF($AK96="","",$AK96/IF($E96="",1,$E96))</f>
        <v/>
      </c>
      <c r="AN96" s="152">
        <f>COUNT(L96,R96,X96,AD96,AJ96)</f>
        <v/>
      </c>
      <c r="AO96" s="150">
        <f>IF(COUNT(L96,R96,X96,AD96,AJ96)=0,"",MAX(L96,R96,X96,AD96,AJ96))</f>
        <v/>
      </c>
      <c r="AP96" s="153">
        <f>IF(OR($AK96="",$AO96="",$AO96=0),"",($AO96-$AK96)/$AO96)</f>
        <v/>
      </c>
      <c r="AQ96" s="154">
        <f>IF($AK96="","",IF(L96=$AK96,$K96,IF(R96=$AK96,$Q96,IF(X96=$AK96,$W96,IF(AD96=$AK96,$AC96,IF(AJ96=$AK96,$AI96,""))))))</f>
        <v/>
      </c>
    </row>
    <row r="97" ht="15" customHeight="1" s="106">
      <c r="A97" s="134" t="inlineStr">
        <is>
          <t>PP-SPICE-SUYA</t>
        </is>
      </c>
      <c r="B97" s="138" t="inlineStr">
        <is>
          <t>Spice Blend</t>
        </is>
      </c>
      <c r="C97" s="113" t="inlineStr">
        <is>
          <t>Suya (yaji) spice</t>
        </is>
      </c>
      <c r="D97" s="139" t="inlineStr">
        <is>
          <t>g</t>
        </is>
      </c>
      <c r="E97" s="146" t="n">
        <v>1</v>
      </c>
      <c r="F97" s="116" t="inlineStr">
        <is>
          <t>Y2 Spring</t>
        </is>
      </c>
      <c r="G97" s="140" t="n"/>
      <c r="H97" s="147" t="n"/>
      <c r="I97" s="141" t="n"/>
      <c r="J97" s="148" t="n"/>
      <c r="K97" s="149" t="n"/>
      <c r="L97" s="150">
        <f>IF(OR($J97="",$H97="",$H97=0),"",$J97/(1+IF(IFERROR(INDEX('03 Suppliers'!$N$5:$N$34,MATCH($G97,'03 Suppliers'!$B$5:$B$34,0)),"Excl VAT")="Incl VAT",'01 Control'!$C$6,0))/($H97*IFERROR(VLOOKUP($I97,'02 Lists'!$A$5:$B$18,2,FALSE()),1)))</f>
        <v/>
      </c>
      <c r="M97" s="140" t="n"/>
      <c r="N97" s="147" t="n"/>
      <c r="O97" s="141" t="n"/>
      <c r="P97" s="148" t="n"/>
      <c r="Q97" s="149" t="n"/>
      <c r="R97" s="150">
        <f>IF(OR($P97="",$N97="",$N97=0),"",$P97/(1+IF(IFERROR(INDEX('03 Suppliers'!$N$5:$N$34,MATCH($M97,'03 Suppliers'!$B$5:$B$34,0)),"Excl VAT")="Incl VAT",'01 Control'!$C$6,0))/($N97*IFERROR(VLOOKUP($O97,'02 Lists'!$A$5:$B$18,2,FALSE()),1)))</f>
        <v/>
      </c>
      <c r="S97" s="140" t="n"/>
      <c r="T97" s="147" t="n"/>
      <c r="U97" s="141" t="n"/>
      <c r="V97" s="148" t="n"/>
      <c r="W97" s="149" t="n"/>
      <c r="X97" s="150">
        <f>IF(OR($V97="",$T97="",$T97=0),"",$V97/(1+IF(IFERROR(INDEX('03 Suppliers'!$N$5:$N$34,MATCH($S97,'03 Suppliers'!$B$5:$B$34,0)),"Excl VAT")="Incl VAT",'01 Control'!$C$6,0))/($T97*IFERROR(VLOOKUP($U97,'02 Lists'!$A$5:$B$18,2,FALSE()),1)))</f>
        <v/>
      </c>
      <c r="Y97" s="140" t="n"/>
      <c r="Z97" s="147" t="n"/>
      <c r="AA97" s="141" t="n"/>
      <c r="AB97" s="148" t="n"/>
      <c r="AC97" s="149" t="n"/>
      <c r="AD97" s="150">
        <f>IF(OR($AB97="",$Z97="",$Z97=0),"",$AB97/(1+IF(IFERROR(INDEX('03 Suppliers'!$N$5:$N$34,MATCH($Y97,'03 Suppliers'!$B$5:$B$34,0)),"Excl VAT")="Incl VAT",'01 Control'!$C$6,0))/($Z97*IFERROR(VLOOKUP($AA97,'02 Lists'!$A$5:$B$18,2,FALSE()),1)))</f>
        <v/>
      </c>
      <c r="AE97" s="140" t="n"/>
      <c r="AF97" s="147" t="n"/>
      <c r="AG97" s="141" t="n"/>
      <c r="AH97" s="148" t="n"/>
      <c r="AI97" s="149" t="n"/>
      <c r="AJ97" s="150">
        <f>IF(OR($AH97="",$AF97="",$AF97=0),"",$AH97/(1+IF(IFERROR(INDEX('03 Suppliers'!$N$5:$N$34,MATCH($AE97,'03 Suppliers'!$B$5:$B$34,0)),"Excl VAT")="Incl VAT",'01 Control'!$C$6,0))/($AF97*IFERROR(VLOOKUP($AG97,'02 Lists'!$A$5:$B$18,2,FALSE()),1)))</f>
        <v/>
      </c>
      <c r="AK97" s="151">
        <f>IF(COUNT(L97,R97,X97,AD97,AJ97)=0,"",MIN(L97,R97,X97,AD97,AJ97))</f>
        <v/>
      </c>
      <c r="AL97" s="126">
        <f>IF($AK97="","",IF(L97=$AK97,$G97,IF(R97=$AK97,$M97,IF(X97=$AK97,$S97,IF(AD97=$AK97,$Y97,IF(AJ97=$AK97,$AE97,""))))))</f>
        <v/>
      </c>
      <c r="AM97" s="151">
        <f>IF($AK97="","",$AK97/IF($E97="",1,$E97))</f>
        <v/>
      </c>
      <c r="AN97" s="152">
        <f>COUNT(L97,R97,X97,AD97,AJ97)</f>
        <v/>
      </c>
      <c r="AO97" s="150">
        <f>IF(COUNT(L97,R97,X97,AD97,AJ97)=0,"",MAX(L97,R97,X97,AD97,AJ97))</f>
        <v/>
      </c>
      <c r="AP97" s="153">
        <f>IF(OR($AK97="",$AO97="",$AO97=0),"",($AO97-$AK97)/$AO97)</f>
        <v/>
      </c>
      <c r="AQ97" s="154">
        <f>IF($AK97="","",IF(L97=$AK97,$K97,IF(R97=$AK97,$Q97,IF(X97=$AK97,$W97,IF(AD97=$AK97,$AC97,IF(AJ97=$AK97,$AI97,""))))))</f>
        <v/>
      </c>
    </row>
    <row r="98" ht="15" customHeight="1" s="106">
      <c r="A98" s="134" t="inlineStr">
        <is>
          <t>PP-SPICE-CAJUN</t>
        </is>
      </c>
      <c r="B98" s="138" t="inlineStr">
        <is>
          <t>Spice Blend</t>
        </is>
      </c>
      <c r="C98" s="113" t="inlineStr">
        <is>
          <t>Cajun spice</t>
        </is>
      </c>
      <c r="D98" s="139" t="inlineStr">
        <is>
          <t>g</t>
        </is>
      </c>
      <c r="E98" s="146" t="n">
        <v>1</v>
      </c>
      <c r="F98" s="116" t="inlineStr">
        <is>
          <t>Y3 Autumn</t>
        </is>
      </c>
      <c r="G98" s="140" t="n"/>
      <c r="H98" s="147" t="n"/>
      <c r="I98" s="141" t="n"/>
      <c r="J98" s="148" t="n"/>
      <c r="K98" s="149" t="n"/>
      <c r="L98" s="150">
        <f>IF(OR($J98="",$H98="",$H98=0),"",$J98/(1+IF(IFERROR(INDEX('03 Suppliers'!$N$5:$N$34,MATCH($G98,'03 Suppliers'!$B$5:$B$34,0)),"Excl VAT")="Incl VAT",'01 Control'!$C$6,0))/($H98*IFERROR(VLOOKUP($I98,'02 Lists'!$A$5:$B$18,2,FALSE()),1)))</f>
        <v/>
      </c>
      <c r="M98" s="140" t="n"/>
      <c r="N98" s="147" t="n"/>
      <c r="O98" s="141" t="n"/>
      <c r="P98" s="148" t="n"/>
      <c r="Q98" s="149" t="n"/>
      <c r="R98" s="150">
        <f>IF(OR($P98="",$N98="",$N98=0),"",$P98/(1+IF(IFERROR(INDEX('03 Suppliers'!$N$5:$N$34,MATCH($M98,'03 Suppliers'!$B$5:$B$34,0)),"Excl VAT")="Incl VAT",'01 Control'!$C$6,0))/($N98*IFERROR(VLOOKUP($O98,'02 Lists'!$A$5:$B$18,2,FALSE()),1)))</f>
        <v/>
      </c>
      <c r="S98" s="140" t="n"/>
      <c r="T98" s="147" t="n"/>
      <c r="U98" s="141" t="n"/>
      <c r="V98" s="148" t="n"/>
      <c r="W98" s="149" t="n"/>
      <c r="X98" s="150">
        <f>IF(OR($V98="",$T98="",$T98=0),"",$V98/(1+IF(IFERROR(INDEX('03 Suppliers'!$N$5:$N$34,MATCH($S98,'03 Suppliers'!$B$5:$B$34,0)),"Excl VAT")="Incl VAT",'01 Control'!$C$6,0))/($T98*IFERROR(VLOOKUP($U98,'02 Lists'!$A$5:$B$18,2,FALSE()),1)))</f>
        <v/>
      </c>
      <c r="Y98" s="140" t="n"/>
      <c r="Z98" s="147" t="n"/>
      <c r="AA98" s="141" t="n"/>
      <c r="AB98" s="148" t="n"/>
      <c r="AC98" s="149" t="n"/>
      <c r="AD98" s="150">
        <f>IF(OR($AB98="",$Z98="",$Z98=0),"",$AB98/(1+IF(IFERROR(INDEX('03 Suppliers'!$N$5:$N$34,MATCH($Y98,'03 Suppliers'!$B$5:$B$34,0)),"Excl VAT")="Incl VAT",'01 Control'!$C$6,0))/($Z98*IFERROR(VLOOKUP($AA98,'02 Lists'!$A$5:$B$18,2,FALSE()),1)))</f>
        <v/>
      </c>
      <c r="AE98" s="140" t="n"/>
      <c r="AF98" s="147" t="n"/>
      <c r="AG98" s="141" t="n"/>
      <c r="AH98" s="148" t="n"/>
      <c r="AI98" s="149" t="n"/>
      <c r="AJ98" s="150">
        <f>IF(OR($AH98="",$AF98="",$AF98=0),"",$AH98/(1+IF(IFERROR(INDEX('03 Suppliers'!$N$5:$N$34,MATCH($AE98,'03 Suppliers'!$B$5:$B$34,0)),"Excl VAT")="Incl VAT",'01 Control'!$C$6,0))/($AF98*IFERROR(VLOOKUP($AG98,'02 Lists'!$A$5:$B$18,2,FALSE()),1)))</f>
        <v/>
      </c>
      <c r="AK98" s="151">
        <f>IF(COUNT(L98,R98,X98,AD98,AJ98)=0,"",MIN(L98,R98,X98,AD98,AJ98))</f>
        <v/>
      </c>
      <c r="AL98" s="126">
        <f>IF($AK98="","",IF(L98=$AK98,$G98,IF(R98=$AK98,$M98,IF(X98=$AK98,$S98,IF(AD98=$AK98,$Y98,IF(AJ98=$AK98,$AE98,""))))))</f>
        <v/>
      </c>
      <c r="AM98" s="151">
        <f>IF($AK98="","",$AK98/IF($E98="",1,$E98))</f>
        <v/>
      </c>
      <c r="AN98" s="152">
        <f>COUNT(L98,R98,X98,AD98,AJ98)</f>
        <v/>
      </c>
      <c r="AO98" s="150">
        <f>IF(COUNT(L98,R98,X98,AD98,AJ98)=0,"",MAX(L98,R98,X98,AD98,AJ98))</f>
        <v/>
      </c>
      <c r="AP98" s="153">
        <f>IF(OR($AK98="",$AO98="",$AO98=0),"",($AO98-$AK98)/$AO98)</f>
        <v/>
      </c>
      <c r="AQ98" s="154">
        <f>IF($AK98="","",IF(L98=$AK98,$K98,IF(R98=$AK98,$Q98,IF(X98=$AK98,$W98,IF(AD98=$AK98,$AC98,IF(AJ98=$AK98,$AI98,""))))))</f>
        <v/>
      </c>
    </row>
    <row r="99" ht="15" customHeight="1" s="106">
      <c r="A99" s="134" t="inlineStr">
        <is>
          <t>PP-SPICE-TURMERIC</t>
        </is>
      </c>
      <c r="B99" s="138" t="inlineStr">
        <is>
          <t>Spice Blend</t>
        </is>
      </c>
      <c r="C99" s="113" t="inlineStr">
        <is>
          <t>Turmeric</t>
        </is>
      </c>
      <c r="D99" s="139" t="inlineStr">
        <is>
          <t>g</t>
        </is>
      </c>
      <c r="E99" s="146" t="n">
        <v>1</v>
      </c>
      <c r="F99" s="116" t="inlineStr">
        <is>
          <t>Y2 Autumn</t>
        </is>
      </c>
      <c r="G99" s="140" t="n"/>
      <c r="H99" s="147" t="n"/>
      <c r="I99" s="141" t="n"/>
      <c r="J99" s="148" t="n"/>
      <c r="K99" s="149" t="n"/>
      <c r="L99" s="150">
        <f>IF(OR($J99="",$H99="",$H99=0),"",$J99/(1+IF(IFERROR(INDEX('03 Suppliers'!$N$5:$N$34,MATCH($G99,'03 Suppliers'!$B$5:$B$34,0)),"Excl VAT")="Incl VAT",'01 Control'!$C$6,0))/($H99*IFERROR(VLOOKUP($I99,'02 Lists'!$A$5:$B$18,2,FALSE()),1)))</f>
        <v/>
      </c>
      <c r="M99" s="140" t="n"/>
      <c r="N99" s="147" t="n"/>
      <c r="O99" s="141" t="n"/>
      <c r="P99" s="148" t="n"/>
      <c r="Q99" s="149" t="n"/>
      <c r="R99" s="150">
        <f>IF(OR($P99="",$N99="",$N99=0),"",$P99/(1+IF(IFERROR(INDEX('03 Suppliers'!$N$5:$N$34,MATCH($M99,'03 Suppliers'!$B$5:$B$34,0)),"Excl VAT")="Incl VAT",'01 Control'!$C$6,0))/($N99*IFERROR(VLOOKUP($O99,'02 Lists'!$A$5:$B$18,2,FALSE()),1)))</f>
        <v/>
      </c>
      <c r="S99" s="140" t="n"/>
      <c r="T99" s="147" t="n"/>
      <c r="U99" s="141" t="n"/>
      <c r="V99" s="148" t="n"/>
      <c r="W99" s="149" t="n"/>
      <c r="X99" s="150">
        <f>IF(OR($V99="",$T99="",$T99=0),"",$V99/(1+IF(IFERROR(INDEX('03 Suppliers'!$N$5:$N$34,MATCH($S99,'03 Suppliers'!$B$5:$B$34,0)),"Excl VAT")="Incl VAT",'01 Control'!$C$6,0))/($T99*IFERROR(VLOOKUP($U99,'02 Lists'!$A$5:$B$18,2,FALSE()),1)))</f>
        <v/>
      </c>
      <c r="Y99" s="140" t="n"/>
      <c r="Z99" s="147" t="n"/>
      <c r="AA99" s="141" t="n"/>
      <c r="AB99" s="148" t="n"/>
      <c r="AC99" s="149" t="n"/>
      <c r="AD99" s="150">
        <f>IF(OR($AB99="",$Z99="",$Z99=0),"",$AB99/(1+IF(IFERROR(INDEX('03 Suppliers'!$N$5:$N$34,MATCH($Y99,'03 Suppliers'!$B$5:$B$34,0)),"Excl VAT")="Incl VAT",'01 Control'!$C$6,0))/($Z99*IFERROR(VLOOKUP($AA99,'02 Lists'!$A$5:$B$18,2,FALSE()),1)))</f>
        <v/>
      </c>
      <c r="AE99" s="140" t="n"/>
      <c r="AF99" s="147" t="n"/>
      <c r="AG99" s="141" t="n"/>
      <c r="AH99" s="148" t="n"/>
      <c r="AI99" s="149" t="n"/>
      <c r="AJ99" s="150">
        <f>IF(OR($AH99="",$AF99="",$AF99=0),"",$AH99/(1+IF(IFERROR(INDEX('03 Suppliers'!$N$5:$N$34,MATCH($AE99,'03 Suppliers'!$B$5:$B$34,0)),"Excl VAT")="Incl VAT",'01 Control'!$C$6,0))/($AF99*IFERROR(VLOOKUP($AG99,'02 Lists'!$A$5:$B$18,2,FALSE()),1)))</f>
        <v/>
      </c>
      <c r="AK99" s="151">
        <f>IF(COUNT(L99,R99,X99,AD99,AJ99)=0,"",MIN(L99,R99,X99,AD99,AJ99))</f>
        <v/>
      </c>
      <c r="AL99" s="126">
        <f>IF($AK99="","",IF(L99=$AK99,$G99,IF(R99=$AK99,$M99,IF(X99=$AK99,$S99,IF(AD99=$AK99,$Y99,IF(AJ99=$AK99,$AE99,""))))))</f>
        <v/>
      </c>
      <c r="AM99" s="151">
        <f>IF($AK99="","",$AK99/IF($E99="",1,$E99))</f>
        <v/>
      </c>
      <c r="AN99" s="152">
        <f>COUNT(L99,R99,X99,AD99,AJ99)</f>
        <v/>
      </c>
      <c r="AO99" s="150">
        <f>IF(COUNT(L99,R99,X99,AD99,AJ99)=0,"",MAX(L99,R99,X99,AD99,AJ99))</f>
        <v/>
      </c>
      <c r="AP99" s="153">
        <f>IF(OR($AK99="",$AO99="",$AO99=0),"",($AO99-$AK99)/$AO99)</f>
        <v/>
      </c>
      <c r="AQ99" s="154">
        <f>IF($AK99="","",IF(L99=$AK99,$K99,IF(R99=$AK99,$Q99,IF(X99=$AK99,$W99,IF(AD99=$AK99,$AC99,IF(AJ99=$AK99,$AI99,""))))))</f>
        <v/>
      </c>
    </row>
    <row r="100" ht="15" customHeight="1" s="106">
      <c r="A100" s="134" t="inlineStr">
        <is>
          <t>PP-COCONUT-CREAM</t>
        </is>
      </c>
      <c r="B100" s="138" t="inlineStr">
        <is>
          <t>Seasonal Spec</t>
        </is>
      </c>
      <c r="C100" s="113" t="inlineStr">
        <is>
          <t>Coconut cream</t>
        </is>
      </c>
      <c r="D100" s="139" t="inlineStr">
        <is>
          <t>ml</t>
        </is>
      </c>
      <c r="E100" s="146" t="n">
        <v>1</v>
      </c>
      <c r="F100" s="116" t="inlineStr">
        <is>
          <t>Y2 Summer</t>
        </is>
      </c>
      <c r="G100" s="140" t="n"/>
      <c r="H100" s="147" t="n"/>
      <c r="I100" s="141" t="n"/>
      <c r="J100" s="148" t="n"/>
      <c r="K100" s="149" t="n"/>
      <c r="L100" s="150">
        <f>IF(OR($J100="",$H100="",$H100=0),"",$J100/(1+IF(IFERROR(INDEX('03 Suppliers'!$N$5:$N$34,MATCH($G100,'03 Suppliers'!$B$5:$B$34,0)),"Excl VAT")="Incl VAT",'01 Control'!$C$6,0))/($H100*IFERROR(VLOOKUP($I100,'02 Lists'!$A$5:$B$18,2,FALSE()),1)))</f>
        <v/>
      </c>
      <c r="M100" s="140" t="n"/>
      <c r="N100" s="147" t="n"/>
      <c r="O100" s="141" t="n"/>
      <c r="P100" s="148" t="n"/>
      <c r="Q100" s="149" t="n"/>
      <c r="R100" s="150">
        <f>IF(OR($P100="",$N100="",$N100=0),"",$P100/(1+IF(IFERROR(INDEX('03 Suppliers'!$N$5:$N$34,MATCH($M100,'03 Suppliers'!$B$5:$B$34,0)),"Excl VAT")="Incl VAT",'01 Control'!$C$6,0))/($N100*IFERROR(VLOOKUP($O100,'02 Lists'!$A$5:$B$18,2,FALSE()),1)))</f>
        <v/>
      </c>
      <c r="S100" s="140" t="n"/>
      <c r="T100" s="147" t="n"/>
      <c r="U100" s="141" t="n"/>
      <c r="V100" s="148" t="n"/>
      <c r="W100" s="149" t="n"/>
      <c r="X100" s="150">
        <f>IF(OR($V100="",$T100="",$T100=0),"",$V100/(1+IF(IFERROR(INDEX('03 Suppliers'!$N$5:$N$34,MATCH($S100,'03 Suppliers'!$B$5:$B$34,0)),"Excl VAT")="Incl VAT",'01 Control'!$C$6,0))/($T100*IFERROR(VLOOKUP($U100,'02 Lists'!$A$5:$B$18,2,FALSE()),1)))</f>
        <v/>
      </c>
      <c r="Y100" s="140" t="n"/>
      <c r="Z100" s="147" t="n"/>
      <c r="AA100" s="141" t="n"/>
      <c r="AB100" s="148" t="n"/>
      <c r="AC100" s="149" t="n"/>
      <c r="AD100" s="150">
        <f>IF(OR($AB100="",$Z100="",$Z100=0),"",$AB100/(1+IF(IFERROR(INDEX('03 Suppliers'!$N$5:$N$34,MATCH($Y100,'03 Suppliers'!$B$5:$B$34,0)),"Excl VAT")="Incl VAT",'01 Control'!$C$6,0))/($Z100*IFERROR(VLOOKUP($AA100,'02 Lists'!$A$5:$B$18,2,FALSE()),1)))</f>
        <v/>
      </c>
      <c r="AE100" s="140" t="n"/>
      <c r="AF100" s="147" t="n"/>
      <c r="AG100" s="141" t="n"/>
      <c r="AH100" s="148" t="n"/>
      <c r="AI100" s="149" t="n"/>
      <c r="AJ100" s="150">
        <f>IF(OR($AH100="",$AF100="",$AF100=0),"",$AH100/(1+IF(IFERROR(INDEX('03 Suppliers'!$N$5:$N$34,MATCH($AE100,'03 Suppliers'!$B$5:$B$34,0)),"Excl VAT")="Incl VAT",'01 Control'!$C$6,0))/($AF100*IFERROR(VLOOKUP($AG100,'02 Lists'!$A$5:$B$18,2,FALSE()),1)))</f>
        <v/>
      </c>
      <c r="AK100" s="151">
        <f>IF(COUNT(L100,R100,X100,AD100,AJ100)=0,"",MIN(L100,R100,X100,AD100,AJ100))</f>
        <v/>
      </c>
      <c r="AL100" s="126">
        <f>IF($AK100="","",IF(L100=$AK100,$G100,IF(R100=$AK100,$M100,IF(X100=$AK100,$S100,IF(AD100=$AK100,$Y100,IF(AJ100=$AK100,$AE100,""))))))</f>
        <v/>
      </c>
      <c r="AM100" s="151">
        <f>IF($AK100="","",$AK100/IF($E100="",1,$E100))</f>
        <v/>
      </c>
      <c r="AN100" s="152">
        <f>COUNT(L100,R100,X100,AD100,AJ100)</f>
        <v/>
      </c>
      <c r="AO100" s="150">
        <f>IF(COUNT(L100,R100,X100,AD100,AJ100)=0,"",MAX(L100,R100,X100,AD100,AJ100))</f>
        <v/>
      </c>
      <c r="AP100" s="153">
        <f>IF(OR($AK100="",$AO100="",$AO100=0),"",($AO100-$AK100)/$AO100)</f>
        <v/>
      </c>
      <c r="AQ100" s="154">
        <f>IF($AK100="","",IF(L100=$AK100,$K100,IF(R100=$AK100,$Q100,IF(X100=$AK100,$W100,IF(AD100=$AK100,$AC100,IF(AJ100=$AK100,$AI100,""))))))</f>
        <v/>
      </c>
    </row>
    <row r="101" ht="15" customHeight="1" s="106">
      <c r="A101" s="134" t="inlineStr">
        <is>
          <t>PP-APRICOT-DRY</t>
        </is>
      </c>
      <c r="B101" s="138" t="inlineStr">
        <is>
          <t>Seasonal Spec</t>
        </is>
      </c>
      <c r="C101" s="113" t="inlineStr">
        <is>
          <t>Dried apricots</t>
        </is>
      </c>
      <c r="D101" s="139" t="inlineStr">
        <is>
          <t>g</t>
        </is>
      </c>
      <c r="E101" s="146" t="n">
        <v>1</v>
      </c>
      <c r="F101" s="116" t="inlineStr">
        <is>
          <t>Y2 Autumn</t>
        </is>
      </c>
      <c r="G101" s="140" t="n"/>
      <c r="H101" s="147" t="n"/>
      <c r="I101" s="141" t="n"/>
      <c r="J101" s="148" t="n"/>
      <c r="K101" s="149" t="n"/>
      <c r="L101" s="150">
        <f>IF(OR($J101="",$H101="",$H101=0),"",$J101/(1+IF(IFERROR(INDEX('03 Suppliers'!$N$5:$N$34,MATCH($G101,'03 Suppliers'!$B$5:$B$34,0)),"Excl VAT")="Incl VAT",'01 Control'!$C$6,0))/($H101*IFERROR(VLOOKUP($I101,'02 Lists'!$A$5:$B$18,2,FALSE()),1)))</f>
        <v/>
      </c>
      <c r="M101" s="140" t="n"/>
      <c r="N101" s="147" t="n"/>
      <c r="O101" s="141" t="n"/>
      <c r="P101" s="148" t="n"/>
      <c r="Q101" s="149" t="n"/>
      <c r="R101" s="150">
        <f>IF(OR($P101="",$N101="",$N101=0),"",$P101/(1+IF(IFERROR(INDEX('03 Suppliers'!$N$5:$N$34,MATCH($M101,'03 Suppliers'!$B$5:$B$34,0)),"Excl VAT")="Incl VAT",'01 Control'!$C$6,0))/($N101*IFERROR(VLOOKUP($O101,'02 Lists'!$A$5:$B$18,2,FALSE()),1)))</f>
        <v/>
      </c>
      <c r="S101" s="140" t="n"/>
      <c r="T101" s="147" t="n"/>
      <c r="U101" s="141" t="n"/>
      <c r="V101" s="148" t="n"/>
      <c r="W101" s="149" t="n"/>
      <c r="X101" s="150">
        <f>IF(OR($V101="",$T101="",$T101=0),"",$V101/(1+IF(IFERROR(INDEX('03 Suppliers'!$N$5:$N$34,MATCH($S101,'03 Suppliers'!$B$5:$B$34,0)),"Excl VAT")="Incl VAT",'01 Control'!$C$6,0))/($T101*IFERROR(VLOOKUP($U101,'02 Lists'!$A$5:$B$18,2,FALSE()),1)))</f>
        <v/>
      </c>
      <c r="Y101" s="140" t="n"/>
      <c r="Z101" s="147" t="n"/>
      <c r="AA101" s="141" t="n"/>
      <c r="AB101" s="148" t="n"/>
      <c r="AC101" s="149" t="n"/>
      <c r="AD101" s="150">
        <f>IF(OR($AB101="",$Z101="",$Z101=0),"",$AB101/(1+IF(IFERROR(INDEX('03 Suppliers'!$N$5:$N$34,MATCH($Y101,'03 Suppliers'!$B$5:$B$34,0)),"Excl VAT")="Incl VAT",'01 Control'!$C$6,0))/($Z101*IFERROR(VLOOKUP($AA101,'02 Lists'!$A$5:$B$18,2,FALSE()),1)))</f>
        <v/>
      </c>
      <c r="AE101" s="140" t="n"/>
      <c r="AF101" s="147" t="n"/>
      <c r="AG101" s="141" t="n"/>
      <c r="AH101" s="148" t="n"/>
      <c r="AI101" s="149" t="n"/>
      <c r="AJ101" s="150">
        <f>IF(OR($AH101="",$AF101="",$AF101=0),"",$AH101/(1+IF(IFERROR(INDEX('03 Suppliers'!$N$5:$N$34,MATCH($AE101,'03 Suppliers'!$B$5:$B$34,0)),"Excl VAT")="Incl VAT",'01 Control'!$C$6,0))/($AF101*IFERROR(VLOOKUP($AG101,'02 Lists'!$A$5:$B$18,2,FALSE()),1)))</f>
        <v/>
      </c>
      <c r="AK101" s="151">
        <f>IF(COUNT(L101,R101,X101,AD101,AJ101)=0,"",MIN(L101,R101,X101,AD101,AJ101))</f>
        <v/>
      </c>
      <c r="AL101" s="126">
        <f>IF($AK101="","",IF(L101=$AK101,$G101,IF(R101=$AK101,$M101,IF(X101=$AK101,$S101,IF(AD101=$AK101,$Y101,IF(AJ101=$AK101,$AE101,""))))))</f>
        <v/>
      </c>
      <c r="AM101" s="151">
        <f>IF($AK101="","",$AK101/IF($E101="",1,$E101))</f>
        <v/>
      </c>
      <c r="AN101" s="152">
        <f>COUNT(L101,R101,X101,AD101,AJ101)</f>
        <v/>
      </c>
      <c r="AO101" s="150">
        <f>IF(COUNT(L101,R101,X101,AD101,AJ101)=0,"",MAX(L101,R101,X101,AD101,AJ101))</f>
        <v/>
      </c>
      <c r="AP101" s="153">
        <f>IF(OR($AK101="",$AO101="",$AO101=0),"",($AO101-$AK101)/$AO101)</f>
        <v/>
      </c>
      <c r="AQ101" s="154">
        <f>IF($AK101="","",IF(L101=$AK101,$K101,IF(R101=$AK101,$Q101,IF(X101=$AK101,$W101,IF(AD101=$AK101,$AC101,IF(AJ101=$AK101,$AI101,""))))))</f>
        <v/>
      </c>
    </row>
    <row r="102" ht="15" customHeight="1" s="106">
      <c r="A102" s="134" t="inlineStr">
        <is>
          <t>PP-BBQ-SAUCE</t>
        </is>
      </c>
      <c r="B102" s="138" t="inlineStr">
        <is>
          <t>Seasonal Spec</t>
        </is>
      </c>
      <c r="C102" s="113" t="inlineStr">
        <is>
          <t>BBQ sauce (alcohol-free)</t>
        </is>
      </c>
      <c r="D102" s="139" t="inlineStr">
        <is>
          <t>g</t>
        </is>
      </c>
      <c r="E102" s="146" t="n">
        <v>1</v>
      </c>
      <c r="F102" s="116" t="inlineStr">
        <is>
          <t>Y3 Autumn</t>
        </is>
      </c>
      <c r="G102" s="140" t="n"/>
      <c r="H102" s="147" t="n"/>
      <c r="I102" s="141" t="n"/>
      <c r="J102" s="148" t="n"/>
      <c r="K102" s="149" t="n"/>
      <c r="L102" s="150">
        <f>IF(OR($J102="",$H102="",$H102=0),"",$J102/(1+IF(IFERROR(INDEX('03 Suppliers'!$N$5:$N$34,MATCH($G102,'03 Suppliers'!$B$5:$B$34,0)),"Excl VAT")="Incl VAT",'01 Control'!$C$6,0))/($H102*IFERROR(VLOOKUP($I102,'02 Lists'!$A$5:$B$18,2,FALSE()),1)))</f>
        <v/>
      </c>
      <c r="M102" s="140" t="n"/>
      <c r="N102" s="147" t="n"/>
      <c r="O102" s="141" t="n"/>
      <c r="P102" s="148" t="n"/>
      <c r="Q102" s="149" t="n"/>
      <c r="R102" s="150">
        <f>IF(OR($P102="",$N102="",$N102=0),"",$P102/(1+IF(IFERROR(INDEX('03 Suppliers'!$N$5:$N$34,MATCH($M102,'03 Suppliers'!$B$5:$B$34,0)),"Excl VAT")="Incl VAT",'01 Control'!$C$6,0))/($N102*IFERROR(VLOOKUP($O102,'02 Lists'!$A$5:$B$18,2,FALSE()),1)))</f>
        <v/>
      </c>
      <c r="S102" s="140" t="n"/>
      <c r="T102" s="147" t="n"/>
      <c r="U102" s="141" t="n"/>
      <c r="V102" s="148" t="n"/>
      <c r="W102" s="149" t="n"/>
      <c r="X102" s="150">
        <f>IF(OR($V102="",$T102="",$T102=0),"",$V102/(1+IF(IFERROR(INDEX('03 Suppliers'!$N$5:$N$34,MATCH($S102,'03 Suppliers'!$B$5:$B$34,0)),"Excl VAT")="Incl VAT",'01 Control'!$C$6,0))/($T102*IFERROR(VLOOKUP($U102,'02 Lists'!$A$5:$B$18,2,FALSE()),1)))</f>
        <v/>
      </c>
      <c r="Y102" s="140" t="n"/>
      <c r="Z102" s="147" t="n"/>
      <c r="AA102" s="141" t="n"/>
      <c r="AB102" s="148" t="n"/>
      <c r="AC102" s="149" t="n"/>
      <c r="AD102" s="150">
        <f>IF(OR($AB102="",$Z102="",$Z102=0),"",$AB102/(1+IF(IFERROR(INDEX('03 Suppliers'!$N$5:$N$34,MATCH($Y102,'03 Suppliers'!$B$5:$B$34,0)),"Excl VAT")="Incl VAT",'01 Control'!$C$6,0))/($Z102*IFERROR(VLOOKUP($AA102,'02 Lists'!$A$5:$B$18,2,FALSE()),1)))</f>
        <v/>
      </c>
      <c r="AE102" s="140" t="n"/>
      <c r="AF102" s="147" t="n"/>
      <c r="AG102" s="141" t="n"/>
      <c r="AH102" s="148" t="n"/>
      <c r="AI102" s="149" t="n"/>
      <c r="AJ102" s="150">
        <f>IF(OR($AH102="",$AF102="",$AF102=0),"",$AH102/(1+IF(IFERROR(INDEX('03 Suppliers'!$N$5:$N$34,MATCH($AE102,'03 Suppliers'!$B$5:$B$34,0)),"Excl VAT")="Incl VAT",'01 Control'!$C$6,0))/($AF102*IFERROR(VLOOKUP($AG102,'02 Lists'!$A$5:$B$18,2,FALSE()),1)))</f>
        <v/>
      </c>
      <c r="AK102" s="151">
        <f>IF(COUNT(L102,R102,X102,AD102,AJ102)=0,"",MIN(L102,R102,X102,AD102,AJ102))</f>
        <v/>
      </c>
      <c r="AL102" s="126">
        <f>IF($AK102="","",IF(L102=$AK102,$G102,IF(R102=$AK102,$M102,IF(X102=$AK102,$S102,IF(AD102=$AK102,$Y102,IF(AJ102=$AK102,$AE102,""))))))</f>
        <v/>
      </c>
      <c r="AM102" s="151">
        <f>IF($AK102="","",$AK102/IF($E102="",1,$E102))</f>
        <v/>
      </c>
      <c r="AN102" s="152">
        <f>COUNT(L102,R102,X102,AD102,AJ102)</f>
        <v/>
      </c>
      <c r="AO102" s="150">
        <f>IF(COUNT(L102,R102,X102,AD102,AJ102)=0,"",MAX(L102,R102,X102,AD102,AJ102))</f>
        <v/>
      </c>
      <c r="AP102" s="153">
        <f>IF(OR($AK102="",$AO102="",$AO102=0),"",($AO102-$AK102)/$AO102)</f>
        <v/>
      </c>
      <c r="AQ102" s="154">
        <f>IF($AK102="","",IF(L102=$AK102,$K102,IF(R102=$AK102,$Q102,IF(X102=$AK102,$W102,IF(AD102=$AK102,$AC102,IF(AJ102=$AK102,$AI102,""))))))</f>
        <v/>
      </c>
    </row>
    <row r="103" ht="15" customHeight="1" s="106">
      <c r="A103" s="134" t="inlineStr">
        <is>
          <t>PP-BUFFALO-SAUCE</t>
        </is>
      </c>
      <c r="B103" s="138" t="inlineStr">
        <is>
          <t>Seasonal Spec</t>
        </is>
      </c>
      <c r="C103" s="113" t="inlineStr">
        <is>
          <t>Buffalo sauce (alcohol-free)</t>
        </is>
      </c>
      <c r="D103" s="139" t="inlineStr">
        <is>
          <t>g</t>
        </is>
      </c>
      <c r="E103" s="146" t="n">
        <v>1</v>
      </c>
      <c r="F103" s="116" t="inlineStr">
        <is>
          <t>Y3 Autumn</t>
        </is>
      </c>
      <c r="G103" s="140" t="n"/>
      <c r="H103" s="147" t="n"/>
      <c r="I103" s="141" t="n"/>
      <c r="J103" s="148" t="n"/>
      <c r="K103" s="149" t="n"/>
      <c r="L103" s="150">
        <f>IF(OR($J103="",$H103="",$H103=0),"",$J103/(1+IF(IFERROR(INDEX('03 Suppliers'!$N$5:$N$34,MATCH($G103,'03 Suppliers'!$B$5:$B$34,0)),"Excl VAT")="Incl VAT",'01 Control'!$C$6,0))/($H103*IFERROR(VLOOKUP($I103,'02 Lists'!$A$5:$B$18,2,FALSE()),1)))</f>
        <v/>
      </c>
      <c r="M103" s="140" t="n"/>
      <c r="N103" s="147" t="n"/>
      <c r="O103" s="141" t="n"/>
      <c r="P103" s="148" t="n"/>
      <c r="Q103" s="149" t="n"/>
      <c r="R103" s="150">
        <f>IF(OR($P103="",$N103="",$N103=0),"",$P103/(1+IF(IFERROR(INDEX('03 Suppliers'!$N$5:$N$34,MATCH($M103,'03 Suppliers'!$B$5:$B$34,0)),"Excl VAT")="Incl VAT",'01 Control'!$C$6,0))/($N103*IFERROR(VLOOKUP($O103,'02 Lists'!$A$5:$B$18,2,FALSE()),1)))</f>
        <v/>
      </c>
      <c r="S103" s="140" t="n"/>
      <c r="T103" s="147" t="n"/>
      <c r="U103" s="141" t="n"/>
      <c r="V103" s="148" t="n"/>
      <c r="W103" s="149" t="n"/>
      <c r="X103" s="150">
        <f>IF(OR($V103="",$T103="",$T103=0),"",$V103/(1+IF(IFERROR(INDEX('03 Suppliers'!$N$5:$N$34,MATCH($S103,'03 Suppliers'!$B$5:$B$34,0)),"Excl VAT")="Incl VAT",'01 Control'!$C$6,0))/($T103*IFERROR(VLOOKUP($U103,'02 Lists'!$A$5:$B$18,2,FALSE()),1)))</f>
        <v/>
      </c>
      <c r="Y103" s="140" t="n"/>
      <c r="Z103" s="147" t="n"/>
      <c r="AA103" s="141" t="n"/>
      <c r="AB103" s="148" t="n"/>
      <c r="AC103" s="149" t="n"/>
      <c r="AD103" s="150">
        <f>IF(OR($AB103="",$Z103="",$Z103=0),"",$AB103/(1+IF(IFERROR(INDEX('03 Suppliers'!$N$5:$N$34,MATCH($Y103,'03 Suppliers'!$B$5:$B$34,0)),"Excl VAT")="Incl VAT",'01 Control'!$C$6,0))/($Z103*IFERROR(VLOOKUP($AA103,'02 Lists'!$A$5:$B$18,2,FALSE()),1)))</f>
        <v/>
      </c>
      <c r="AE103" s="140" t="n"/>
      <c r="AF103" s="147" t="n"/>
      <c r="AG103" s="141" t="n"/>
      <c r="AH103" s="148" t="n"/>
      <c r="AI103" s="149" t="n"/>
      <c r="AJ103" s="150">
        <f>IF(OR($AH103="",$AF103="",$AF103=0),"",$AH103/(1+IF(IFERROR(INDEX('03 Suppliers'!$N$5:$N$34,MATCH($AE103,'03 Suppliers'!$B$5:$B$34,0)),"Excl VAT")="Incl VAT",'01 Control'!$C$6,0))/($AF103*IFERROR(VLOOKUP($AG103,'02 Lists'!$A$5:$B$18,2,FALSE()),1)))</f>
        <v/>
      </c>
      <c r="AK103" s="151">
        <f>IF(COUNT(L103,R103,X103,AD103,AJ103)=0,"",MIN(L103,R103,X103,AD103,AJ103))</f>
        <v/>
      </c>
      <c r="AL103" s="126">
        <f>IF($AK103="","",IF(L103=$AK103,$G103,IF(R103=$AK103,$M103,IF(X103=$AK103,$S103,IF(AD103=$AK103,$Y103,IF(AJ103=$AK103,$AE103,""))))))</f>
        <v/>
      </c>
      <c r="AM103" s="151">
        <f>IF($AK103="","",$AK103/IF($E103="",1,$E103))</f>
        <v/>
      </c>
      <c r="AN103" s="152">
        <f>COUNT(L103,R103,X103,AD103,AJ103)</f>
        <v/>
      </c>
      <c r="AO103" s="150">
        <f>IF(COUNT(L103,R103,X103,AD103,AJ103)=0,"",MAX(L103,R103,X103,AD103,AJ103))</f>
        <v/>
      </c>
      <c r="AP103" s="153">
        <f>IF(OR($AK103="",$AO103="",$AO103=0),"",($AO103-$AK103)/$AO103)</f>
        <v/>
      </c>
      <c r="AQ103" s="154">
        <f>IF($AK103="","",IF(L103=$AK103,$K103,IF(R103=$AK103,$Q103,IF(X103=$AK103,$W103,IF(AD103=$AK103,$AC103,IF(AJ103=$AK103,$AI103,""))))))</f>
        <v/>
      </c>
    </row>
    <row r="104" ht="15" customHeight="1" s="106">
      <c r="A104" s="134" t="inlineStr">
        <is>
          <t>PP-TRUFFLE-OIL</t>
        </is>
      </c>
      <c r="B104" s="138" t="inlineStr">
        <is>
          <t>Seasonal Spec</t>
        </is>
      </c>
      <c r="C104" s="113" t="inlineStr">
        <is>
          <t>Truffle oil</t>
        </is>
      </c>
      <c r="D104" s="139" t="inlineStr">
        <is>
          <t>ml</t>
        </is>
      </c>
      <c r="E104" s="146" t="n">
        <v>1</v>
      </c>
      <c r="F104" s="116" t="inlineStr">
        <is>
          <t>Y3 Winter premium</t>
        </is>
      </c>
      <c r="G104" s="140" t="n"/>
      <c r="H104" s="147" t="n"/>
      <c r="I104" s="141" t="n"/>
      <c r="J104" s="148" t="n"/>
      <c r="K104" s="149" t="n"/>
      <c r="L104" s="150">
        <f>IF(OR($J104="",$H104="",$H104=0),"",$J104/(1+IF(IFERROR(INDEX('03 Suppliers'!$N$5:$N$34,MATCH($G104,'03 Suppliers'!$B$5:$B$34,0)),"Excl VAT")="Incl VAT",'01 Control'!$C$6,0))/($H104*IFERROR(VLOOKUP($I104,'02 Lists'!$A$5:$B$18,2,FALSE()),1)))</f>
        <v/>
      </c>
      <c r="M104" s="140" t="n"/>
      <c r="N104" s="147" t="n"/>
      <c r="O104" s="141" t="n"/>
      <c r="P104" s="148" t="n"/>
      <c r="Q104" s="149" t="n"/>
      <c r="R104" s="150">
        <f>IF(OR($P104="",$N104="",$N104=0),"",$P104/(1+IF(IFERROR(INDEX('03 Suppliers'!$N$5:$N$34,MATCH($M104,'03 Suppliers'!$B$5:$B$34,0)),"Excl VAT")="Incl VAT",'01 Control'!$C$6,0))/($N104*IFERROR(VLOOKUP($O104,'02 Lists'!$A$5:$B$18,2,FALSE()),1)))</f>
        <v/>
      </c>
      <c r="S104" s="140" t="n"/>
      <c r="T104" s="147" t="n"/>
      <c r="U104" s="141" t="n"/>
      <c r="V104" s="148" t="n"/>
      <c r="W104" s="149" t="n"/>
      <c r="X104" s="150">
        <f>IF(OR($V104="",$T104="",$T104=0),"",$V104/(1+IF(IFERROR(INDEX('03 Suppliers'!$N$5:$N$34,MATCH($S104,'03 Suppliers'!$B$5:$B$34,0)),"Excl VAT")="Incl VAT",'01 Control'!$C$6,0))/($T104*IFERROR(VLOOKUP($U104,'02 Lists'!$A$5:$B$18,2,FALSE()),1)))</f>
        <v/>
      </c>
      <c r="Y104" s="140" t="n"/>
      <c r="Z104" s="147" t="n"/>
      <c r="AA104" s="141" t="n"/>
      <c r="AB104" s="148" t="n"/>
      <c r="AC104" s="149" t="n"/>
      <c r="AD104" s="150">
        <f>IF(OR($AB104="",$Z104="",$Z104=0),"",$AB104/(1+IF(IFERROR(INDEX('03 Suppliers'!$N$5:$N$34,MATCH($Y104,'03 Suppliers'!$B$5:$B$34,0)),"Excl VAT")="Incl VAT",'01 Control'!$C$6,0))/($Z104*IFERROR(VLOOKUP($AA104,'02 Lists'!$A$5:$B$18,2,FALSE()),1)))</f>
        <v/>
      </c>
      <c r="AE104" s="140" t="n"/>
      <c r="AF104" s="147" t="n"/>
      <c r="AG104" s="141" t="n"/>
      <c r="AH104" s="148" t="n"/>
      <c r="AI104" s="149" t="n"/>
      <c r="AJ104" s="150">
        <f>IF(OR($AH104="",$AF104="",$AF104=0),"",$AH104/(1+IF(IFERROR(INDEX('03 Suppliers'!$N$5:$N$34,MATCH($AE104,'03 Suppliers'!$B$5:$B$34,0)),"Excl VAT")="Incl VAT",'01 Control'!$C$6,0))/($AF104*IFERROR(VLOOKUP($AG104,'02 Lists'!$A$5:$B$18,2,FALSE()),1)))</f>
        <v/>
      </c>
      <c r="AK104" s="151">
        <f>IF(COUNT(L104,R104,X104,AD104,AJ104)=0,"",MIN(L104,R104,X104,AD104,AJ104))</f>
        <v/>
      </c>
      <c r="AL104" s="126">
        <f>IF($AK104="","",IF(L104=$AK104,$G104,IF(R104=$AK104,$M104,IF(X104=$AK104,$S104,IF(AD104=$AK104,$Y104,IF(AJ104=$AK104,$AE104,""))))))</f>
        <v/>
      </c>
      <c r="AM104" s="151">
        <f>IF($AK104="","",$AK104/IF($E104="",1,$E104))</f>
        <v/>
      </c>
      <c r="AN104" s="152">
        <f>COUNT(L104,R104,X104,AD104,AJ104)</f>
        <v/>
      </c>
      <c r="AO104" s="150">
        <f>IF(COUNT(L104,R104,X104,AD104,AJ104)=0,"",MAX(L104,R104,X104,AD104,AJ104))</f>
        <v/>
      </c>
      <c r="AP104" s="153">
        <f>IF(OR($AK104="",$AO104="",$AO104=0),"",($AO104-$AK104)/$AO104)</f>
        <v/>
      </c>
      <c r="AQ104" s="154">
        <f>IF($AK104="","",IF(L104=$AK104,$K104,IF(R104=$AK104,$Q104,IF(X104=$AK104,$W104,IF(AD104=$AK104,$AC104,IF(AJ104=$AK104,$AI104,""))))))</f>
        <v/>
      </c>
    </row>
    <row r="105" ht="15" customHeight="1" s="106">
      <c r="A105" s="134" t="inlineStr">
        <is>
          <t>PP-DRESSING-LEMHERB</t>
        </is>
      </c>
      <c r="B105" s="138" t="inlineStr">
        <is>
          <t>Prepared</t>
        </is>
      </c>
      <c r="C105" s="113" t="inlineStr">
        <is>
          <t>Lemon-herb vinaigrette (house batch)</t>
        </is>
      </c>
      <c r="D105" s="139" t="inlineStr">
        <is>
          <t>ml</t>
        </is>
      </c>
      <c r="E105" s="146" t="n">
        <v>1</v>
      </c>
      <c r="F105" s="116" t="inlineStr">
        <is>
          <t>One dressing batch serves all 3 salads</t>
        </is>
      </c>
      <c r="G105" s="140" t="n"/>
      <c r="H105" s="147" t="n"/>
      <c r="I105" s="141" t="n"/>
      <c r="J105" s="148" t="n"/>
      <c r="K105" s="149" t="n"/>
      <c r="L105" s="150">
        <f>IF(OR($J105="",$H105="",$H105=0),"",$J105/(1+IF(IFERROR(INDEX('03 Suppliers'!$N$5:$N$34,MATCH($G105,'03 Suppliers'!$B$5:$B$34,0)),"Excl VAT")="Incl VAT",'01 Control'!$C$6,0))/($H105*IFERROR(VLOOKUP($I105,'02 Lists'!$A$5:$B$18,2,FALSE()),1)))</f>
        <v/>
      </c>
      <c r="M105" s="140" t="n"/>
      <c r="N105" s="147" t="n"/>
      <c r="O105" s="141" t="n"/>
      <c r="P105" s="148" t="n"/>
      <c r="Q105" s="149" t="n"/>
      <c r="R105" s="150">
        <f>IF(OR($P105="",$N105="",$N105=0),"",$P105/(1+IF(IFERROR(INDEX('03 Suppliers'!$N$5:$N$34,MATCH($M105,'03 Suppliers'!$B$5:$B$34,0)),"Excl VAT")="Incl VAT",'01 Control'!$C$6,0))/($N105*IFERROR(VLOOKUP($O105,'02 Lists'!$A$5:$B$18,2,FALSE()),1)))</f>
        <v/>
      </c>
      <c r="S105" s="140" t="n"/>
      <c r="T105" s="147" t="n"/>
      <c r="U105" s="141" t="n"/>
      <c r="V105" s="148" t="n"/>
      <c r="W105" s="149" t="n"/>
      <c r="X105" s="150">
        <f>IF(OR($V105="",$T105="",$T105=0),"",$V105/(1+IF(IFERROR(INDEX('03 Suppliers'!$N$5:$N$34,MATCH($S105,'03 Suppliers'!$B$5:$B$34,0)),"Excl VAT")="Incl VAT",'01 Control'!$C$6,0))/($T105*IFERROR(VLOOKUP($U105,'02 Lists'!$A$5:$B$18,2,FALSE()),1)))</f>
        <v/>
      </c>
      <c r="Y105" s="140" t="n"/>
      <c r="Z105" s="147" t="n"/>
      <c r="AA105" s="141" t="n"/>
      <c r="AB105" s="148" t="n"/>
      <c r="AC105" s="149" t="n"/>
      <c r="AD105" s="150">
        <f>IF(OR($AB105="",$Z105="",$Z105=0),"",$AB105/(1+IF(IFERROR(INDEX('03 Suppliers'!$N$5:$N$34,MATCH($Y105,'03 Suppliers'!$B$5:$B$34,0)),"Excl VAT")="Incl VAT",'01 Control'!$C$6,0))/($Z105*IFERROR(VLOOKUP($AA105,'02 Lists'!$A$5:$B$18,2,FALSE()),1)))</f>
        <v/>
      </c>
      <c r="AE105" s="140" t="n"/>
      <c r="AF105" s="147" t="n"/>
      <c r="AG105" s="141" t="n"/>
      <c r="AH105" s="148" t="n"/>
      <c r="AI105" s="149" t="n"/>
      <c r="AJ105" s="150">
        <f>IF(OR($AH105="",$AF105="",$AF105=0),"",$AH105/(1+IF(IFERROR(INDEX('03 Suppliers'!$N$5:$N$34,MATCH($AE105,'03 Suppliers'!$B$5:$B$34,0)),"Excl VAT")="Incl VAT",'01 Control'!$C$6,0))/($AF105*IFERROR(VLOOKUP($AG105,'02 Lists'!$A$5:$B$18,2,FALSE()),1)))</f>
        <v/>
      </c>
      <c r="AK105" s="151">
        <f>IF(COUNT(L105,R105,X105,AD105,AJ105)=0,"",MIN(L105,R105,X105,AD105,AJ105))</f>
        <v/>
      </c>
      <c r="AL105" s="126">
        <f>IF($AK105="","",IF(L105=$AK105,$G105,IF(R105=$AK105,$M105,IF(X105=$AK105,$S105,IF(AD105=$AK105,$Y105,IF(AJ105=$AK105,$AE105,""))))))</f>
        <v/>
      </c>
      <c r="AM105" s="151">
        <f>IF($AK105="","",$AK105/IF($E105="",1,$E105))</f>
        <v/>
      </c>
      <c r="AN105" s="152">
        <f>COUNT(L105,R105,X105,AD105,AJ105)</f>
        <v/>
      </c>
      <c r="AO105" s="150">
        <f>IF(COUNT(L105,R105,X105,AD105,AJ105)=0,"",MAX(L105,R105,X105,AD105,AJ105))</f>
        <v/>
      </c>
      <c r="AP105" s="153">
        <f>IF(OR($AK105="",$AO105="",$AO105=0),"",($AO105-$AK105)/$AO105)</f>
        <v/>
      </c>
      <c r="AQ105" s="154">
        <f>IF($AK105="","",IF(L105=$AK105,$K105,IF(R105=$AK105,$Q105,IF(X105=$AK105,$W105,IF(AD105=$AK105,$AC105,IF(AJ105=$AK105,$AI105,""))))))</f>
        <v/>
      </c>
    </row>
    <row r="106" ht="15" customHeight="1" s="106">
      <c r="A106" s="134" t="inlineStr">
        <is>
          <t>PP-BEV-SYR-ROOIBOS</t>
        </is>
      </c>
      <c r="B106" s="138" t="inlineStr">
        <is>
          <t>Beverage</t>
        </is>
      </c>
      <c r="C106" s="113" t="inlineStr">
        <is>
          <t>Rooibos slushee concentrate</t>
        </is>
      </c>
      <c r="D106" s="139" t="inlineStr">
        <is>
          <t>ml</t>
        </is>
      </c>
      <c r="E106" s="146" t="n">
        <v>1</v>
      </c>
      <c r="F106" s="116" t="inlineStr">
        <is>
          <t>The anchor slushee flavour</t>
        </is>
      </c>
      <c r="G106" s="140" t="n"/>
      <c r="H106" s="147" t="n"/>
      <c r="I106" s="141" t="n"/>
      <c r="J106" s="148" t="n"/>
      <c r="K106" s="149" t="n"/>
      <c r="L106" s="150">
        <f>IF(OR($J106="",$H106="",$H106=0),"",$J106/(1+IF(IFERROR(INDEX('03 Suppliers'!$N$5:$N$34,MATCH($G106,'03 Suppliers'!$B$5:$B$34,0)),"Excl VAT")="Incl VAT",'01 Control'!$C$6,0))/($H106*IFERROR(VLOOKUP($I106,'02 Lists'!$A$5:$B$18,2,FALSE()),1)))</f>
        <v/>
      </c>
      <c r="M106" s="140" t="n"/>
      <c r="N106" s="147" t="n"/>
      <c r="O106" s="141" t="n"/>
      <c r="P106" s="148" t="n"/>
      <c r="Q106" s="149" t="n"/>
      <c r="R106" s="150">
        <f>IF(OR($P106="",$N106="",$N106=0),"",$P106/(1+IF(IFERROR(INDEX('03 Suppliers'!$N$5:$N$34,MATCH($M106,'03 Suppliers'!$B$5:$B$34,0)),"Excl VAT")="Incl VAT",'01 Control'!$C$6,0))/($N106*IFERROR(VLOOKUP($O106,'02 Lists'!$A$5:$B$18,2,FALSE()),1)))</f>
        <v/>
      </c>
      <c r="S106" s="140" t="n"/>
      <c r="T106" s="147" t="n"/>
      <c r="U106" s="141" t="n"/>
      <c r="V106" s="148" t="n"/>
      <c r="W106" s="149" t="n"/>
      <c r="X106" s="150">
        <f>IF(OR($V106="",$T106="",$T106=0),"",$V106/(1+IF(IFERROR(INDEX('03 Suppliers'!$N$5:$N$34,MATCH($S106,'03 Suppliers'!$B$5:$B$34,0)),"Excl VAT")="Incl VAT",'01 Control'!$C$6,0))/($T106*IFERROR(VLOOKUP($U106,'02 Lists'!$A$5:$B$18,2,FALSE()),1)))</f>
        <v/>
      </c>
      <c r="Y106" s="140" t="n"/>
      <c r="Z106" s="147" t="n"/>
      <c r="AA106" s="141" t="n"/>
      <c r="AB106" s="148" t="n"/>
      <c r="AC106" s="149" t="n"/>
      <c r="AD106" s="150">
        <f>IF(OR($AB106="",$Z106="",$Z106=0),"",$AB106/(1+IF(IFERROR(INDEX('03 Suppliers'!$N$5:$N$34,MATCH($Y106,'03 Suppliers'!$B$5:$B$34,0)),"Excl VAT")="Incl VAT",'01 Control'!$C$6,0))/($Z106*IFERROR(VLOOKUP($AA106,'02 Lists'!$A$5:$B$18,2,FALSE()),1)))</f>
        <v/>
      </c>
      <c r="AE106" s="140" t="n"/>
      <c r="AF106" s="147" t="n"/>
      <c r="AG106" s="141" t="n"/>
      <c r="AH106" s="148" t="n"/>
      <c r="AI106" s="149" t="n"/>
      <c r="AJ106" s="150">
        <f>IF(OR($AH106="",$AF106="",$AF106=0),"",$AH106/(1+IF(IFERROR(INDEX('03 Suppliers'!$N$5:$N$34,MATCH($AE106,'03 Suppliers'!$B$5:$B$34,0)),"Excl VAT")="Incl VAT",'01 Control'!$C$6,0))/($AF106*IFERROR(VLOOKUP($AG106,'02 Lists'!$A$5:$B$18,2,FALSE()),1)))</f>
        <v/>
      </c>
      <c r="AK106" s="151">
        <f>IF(COUNT(L106,R106,X106,AD106,AJ106)=0,"",MIN(L106,R106,X106,AD106,AJ106))</f>
        <v/>
      </c>
      <c r="AL106" s="126">
        <f>IF($AK106="","",IF(L106=$AK106,$G106,IF(R106=$AK106,$M106,IF(X106=$AK106,$S106,IF(AD106=$AK106,$Y106,IF(AJ106=$AK106,$AE106,""))))))</f>
        <v/>
      </c>
      <c r="AM106" s="151">
        <f>IF($AK106="","",$AK106/IF($E106="",1,$E106))</f>
        <v/>
      </c>
      <c r="AN106" s="152">
        <f>COUNT(L106,R106,X106,AD106,AJ106)</f>
        <v/>
      </c>
      <c r="AO106" s="150">
        <f>IF(COUNT(L106,R106,X106,AD106,AJ106)=0,"",MAX(L106,R106,X106,AD106,AJ106))</f>
        <v/>
      </c>
      <c r="AP106" s="153">
        <f>IF(OR($AK106="",$AO106="",$AO106=0),"",($AO106-$AK106)/$AO106)</f>
        <v/>
      </c>
      <c r="AQ106" s="154">
        <f>IF($AK106="","",IF(L106=$AK106,$K106,IF(R106=$AK106,$Q106,IF(X106=$AK106,$W106,IF(AD106=$AK106,$AC106,IF(AJ106=$AK106,$AI106,""))))))</f>
        <v/>
      </c>
    </row>
    <row r="107" ht="15" customHeight="1" s="106">
      <c r="A107" s="134" t="inlineStr">
        <is>
          <t>PP-BEV-SYR-LEMON</t>
        </is>
      </c>
      <c r="B107" s="138" t="inlineStr">
        <is>
          <t>Beverage</t>
        </is>
      </c>
      <c r="C107" s="113" t="inlineStr">
        <is>
          <t>Lemonade slushee concentrate</t>
        </is>
      </c>
      <c r="D107" s="139" t="inlineStr">
        <is>
          <t>ml</t>
        </is>
      </c>
      <c r="E107" s="146" t="n">
        <v>1</v>
      </c>
      <c r="F107" s="116" t="n"/>
      <c r="G107" s="140" t="n"/>
      <c r="H107" s="147" t="n"/>
      <c r="I107" s="141" t="n"/>
      <c r="J107" s="148" t="n"/>
      <c r="K107" s="149" t="n"/>
      <c r="L107" s="150">
        <f>IF(OR($J107="",$H107="",$H107=0),"",$J107/(1+IF(IFERROR(INDEX('03 Suppliers'!$N$5:$N$34,MATCH($G107,'03 Suppliers'!$B$5:$B$34,0)),"Excl VAT")="Incl VAT",'01 Control'!$C$6,0))/($H107*IFERROR(VLOOKUP($I107,'02 Lists'!$A$5:$B$18,2,FALSE()),1)))</f>
        <v/>
      </c>
      <c r="M107" s="140" t="n"/>
      <c r="N107" s="147" t="n"/>
      <c r="O107" s="141" t="n"/>
      <c r="P107" s="148" t="n"/>
      <c r="Q107" s="149" t="n"/>
      <c r="R107" s="150">
        <f>IF(OR($P107="",$N107="",$N107=0),"",$P107/(1+IF(IFERROR(INDEX('03 Suppliers'!$N$5:$N$34,MATCH($M107,'03 Suppliers'!$B$5:$B$34,0)),"Excl VAT")="Incl VAT",'01 Control'!$C$6,0))/($N107*IFERROR(VLOOKUP($O107,'02 Lists'!$A$5:$B$18,2,FALSE()),1)))</f>
        <v/>
      </c>
      <c r="S107" s="140" t="n"/>
      <c r="T107" s="147" t="n"/>
      <c r="U107" s="141" t="n"/>
      <c r="V107" s="148" t="n"/>
      <c r="W107" s="149" t="n"/>
      <c r="X107" s="150">
        <f>IF(OR($V107="",$T107="",$T107=0),"",$V107/(1+IF(IFERROR(INDEX('03 Suppliers'!$N$5:$N$34,MATCH($S107,'03 Suppliers'!$B$5:$B$34,0)),"Excl VAT")="Incl VAT",'01 Control'!$C$6,0))/($T107*IFERROR(VLOOKUP($U107,'02 Lists'!$A$5:$B$18,2,FALSE()),1)))</f>
        <v/>
      </c>
      <c r="Y107" s="140" t="n"/>
      <c r="Z107" s="147" t="n"/>
      <c r="AA107" s="141" t="n"/>
      <c r="AB107" s="148" t="n"/>
      <c r="AC107" s="149" t="n"/>
      <c r="AD107" s="150">
        <f>IF(OR($AB107="",$Z107="",$Z107=0),"",$AB107/(1+IF(IFERROR(INDEX('03 Suppliers'!$N$5:$N$34,MATCH($Y107,'03 Suppliers'!$B$5:$B$34,0)),"Excl VAT")="Incl VAT",'01 Control'!$C$6,0))/($Z107*IFERROR(VLOOKUP($AA107,'02 Lists'!$A$5:$B$18,2,FALSE()),1)))</f>
        <v/>
      </c>
      <c r="AE107" s="140" t="n"/>
      <c r="AF107" s="147" t="n"/>
      <c r="AG107" s="141" t="n"/>
      <c r="AH107" s="148" t="n"/>
      <c r="AI107" s="149" t="n"/>
      <c r="AJ107" s="150">
        <f>IF(OR($AH107="",$AF107="",$AF107=0),"",$AH107/(1+IF(IFERROR(INDEX('03 Suppliers'!$N$5:$N$34,MATCH($AE107,'03 Suppliers'!$B$5:$B$34,0)),"Excl VAT")="Incl VAT",'01 Control'!$C$6,0))/($AF107*IFERROR(VLOOKUP($AG107,'02 Lists'!$A$5:$B$18,2,FALSE()),1)))</f>
        <v/>
      </c>
      <c r="AK107" s="151">
        <f>IF(COUNT(L107,R107,X107,AD107,AJ107)=0,"",MIN(L107,R107,X107,AD107,AJ107))</f>
        <v/>
      </c>
      <c r="AL107" s="126">
        <f>IF($AK107="","",IF(L107=$AK107,$G107,IF(R107=$AK107,$M107,IF(X107=$AK107,$S107,IF(AD107=$AK107,$Y107,IF(AJ107=$AK107,$AE107,""))))))</f>
        <v/>
      </c>
      <c r="AM107" s="151">
        <f>IF($AK107="","",$AK107/IF($E107="",1,$E107))</f>
        <v/>
      </c>
      <c r="AN107" s="152">
        <f>COUNT(L107,R107,X107,AD107,AJ107)</f>
        <v/>
      </c>
      <c r="AO107" s="150">
        <f>IF(COUNT(L107,R107,X107,AD107,AJ107)=0,"",MAX(L107,R107,X107,AD107,AJ107))</f>
        <v/>
      </c>
      <c r="AP107" s="153">
        <f>IF(OR($AK107="",$AO107="",$AO107=0),"",($AO107-$AK107)/$AO107)</f>
        <v/>
      </c>
      <c r="AQ107" s="154">
        <f>IF($AK107="","",IF(L107=$AK107,$K107,IF(R107=$AK107,$Q107,IF(X107=$AK107,$W107,IF(AD107=$AK107,$AC107,IF(AJ107=$AK107,$AI107,""))))))</f>
        <v/>
      </c>
    </row>
    <row r="108" ht="15" customHeight="1" s="106">
      <c r="A108" s="134" t="inlineStr">
        <is>
          <t>PP-BEV-SYR-CREAM</t>
        </is>
      </c>
      <c r="B108" s="138" t="inlineStr">
        <is>
          <t>Beverage</t>
        </is>
      </c>
      <c r="C108" s="113" t="inlineStr">
        <is>
          <t>Cream soda slushee concentrate</t>
        </is>
      </c>
      <c r="D108" s="139" t="inlineStr">
        <is>
          <t>ml</t>
        </is>
      </c>
      <c r="E108" s="146" t="n">
        <v>1</v>
      </c>
      <c r="F108" s="116" t="n"/>
      <c r="G108" s="140" t="n"/>
      <c r="H108" s="147" t="n"/>
      <c r="I108" s="141" t="n"/>
      <c r="J108" s="148" t="n"/>
      <c r="K108" s="149" t="n"/>
      <c r="L108" s="150">
        <f>IF(OR($J108="",$H108="",$H108=0),"",$J108/(1+IF(IFERROR(INDEX('03 Suppliers'!$N$5:$N$34,MATCH($G108,'03 Suppliers'!$B$5:$B$34,0)),"Excl VAT")="Incl VAT",'01 Control'!$C$6,0))/($H108*IFERROR(VLOOKUP($I108,'02 Lists'!$A$5:$B$18,2,FALSE()),1)))</f>
        <v/>
      </c>
      <c r="M108" s="140" t="n"/>
      <c r="N108" s="147" t="n"/>
      <c r="O108" s="141" t="n"/>
      <c r="P108" s="148" t="n"/>
      <c r="Q108" s="149" t="n"/>
      <c r="R108" s="150">
        <f>IF(OR($P108="",$N108="",$N108=0),"",$P108/(1+IF(IFERROR(INDEX('03 Suppliers'!$N$5:$N$34,MATCH($M108,'03 Suppliers'!$B$5:$B$34,0)),"Excl VAT")="Incl VAT",'01 Control'!$C$6,0))/($N108*IFERROR(VLOOKUP($O108,'02 Lists'!$A$5:$B$18,2,FALSE()),1)))</f>
        <v/>
      </c>
      <c r="S108" s="140" t="n"/>
      <c r="T108" s="147" t="n"/>
      <c r="U108" s="141" t="n"/>
      <c r="V108" s="148" t="n"/>
      <c r="W108" s="149" t="n"/>
      <c r="X108" s="150">
        <f>IF(OR($V108="",$T108="",$T108=0),"",$V108/(1+IF(IFERROR(INDEX('03 Suppliers'!$N$5:$N$34,MATCH($S108,'03 Suppliers'!$B$5:$B$34,0)),"Excl VAT")="Incl VAT",'01 Control'!$C$6,0))/($T108*IFERROR(VLOOKUP($U108,'02 Lists'!$A$5:$B$18,2,FALSE()),1)))</f>
        <v/>
      </c>
      <c r="Y108" s="140" t="n"/>
      <c r="Z108" s="147" t="n"/>
      <c r="AA108" s="141" t="n"/>
      <c r="AB108" s="148" t="n"/>
      <c r="AC108" s="149" t="n"/>
      <c r="AD108" s="150">
        <f>IF(OR($AB108="",$Z108="",$Z108=0),"",$AB108/(1+IF(IFERROR(INDEX('03 Suppliers'!$N$5:$N$34,MATCH($Y108,'03 Suppliers'!$B$5:$B$34,0)),"Excl VAT")="Incl VAT",'01 Control'!$C$6,0))/($Z108*IFERROR(VLOOKUP($AA108,'02 Lists'!$A$5:$B$18,2,FALSE()),1)))</f>
        <v/>
      </c>
      <c r="AE108" s="140" t="n"/>
      <c r="AF108" s="147" t="n"/>
      <c r="AG108" s="141" t="n"/>
      <c r="AH108" s="148" t="n"/>
      <c r="AI108" s="149" t="n"/>
      <c r="AJ108" s="150">
        <f>IF(OR($AH108="",$AF108="",$AF108=0),"",$AH108/(1+IF(IFERROR(INDEX('03 Suppliers'!$N$5:$N$34,MATCH($AE108,'03 Suppliers'!$B$5:$B$34,0)),"Excl VAT")="Incl VAT",'01 Control'!$C$6,0))/($AF108*IFERROR(VLOOKUP($AG108,'02 Lists'!$A$5:$B$18,2,FALSE()),1)))</f>
        <v/>
      </c>
      <c r="AK108" s="151">
        <f>IF(COUNT(L108,R108,X108,AD108,AJ108)=0,"",MIN(L108,R108,X108,AD108,AJ108))</f>
        <v/>
      </c>
      <c r="AL108" s="126">
        <f>IF($AK108="","",IF(L108=$AK108,$G108,IF(R108=$AK108,$M108,IF(X108=$AK108,$S108,IF(AD108=$AK108,$Y108,IF(AJ108=$AK108,$AE108,""))))))</f>
        <v/>
      </c>
      <c r="AM108" s="151">
        <f>IF($AK108="","",$AK108/IF($E108="",1,$E108))</f>
        <v/>
      </c>
      <c r="AN108" s="152">
        <f>COUNT(L108,R108,X108,AD108,AJ108)</f>
        <v/>
      </c>
      <c r="AO108" s="150">
        <f>IF(COUNT(L108,R108,X108,AD108,AJ108)=0,"",MAX(L108,R108,X108,AD108,AJ108))</f>
        <v/>
      </c>
      <c r="AP108" s="153">
        <f>IF(OR($AK108="",$AO108="",$AO108=0),"",($AO108-$AK108)/$AO108)</f>
        <v/>
      </c>
      <c r="AQ108" s="154">
        <f>IF($AK108="","",IF(L108=$AK108,$K108,IF(R108=$AK108,$Q108,IF(X108=$AK108,$W108,IF(AD108=$AK108,$AC108,IF(AJ108=$AK108,$AI108,""))))))</f>
        <v/>
      </c>
    </row>
    <row r="109" ht="15" customHeight="1" s="106">
      <c r="A109" s="134" t="inlineStr">
        <is>
          <t>PP-BEV-SYR-ROTATING</t>
        </is>
      </c>
      <c r="B109" s="138" t="inlineStr">
        <is>
          <t>Beverage</t>
        </is>
      </c>
      <c r="C109" s="113" t="inlineStr">
        <is>
          <t>Rotating slushee concentrate (seasonal)</t>
        </is>
      </c>
      <c r="D109" s="139" t="inlineStr">
        <is>
          <t>ml</t>
        </is>
      </c>
      <c r="E109" s="146" t="n">
        <v>1</v>
      </c>
      <c r="F109" s="116" t="inlineStr">
        <is>
          <t>2 flavours live at a time</t>
        </is>
      </c>
      <c r="G109" s="140" t="n"/>
      <c r="H109" s="147" t="n"/>
      <c r="I109" s="141" t="n"/>
      <c r="J109" s="148" t="n"/>
      <c r="K109" s="149" t="n"/>
      <c r="L109" s="150">
        <f>IF(OR($J109="",$H109="",$H109=0),"",$J109/(1+IF(IFERROR(INDEX('03 Suppliers'!$N$5:$N$34,MATCH($G109,'03 Suppliers'!$B$5:$B$34,0)),"Excl VAT")="Incl VAT",'01 Control'!$C$6,0))/($H109*IFERROR(VLOOKUP($I109,'02 Lists'!$A$5:$B$18,2,FALSE()),1)))</f>
        <v/>
      </c>
      <c r="M109" s="140" t="n"/>
      <c r="N109" s="147" t="n"/>
      <c r="O109" s="141" t="n"/>
      <c r="P109" s="148" t="n"/>
      <c r="Q109" s="149" t="n"/>
      <c r="R109" s="150">
        <f>IF(OR($P109="",$N109="",$N109=0),"",$P109/(1+IF(IFERROR(INDEX('03 Suppliers'!$N$5:$N$34,MATCH($M109,'03 Suppliers'!$B$5:$B$34,0)),"Excl VAT")="Incl VAT",'01 Control'!$C$6,0))/($N109*IFERROR(VLOOKUP($O109,'02 Lists'!$A$5:$B$18,2,FALSE()),1)))</f>
        <v/>
      </c>
      <c r="S109" s="140" t="n"/>
      <c r="T109" s="147" t="n"/>
      <c r="U109" s="141" t="n"/>
      <c r="V109" s="148" t="n"/>
      <c r="W109" s="149" t="n"/>
      <c r="X109" s="150">
        <f>IF(OR($V109="",$T109="",$T109=0),"",$V109/(1+IF(IFERROR(INDEX('03 Suppliers'!$N$5:$N$34,MATCH($S109,'03 Suppliers'!$B$5:$B$34,0)),"Excl VAT")="Incl VAT",'01 Control'!$C$6,0))/($T109*IFERROR(VLOOKUP($U109,'02 Lists'!$A$5:$B$18,2,FALSE()),1)))</f>
        <v/>
      </c>
      <c r="Y109" s="140" t="n"/>
      <c r="Z109" s="147" t="n"/>
      <c r="AA109" s="141" t="n"/>
      <c r="AB109" s="148" t="n"/>
      <c r="AC109" s="149" t="n"/>
      <c r="AD109" s="150">
        <f>IF(OR($AB109="",$Z109="",$Z109=0),"",$AB109/(1+IF(IFERROR(INDEX('03 Suppliers'!$N$5:$N$34,MATCH($Y109,'03 Suppliers'!$B$5:$B$34,0)),"Excl VAT")="Incl VAT",'01 Control'!$C$6,0))/($Z109*IFERROR(VLOOKUP($AA109,'02 Lists'!$A$5:$B$18,2,FALSE()),1)))</f>
        <v/>
      </c>
      <c r="AE109" s="140" t="n"/>
      <c r="AF109" s="147" t="n"/>
      <c r="AG109" s="141" t="n"/>
      <c r="AH109" s="148" t="n"/>
      <c r="AI109" s="149" t="n"/>
      <c r="AJ109" s="150">
        <f>IF(OR($AH109="",$AF109="",$AF109=0),"",$AH109/(1+IF(IFERROR(INDEX('03 Suppliers'!$N$5:$N$34,MATCH($AE109,'03 Suppliers'!$B$5:$B$34,0)),"Excl VAT")="Incl VAT",'01 Control'!$C$6,0))/($AF109*IFERROR(VLOOKUP($AG109,'02 Lists'!$A$5:$B$18,2,FALSE()),1)))</f>
        <v/>
      </c>
      <c r="AK109" s="151">
        <f>IF(COUNT(L109,R109,X109,AD109,AJ109)=0,"",MIN(L109,R109,X109,AD109,AJ109))</f>
        <v/>
      </c>
      <c r="AL109" s="126">
        <f>IF($AK109="","",IF(L109=$AK109,$G109,IF(R109=$AK109,$M109,IF(X109=$AK109,$S109,IF(AD109=$AK109,$Y109,IF(AJ109=$AK109,$AE109,""))))))</f>
        <v/>
      </c>
      <c r="AM109" s="151">
        <f>IF($AK109="","",$AK109/IF($E109="",1,$E109))</f>
        <v/>
      </c>
      <c r="AN109" s="152">
        <f>COUNT(L109,R109,X109,AD109,AJ109)</f>
        <v/>
      </c>
      <c r="AO109" s="150">
        <f>IF(COUNT(L109,R109,X109,AD109,AJ109)=0,"",MAX(L109,R109,X109,AD109,AJ109))</f>
        <v/>
      </c>
      <c r="AP109" s="153">
        <f>IF(OR($AK109="",$AO109="",$AO109=0),"",($AO109-$AK109)/$AO109)</f>
        <v/>
      </c>
      <c r="AQ109" s="154">
        <f>IF($AK109="","",IF(L109=$AK109,$K109,IF(R109=$AK109,$Q109,IF(X109=$AK109,$W109,IF(AD109=$AK109,$AC109,IF(AJ109=$AK109,$AI109,""))))))</f>
        <v/>
      </c>
    </row>
    <row r="110" ht="15" customHeight="1" s="106">
      <c r="A110" s="134" t="inlineStr">
        <is>
          <t>PP-BEV-SYR-NAARTJIE</t>
        </is>
      </c>
      <c r="B110" s="138" t="inlineStr">
        <is>
          <t>Beverage</t>
        </is>
      </c>
      <c r="C110" s="113" t="inlineStr">
        <is>
          <t>Naartjie slushee concentrate</t>
        </is>
      </c>
      <c r="D110" s="139" t="inlineStr">
        <is>
          <t>ml</t>
        </is>
      </c>
      <c r="E110" s="146" t="n">
        <v>1</v>
      </c>
      <c r="F110" s="116" t="inlineStr">
        <is>
          <t>SA citrus anchor - the local hero flavour</t>
        </is>
      </c>
      <c r="G110" s="140" t="n"/>
      <c r="H110" s="147" t="n"/>
      <c r="I110" s="141" t="n"/>
      <c r="J110" s="148" t="n"/>
      <c r="K110" s="149" t="n"/>
      <c r="L110" s="150">
        <f>IF(OR($J110="",$H110="",$H110=0),"",$J110/(1+IF(IFERROR(INDEX('03 Suppliers'!$N$5:$N$34,MATCH($G110,'03 Suppliers'!$B$5:$B$34,0)),"Excl VAT")="Incl VAT",'01 Control'!$C$6,0))/($H110*IFERROR(VLOOKUP($I110,'02 Lists'!$A$5:$B$18,2,FALSE()),1)))</f>
        <v/>
      </c>
      <c r="M110" s="140" t="n"/>
      <c r="N110" s="147" t="n"/>
      <c r="O110" s="141" t="n"/>
      <c r="P110" s="148" t="n"/>
      <c r="Q110" s="149" t="n"/>
      <c r="R110" s="150">
        <f>IF(OR($P110="",$N110="",$N110=0),"",$P110/(1+IF(IFERROR(INDEX('03 Suppliers'!$N$5:$N$34,MATCH($M110,'03 Suppliers'!$B$5:$B$34,0)),"Excl VAT")="Incl VAT",'01 Control'!$C$6,0))/($N110*IFERROR(VLOOKUP($O110,'02 Lists'!$A$5:$B$18,2,FALSE()),1)))</f>
        <v/>
      </c>
      <c r="S110" s="140" t="n"/>
      <c r="T110" s="147" t="n"/>
      <c r="U110" s="141" t="n"/>
      <c r="V110" s="148" t="n"/>
      <c r="W110" s="149" t="n"/>
      <c r="X110" s="150">
        <f>IF(OR($V110="",$T110="",$T110=0),"",$V110/(1+IF(IFERROR(INDEX('03 Suppliers'!$N$5:$N$34,MATCH($S110,'03 Suppliers'!$B$5:$B$34,0)),"Excl VAT")="Incl VAT",'01 Control'!$C$6,0))/($T110*IFERROR(VLOOKUP($U110,'02 Lists'!$A$5:$B$18,2,FALSE()),1)))</f>
        <v/>
      </c>
      <c r="Y110" s="140" t="n"/>
      <c r="Z110" s="147" t="n"/>
      <c r="AA110" s="141" t="n"/>
      <c r="AB110" s="148" t="n"/>
      <c r="AC110" s="149" t="n"/>
      <c r="AD110" s="150">
        <f>IF(OR($AB110="",$Z110="",$Z110=0),"",$AB110/(1+IF(IFERROR(INDEX('03 Suppliers'!$N$5:$N$34,MATCH($Y110,'03 Suppliers'!$B$5:$B$34,0)),"Excl VAT")="Incl VAT",'01 Control'!$C$6,0))/($Z110*IFERROR(VLOOKUP($AA110,'02 Lists'!$A$5:$B$18,2,FALSE()),1)))</f>
        <v/>
      </c>
      <c r="AE110" s="140" t="n"/>
      <c r="AF110" s="147" t="n"/>
      <c r="AG110" s="141" t="n"/>
      <c r="AH110" s="148" t="n"/>
      <c r="AI110" s="149" t="n"/>
      <c r="AJ110" s="150">
        <f>IF(OR($AH110="",$AF110="",$AF110=0),"",$AH110/(1+IF(IFERROR(INDEX('03 Suppliers'!$N$5:$N$34,MATCH($AE110,'03 Suppliers'!$B$5:$B$34,0)),"Excl VAT")="Incl VAT",'01 Control'!$C$6,0))/($AF110*IFERROR(VLOOKUP($AG110,'02 Lists'!$A$5:$B$18,2,FALSE()),1)))</f>
        <v/>
      </c>
      <c r="AK110" s="151">
        <f>IF(COUNT(L110,R110,X110,AD110,AJ110)=0,"",MIN(L110,R110,X110,AD110,AJ110))</f>
        <v/>
      </c>
      <c r="AL110" s="126">
        <f>IF($AK110="","",IF(L110=$AK110,$G110,IF(R110=$AK110,$M110,IF(X110=$AK110,$S110,IF(AD110=$AK110,$Y110,IF(AJ110=$AK110,$AE110,""))))))</f>
        <v/>
      </c>
      <c r="AM110" s="151">
        <f>IF($AK110="","",$AK110/IF($E110="",1,$E110))</f>
        <v/>
      </c>
      <c r="AN110" s="152">
        <f>COUNT(L110,R110,X110,AD110,AJ110)</f>
        <v/>
      </c>
      <c r="AO110" s="150">
        <f>IF(COUNT(L110,R110,X110,AD110,AJ110)=0,"",MAX(L110,R110,X110,AD110,AJ110))</f>
        <v/>
      </c>
      <c r="AP110" s="153">
        <f>IF(OR($AK110="",$AO110="",$AO110=0),"",($AO110-$AK110)/$AO110)</f>
        <v/>
      </c>
      <c r="AQ110" s="154">
        <f>IF($AK110="","",IF(L110=$AK110,$K110,IF(R110=$AK110,$Q110,IF(X110=$AK110,$W110,IF(AD110=$AK110,$AC110,IF(AJ110=$AK110,$AI110,""))))))</f>
        <v/>
      </c>
    </row>
    <row r="111" ht="15" customHeight="1" s="106">
      <c r="A111" s="134" t="inlineStr">
        <is>
          <t>PP-BEV-SYR-GRANADILLA</t>
        </is>
      </c>
      <c r="B111" s="138" t="inlineStr">
        <is>
          <t>Beverage</t>
        </is>
      </c>
      <c r="C111" s="113" t="inlineStr">
        <is>
          <t>Granadilla slushee concentrate</t>
        </is>
      </c>
      <c r="D111" s="139" t="inlineStr">
        <is>
          <t>ml</t>
        </is>
      </c>
      <c r="E111" s="146" t="n">
        <v>1</v>
      </c>
      <c r="F111" s="116" t="inlineStr">
        <is>
          <t>Granadilla reads premium and is unmistakably SA</t>
        </is>
      </c>
      <c r="G111" s="140" t="n"/>
      <c r="H111" s="147" t="n"/>
      <c r="I111" s="141" t="n"/>
      <c r="J111" s="148" t="n"/>
      <c r="K111" s="149" t="n"/>
      <c r="L111" s="150">
        <f>IF(OR($J111="",$H111="",$H111=0),"",$J111/(1+IF(IFERROR(INDEX('03 Suppliers'!$N$5:$N$34,MATCH($G111,'03 Suppliers'!$B$5:$B$34,0)),"Excl VAT")="Incl VAT",'01 Control'!$C$6,0))/($H111*IFERROR(VLOOKUP($I111,'02 Lists'!$A$5:$B$18,2,FALSE()),1)))</f>
        <v/>
      </c>
      <c r="M111" s="140" t="n"/>
      <c r="N111" s="147" t="n"/>
      <c r="O111" s="141" t="n"/>
      <c r="P111" s="148" t="n"/>
      <c r="Q111" s="149" t="n"/>
      <c r="R111" s="150">
        <f>IF(OR($P111="",$N111="",$N111=0),"",$P111/(1+IF(IFERROR(INDEX('03 Suppliers'!$N$5:$N$34,MATCH($M111,'03 Suppliers'!$B$5:$B$34,0)),"Excl VAT")="Incl VAT",'01 Control'!$C$6,0))/($N111*IFERROR(VLOOKUP($O111,'02 Lists'!$A$5:$B$18,2,FALSE()),1)))</f>
        <v/>
      </c>
      <c r="S111" s="140" t="n"/>
      <c r="T111" s="147" t="n"/>
      <c r="U111" s="141" t="n"/>
      <c r="V111" s="148" t="n"/>
      <c r="W111" s="149" t="n"/>
      <c r="X111" s="150">
        <f>IF(OR($V111="",$T111="",$T111=0),"",$V111/(1+IF(IFERROR(INDEX('03 Suppliers'!$N$5:$N$34,MATCH($S111,'03 Suppliers'!$B$5:$B$34,0)),"Excl VAT")="Incl VAT",'01 Control'!$C$6,0))/($T111*IFERROR(VLOOKUP($U111,'02 Lists'!$A$5:$B$18,2,FALSE()),1)))</f>
        <v/>
      </c>
      <c r="Y111" s="140" t="n"/>
      <c r="Z111" s="147" t="n"/>
      <c r="AA111" s="141" t="n"/>
      <c r="AB111" s="148" t="n"/>
      <c r="AC111" s="149" t="n"/>
      <c r="AD111" s="150">
        <f>IF(OR($AB111="",$Z111="",$Z111=0),"",$AB111/(1+IF(IFERROR(INDEX('03 Suppliers'!$N$5:$N$34,MATCH($Y111,'03 Suppliers'!$B$5:$B$34,0)),"Excl VAT")="Incl VAT",'01 Control'!$C$6,0))/($Z111*IFERROR(VLOOKUP($AA111,'02 Lists'!$A$5:$B$18,2,FALSE()),1)))</f>
        <v/>
      </c>
      <c r="AE111" s="140" t="n"/>
      <c r="AF111" s="147" t="n"/>
      <c r="AG111" s="141" t="n"/>
      <c r="AH111" s="148" t="n"/>
      <c r="AI111" s="149" t="n"/>
      <c r="AJ111" s="150">
        <f>IF(OR($AH111="",$AF111="",$AF111=0),"",$AH111/(1+IF(IFERROR(INDEX('03 Suppliers'!$N$5:$N$34,MATCH($AE111,'03 Suppliers'!$B$5:$B$34,0)),"Excl VAT")="Incl VAT",'01 Control'!$C$6,0))/($AF111*IFERROR(VLOOKUP($AG111,'02 Lists'!$A$5:$B$18,2,FALSE()),1)))</f>
        <v/>
      </c>
      <c r="AK111" s="151">
        <f>IF(COUNT(L111,R111,X111,AD111,AJ111)=0,"",MIN(L111,R111,X111,AD111,AJ111))</f>
        <v/>
      </c>
      <c r="AL111" s="126">
        <f>IF($AK111="","",IF(L111=$AK111,$G111,IF(R111=$AK111,$M111,IF(X111=$AK111,$S111,IF(AD111=$AK111,$Y111,IF(AJ111=$AK111,$AE111,""))))))</f>
        <v/>
      </c>
      <c r="AM111" s="151">
        <f>IF($AK111="","",$AK111/IF($E111="",1,$E111))</f>
        <v/>
      </c>
      <c r="AN111" s="152">
        <f>COUNT(L111,R111,X111,AD111,AJ111)</f>
        <v/>
      </c>
      <c r="AO111" s="150">
        <f>IF(COUNT(L111,R111,X111,AD111,AJ111)=0,"",MAX(L111,R111,X111,AD111,AJ111))</f>
        <v/>
      </c>
      <c r="AP111" s="153">
        <f>IF(OR($AK111="",$AO111="",$AO111=0),"",($AO111-$AK111)/$AO111)</f>
        <v/>
      </c>
      <c r="AQ111" s="154">
        <f>IF($AK111="","",IF(L111=$AK111,$K111,IF(R111=$AK111,$Q111,IF(X111=$AK111,$W111,IF(AD111=$AK111,$AC111,IF(AJ111=$AK111,$AI111,""))))))</f>
        <v/>
      </c>
    </row>
    <row r="112" ht="19.4" customHeight="1" s="106">
      <c r="A112" s="134" t="inlineStr">
        <is>
          <t>PP-BEV-SYR-STRAWBERRY</t>
        </is>
      </c>
      <c r="B112" s="138" t="inlineStr">
        <is>
          <t>Beverage</t>
        </is>
      </c>
      <c r="C112" s="113" t="inlineStr">
        <is>
          <t>Strawberry slushee concentrate</t>
        </is>
      </c>
      <c r="D112" s="139" t="inlineStr">
        <is>
          <t>ml</t>
        </is>
      </c>
      <c r="E112" s="146" t="n">
        <v>1</v>
      </c>
      <c r="F112" s="116" t="inlineStr">
        <is>
          <t>Universal safe pick - highest volume flavour in every slush bar</t>
        </is>
      </c>
      <c r="G112" s="140" t="n"/>
      <c r="H112" s="147" t="n"/>
      <c r="I112" s="141" t="n"/>
      <c r="J112" s="148" t="n"/>
      <c r="K112" s="149" t="n"/>
      <c r="L112" s="150">
        <f>IF(OR($J112="",$H112="",$H112=0),"",$J112/(1+IF(IFERROR(INDEX('03 Suppliers'!$N$5:$N$34,MATCH($G112,'03 Suppliers'!$B$5:$B$34,0)),"Excl VAT")="Incl VAT",'01 Control'!$C$6,0))/($H112*IFERROR(VLOOKUP($I112,'02 Lists'!$A$5:$B$18,2,FALSE()),1)))</f>
        <v/>
      </c>
      <c r="M112" s="140" t="n"/>
      <c r="N112" s="147" t="n"/>
      <c r="O112" s="141" t="n"/>
      <c r="P112" s="148" t="n"/>
      <c r="Q112" s="149" t="n"/>
      <c r="R112" s="150">
        <f>IF(OR($P112="",$N112="",$N112=0),"",$P112/(1+IF(IFERROR(INDEX('03 Suppliers'!$N$5:$N$34,MATCH($M112,'03 Suppliers'!$B$5:$B$34,0)),"Excl VAT")="Incl VAT",'01 Control'!$C$6,0))/($N112*IFERROR(VLOOKUP($O112,'02 Lists'!$A$5:$B$18,2,FALSE()),1)))</f>
        <v/>
      </c>
      <c r="S112" s="140" t="n"/>
      <c r="T112" s="147" t="n"/>
      <c r="U112" s="141" t="n"/>
      <c r="V112" s="148" t="n"/>
      <c r="W112" s="149" t="n"/>
      <c r="X112" s="150">
        <f>IF(OR($V112="",$T112="",$T112=0),"",$V112/(1+IF(IFERROR(INDEX('03 Suppliers'!$N$5:$N$34,MATCH($S112,'03 Suppliers'!$B$5:$B$34,0)),"Excl VAT")="Incl VAT",'01 Control'!$C$6,0))/($T112*IFERROR(VLOOKUP($U112,'02 Lists'!$A$5:$B$18,2,FALSE()),1)))</f>
        <v/>
      </c>
      <c r="Y112" s="140" t="n"/>
      <c r="Z112" s="147" t="n"/>
      <c r="AA112" s="141" t="n"/>
      <c r="AB112" s="148" t="n"/>
      <c r="AC112" s="149" t="n"/>
      <c r="AD112" s="150">
        <f>IF(OR($AB112="",$Z112="",$Z112=0),"",$AB112/(1+IF(IFERROR(INDEX('03 Suppliers'!$N$5:$N$34,MATCH($Y112,'03 Suppliers'!$B$5:$B$34,0)),"Excl VAT")="Incl VAT",'01 Control'!$C$6,0))/($Z112*IFERROR(VLOOKUP($AA112,'02 Lists'!$A$5:$B$18,2,FALSE()),1)))</f>
        <v/>
      </c>
      <c r="AE112" s="140" t="n"/>
      <c r="AF112" s="147" t="n"/>
      <c r="AG112" s="141" t="n"/>
      <c r="AH112" s="148" t="n"/>
      <c r="AI112" s="149" t="n"/>
      <c r="AJ112" s="150">
        <f>IF(OR($AH112="",$AF112="",$AF112=0),"",$AH112/(1+IF(IFERROR(INDEX('03 Suppliers'!$N$5:$N$34,MATCH($AE112,'03 Suppliers'!$B$5:$B$34,0)),"Excl VAT")="Incl VAT",'01 Control'!$C$6,0))/($AF112*IFERROR(VLOOKUP($AG112,'02 Lists'!$A$5:$B$18,2,FALSE()),1)))</f>
        <v/>
      </c>
      <c r="AK112" s="151">
        <f>IF(COUNT(L112,R112,X112,AD112,AJ112)=0,"",MIN(L112,R112,X112,AD112,AJ112))</f>
        <v/>
      </c>
      <c r="AL112" s="126">
        <f>IF($AK112="","",IF(L112=$AK112,$G112,IF(R112=$AK112,$M112,IF(X112=$AK112,$S112,IF(AD112=$AK112,$Y112,IF(AJ112=$AK112,$AE112,""))))))</f>
        <v/>
      </c>
      <c r="AM112" s="151">
        <f>IF($AK112="","",$AK112/IF($E112="",1,$E112))</f>
        <v/>
      </c>
      <c r="AN112" s="152">
        <f>COUNT(L112,R112,X112,AD112,AJ112)</f>
        <v/>
      </c>
      <c r="AO112" s="150">
        <f>IF(COUNT(L112,R112,X112,AD112,AJ112)=0,"",MAX(L112,R112,X112,AD112,AJ112))</f>
        <v/>
      </c>
      <c r="AP112" s="153">
        <f>IF(OR($AK112="",$AO112="",$AO112=0),"",($AO112-$AK112)/$AO112)</f>
        <v/>
      </c>
      <c r="AQ112" s="154">
        <f>IF($AK112="","",IF(L112=$AK112,$K112,IF(R112=$AK112,$Q112,IF(X112=$AK112,$W112,IF(AD112=$AK112,$AC112,IF(AJ112=$AK112,$AI112,""))))))</f>
        <v/>
      </c>
    </row>
    <row r="113" ht="15" customHeight="1" s="106">
      <c r="A113" s="134" t="inlineStr">
        <is>
          <t>PP-BEV-SYR-BUBBLEGUM</t>
        </is>
      </c>
      <c r="B113" s="138" t="inlineStr">
        <is>
          <t>Beverage</t>
        </is>
      </c>
      <c r="C113" s="113" t="inlineStr">
        <is>
          <t>Blue bubblegum slushee concentrate</t>
        </is>
      </c>
      <c r="D113" s="139" t="inlineStr">
        <is>
          <t>ml</t>
        </is>
      </c>
      <c r="E113" s="146" t="n">
        <v>1</v>
      </c>
      <c r="F113" s="116" t="inlineStr">
        <is>
          <t>The kids anchor. Blue sells on colour before taste</t>
        </is>
      </c>
      <c r="G113" s="140" t="n"/>
      <c r="H113" s="147" t="n"/>
      <c r="I113" s="141" t="n"/>
      <c r="J113" s="148" t="n"/>
      <c r="K113" s="149" t="n"/>
      <c r="L113" s="150">
        <f>IF(OR($J113="",$H113="",$H113=0),"",$J113/(1+IF(IFERROR(INDEX('03 Suppliers'!$N$5:$N$34,MATCH($G113,'03 Suppliers'!$B$5:$B$34,0)),"Excl VAT")="Incl VAT",'01 Control'!$C$6,0))/($H113*IFERROR(VLOOKUP($I113,'02 Lists'!$A$5:$B$18,2,FALSE()),1)))</f>
        <v/>
      </c>
      <c r="M113" s="140" t="n"/>
      <c r="N113" s="147" t="n"/>
      <c r="O113" s="141" t="n"/>
      <c r="P113" s="148" t="n"/>
      <c r="Q113" s="149" t="n"/>
      <c r="R113" s="150">
        <f>IF(OR($P113="",$N113="",$N113=0),"",$P113/(1+IF(IFERROR(INDEX('03 Suppliers'!$N$5:$N$34,MATCH($M113,'03 Suppliers'!$B$5:$B$34,0)),"Excl VAT")="Incl VAT",'01 Control'!$C$6,0))/($N113*IFERROR(VLOOKUP($O113,'02 Lists'!$A$5:$B$18,2,FALSE()),1)))</f>
        <v/>
      </c>
      <c r="S113" s="140" t="n"/>
      <c r="T113" s="147" t="n"/>
      <c r="U113" s="141" t="n"/>
      <c r="V113" s="148" t="n"/>
      <c r="W113" s="149" t="n"/>
      <c r="X113" s="150">
        <f>IF(OR($V113="",$T113="",$T113=0),"",$V113/(1+IF(IFERROR(INDEX('03 Suppliers'!$N$5:$N$34,MATCH($S113,'03 Suppliers'!$B$5:$B$34,0)),"Excl VAT")="Incl VAT",'01 Control'!$C$6,0))/($T113*IFERROR(VLOOKUP($U113,'02 Lists'!$A$5:$B$18,2,FALSE()),1)))</f>
        <v/>
      </c>
      <c r="Y113" s="140" t="n"/>
      <c r="Z113" s="147" t="n"/>
      <c r="AA113" s="141" t="n"/>
      <c r="AB113" s="148" t="n"/>
      <c r="AC113" s="149" t="n"/>
      <c r="AD113" s="150">
        <f>IF(OR($AB113="",$Z113="",$Z113=0),"",$AB113/(1+IF(IFERROR(INDEX('03 Suppliers'!$N$5:$N$34,MATCH($Y113,'03 Suppliers'!$B$5:$B$34,0)),"Excl VAT")="Incl VAT",'01 Control'!$C$6,0))/($Z113*IFERROR(VLOOKUP($AA113,'02 Lists'!$A$5:$B$18,2,FALSE()),1)))</f>
        <v/>
      </c>
      <c r="AE113" s="140" t="n"/>
      <c r="AF113" s="147" t="n"/>
      <c r="AG113" s="141" t="n"/>
      <c r="AH113" s="148" t="n"/>
      <c r="AI113" s="149" t="n"/>
      <c r="AJ113" s="150">
        <f>IF(OR($AH113="",$AF113="",$AF113=0),"",$AH113/(1+IF(IFERROR(INDEX('03 Suppliers'!$N$5:$N$34,MATCH($AE113,'03 Suppliers'!$B$5:$B$34,0)),"Excl VAT")="Incl VAT",'01 Control'!$C$6,0))/($AF113*IFERROR(VLOOKUP($AG113,'02 Lists'!$A$5:$B$18,2,FALSE()),1)))</f>
        <v/>
      </c>
      <c r="AK113" s="151">
        <f>IF(COUNT(L113,R113,X113,AD113,AJ113)=0,"",MIN(L113,R113,X113,AD113,AJ113))</f>
        <v/>
      </c>
      <c r="AL113" s="126">
        <f>IF($AK113="","",IF(L113=$AK113,$G113,IF(R113=$AK113,$M113,IF(X113=$AK113,$S113,IF(AD113=$AK113,$Y113,IF(AJ113=$AK113,$AE113,""))))))</f>
        <v/>
      </c>
      <c r="AM113" s="151">
        <f>IF($AK113="","",$AK113/IF($E113="",1,$E113))</f>
        <v/>
      </c>
      <c r="AN113" s="152">
        <f>COUNT(L113,R113,X113,AD113,AJ113)</f>
        <v/>
      </c>
      <c r="AO113" s="150">
        <f>IF(COUNT(L113,R113,X113,AD113,AJ113)=0,"",MAX(L113,R113,X113,AD113,AJ113))</f>
        <v/>
      </c>
      <c r="AP113" s="153">
        <f>IF(OR($AK113="",$AO113="",$AO113=0),"",($AO113-$AK113)/$AO113)</f>
        <v/>
      </c>
      <c r="AQ113" s="154">
        <f>IF($AK113="","",IF(L113=$AK113,$K113,IF(R113=$AK113,$Q113,IF(X113=$AK113,$W113,IF(AD113=$AK113,$AC113,IF(AJ113=$AK113,$AI113,""))))))</f>
        <v/>
      </c>
    </row>
    <row r="114" ht="15" customHeight="1" s="106">
      <c r="A114" s="134" t="inlineStr">
        <is>
          <t>PP-BEV-SYR-GINGERLIME</t>
        </is>
      </c>
      <c r="B114" s="138" t="inlineStr">
        <is>
          <t>Beverage</t>
        </is>
      </c>
      <c r="C114" s="113" t="inlineStr">
        <is>
          <t>Ginger-lime slushee concentrate</t>
        </is>
      </c>
      <c r="D114" s="139" t="inlineStr">
        <is>
          <t>ml</t>
        </is>
      </c>
      <c r="E114" s="146" t="n">
        <v>1</v>
      </c>
      <c r="F114" s="116" t="inlineStr">
        <is>
          <t>The adult slush - sharp, low-sweet, pairs with chilli dishes</t>
        </is>
      </c>
      <c r="G114" s="140" t="n"/>
      <c r="H114" s="147" t="n"/>
      <c r="I114" s="141" t="n"/>
      <c r="J114" s="148" t="n"/>
      <c r="K114" s="149" t="n"/>
      <c r="L114" s="150">
        <f>IF(OR($J114="",$H114="",$H114=0),"",$J114/(1+IF(IFERROR(INDEX('03 Suppliers'!$N$5:$N$34,MATCH($G114,'03 Suppliers'!$B$5:$B$34,0)),"Excl VAT")="Incl VAT",'01 Control'!$C$6,0))/($H114*IFERROR(VLOOKUP($I114,'02 Lists'!$A$5:$B$18,2,FALSE()),1)))</f>
        <v/>
      </c>
      <c r="M114" s="140" t="n"/>
      <c r="N114" s="147" t="n"/>
      <c r="O114" s="141" t="n"/>
      <c r="P114" s="148" t="n"/>
      <c r="Q114" s="149" t="n"/>
      <c r="R114" s="150">
        <f>IF(OR($P114="",$N114="",$N114=0),"",$P114/(1+IF(IFERROR(INDEX('03 Suppliers'!$N$5:$N$34,MATCH($M114,'03 Suppliers'!$B$5:$B$34,0)),"Excl VAT")="Incl VAT",'01 Control'!$C$6,0))/($N114*IFERROR(VLOOKUP($O114,'02 Lists'!$A$5:$B$18,2,FALSE()),1)))</f>
        <v/>
      </c>
      <c r="S114" s="140" t="n"/>
      <c r="T114" s="147" t="n"/>
      <c r="U114" s="141" t="n"/>
      <c r="V114" s="148" t="n"/>
      <c r="W114" s="149" t="n"/>
      <c r="X114" s="150">
        <f>IF(OR($V114="",$T114="",$T114=0),"",$V114/(1+IF(IFERROR(INDEX('03 Suppliers'!$N$5:$N$34,MATCH($S114,'03 Suppliers'!$B$5:$B$34,0)),"Excl VAT")="Incl VAT",'01 Control'!$C$6,0))/($T114*IFERROR(VLOOKUP($U114,'02 Lists'!$A$5:$B$18,2,FALSE()),1)))</f>
        <v/>
      </c>
      <c r="Y114" s="140" t="n"/>
      <c r="Z114" s="147" t="n"/>
      <c r="AA114" s="141" t="n"/>
      <c r="AB114" s="148" t="n"/>
      <c r="AC114" s="149" t="n"/>
      <c r="AD114" s="150">
        <f>IF(OR($AB114="",$Z114="",$Z114=0),"",$AB114/(1+IF(IFERROR(INDEX('03 Suppliers'!$N$5:$N$34,MATCH($Y114,'03 Suppliers'!$B$5:$B$34,0)),"Excl VAT")="Incl VAT",'01 Control'!$C$6,0))/($Z114*IFERROR(VLOOKUP($AA114,'02 Lists'!$A$5:$B$18,2,FALSE()),1)))</f>
        <v/>
      </c>
      <c r="AE114" s="140" t="n"/>
      <c r="AF114" s="147" t="n"/>
      <c r="AG114" s="141" t="n"/>
      <c r="AH114" s="148" t="n"/>
      <c r="AI114" s="149" t="n"/>
      <c r="AJ114" s="150">
        <f>IF(OR($AH114="",$AF114="",$AF114=0),"",$AH114/(1+IF(IFERROR(INDEX('03 Suppliers'!$N$5:$N$34,MATCH($AE114,'03 Suppliers'!$B$5:$B$34,0)),"Excl VAT")="Incl VAT",'01 Control'!$C$6,0))/($AF114*IFERROR(VLOOKUP($AG114,'02 Lists'!$A$5:$B$18,2,FALSE()),1)))</f>
        <v/>
      </c>
      <c r="AK114" s="151">
        <f>IF(COUNT(L114,R114,X114,AD114,AJ114)=0,"",MIN(L114,R114,X114,AD114,AJ114))</f>
        <v/>
      </c>
      <c r="AL114" s="126">
        <f>IF($AK114="","",IF(L114=$AK114,$G114,IF(R114=$AK114,$M114,IF(X114=$AK114,$S114,IF(AD114=$AK114,$Y114,IF(AJ114=$AK114,$AE114,""))))))</f>
        <v/>
      </c>
      <c r="AM114" s="151">
        <f>IF($AK114="","",$AK114/IF($E114="",1,$E114))</f>
        <v/>
      </c>
      <c r="AN114" s="152">
        <f>COUNT(L114,R114,X114,AD114,AJ114)</f>
        <v/>
      </c>
      <c r="AO114" s="150">
        <f>IF(COUNT(L114,R114,X114,AD114,AJ114)=0,"",MAX(L114,R114,X114,AD114,AJ114))</f>
        <v/>
      </c>
      <c r="AP114" s="153">
        <f>IF(OR($AK114="",$AO114="",$AO114=0),"",($AO114-$AK114)/$AO114)</f>
        <v/>
      </c>
      <c r="AQ114" s="154">
        <f>IF($AK114="","",IF(L114=$AK114,$K114,IF(R114=$AK114,$Q114,IF(X114=$AK114,$W114,IF(AD114=$AK114,$AC114,IF(AJ114=$AK114,$AI114,""))))))</f>
        <v/>
      </c>
    </row>
    <row r="115" ht="15" customHeight="1" s="106">
      <c r="A115" s="134" t="inlineStr">
        <is>
          <t>PP-BEV-SYR-BERRY</t>
        </is>
      </c>
      <c r="B115" s="138" t="inlineStr">
        <is>
          <t>Beverage</t>
        </is>
      </c>
      <c r="C115" s="113" t="inlineStr">
        <is>
          <t>Mixed berry slushee concentrate</t>
        </is>
      </c>
      <c r="D115" s="139" t="inlineStr">
        <is>
          <t>ml</t>
        </is>
      </c>
      <c r="E115" s="146" t="n">
        <v>1</v>
      </c>
      <c r="F115" s="116" t="inlineStr">
        <is>
          <t>Papa's Red - the rotating slot's most repeatable filler</t>
        </is>
      </c>
      <c r="G115" s="140" t="n"/>
      <c r="H115" s="147" t="n"/>
      <c r="I115" s="141" t="n"/>
      <c r="J115" s="148" t="n"/>
      <c r="K115" s="149" t="n"/>
      <c r="L115" s="150">
        <f>IF(OR($J115="",$H115="",$H115=0),"",$J115/(1+IF(IFERROR(INDEX('03 Suppliers'!$N$5:$N$34,MATCH($G115,'03 Suppliers'!$B$5:$B$34,0)),"Excl VAT")="Incl VAT",'01 Control'!$C$6,0))/($H115*IFERROR(VLOOKUP($I115,'02 Lists'!$A$5:$B$18,2,FALSE()),1)))</f>
        <v/>
      </c>
      <c r="M115" s="140" t="n"/>
      <c r="N115" s="147" t="n"/>
      <c r="O115" s="141" t="n"/>
      <c r="P115" s="148" t="n"/>
      <c r="Q115" s="149" t="n"/>
      <c r="R115" s="150">
        <f>IF(OR($P115="",$N115="",$N115=0),"",$P115/(1+IF(IFERROR(INDEX('03 Suppliers'!$N$5:$N$34,MATCH($M115,'03 Suppliers'!$B$5:$B$34,0)),"Excl VAT")="Incl VAT",'01 Control'!$C$6,0))/($N115*IFERROR(VLOOKUP($O115,'02 Lists'!$A$5:$B$18,2,FALSE()),1)))</f>
        <v/>
      </c>
      <c r="S115" s="140" t="n"/>
      <c r="T115" s="147" t="n"/>
      <c r="U115" s="141" t="n"/>
      <c r="V115" s="148" t="n"/>
      <c r="W115" s="149" t="n"/>
      <c r="X115" s="150">
        <f>IF(OR($V115="",$T115="",$T115=0),"",$V115/(1+IF(IFERROR(INDEX('03 Suppliers'!$N$5:$N$34,MATCH($S115,'03 Suppliers'!$B$5:$B$34,0)),"Excl VAT")="Incl VAT",'01 Control'!$C$6,0))/($T115*IFERROR(VLOOKUP($U115,'02 Lists'!$A$5:$B$18,2,FALSE()),1)))</f>
        <v/>
      </c>
      <c r="Y115" s="140" t="n"/>
      <c r="Z115" s="147" t="n"/>
      <c r="AA115" s="141" t="n"/>
      <c r="AB115" s="148" t="n"/>
      <c r="AC115" s="149" t="n"/>
      <c r="AD115" s="150">
        <f>IF(OR($AB115="",$Z115="",$Z115=0),"",$AB115/(1+IF(IFERROR(INDEX('03 Suppliers'!$N$5:$N$34,MATCH($Y115,'03 Suppliers'!$B$5:$B$34,0)),"Excl VAT")="Incl VAT",'01 Control'!$C$6,0))/($Z115*IFERROR(VLOOKUP($AA115,'02 Lists'!$A$5:$B$18,2,FALSE()),1)))</f>
        <v/>
      </c>
      <c r="AE115" s="140" t="n"/>
      <c r="AF115" s="147" t="n"/>
      <c r="AG115" s="141" t="n"/>
      <c r="AH115" s="148" t="n"/>
      <c r="AI115" s="149" t="n"/>
      <c r="AJ115" s="150">
        <f>IF(OR($AH115="",$AF115="",$AF115=0),"",$AH115/(1+IF(IFERROR(INDEX('03 Suppliers'!$N$5:$N$34,MATCH($AE115,'03 Suppliers'!$B$5:$B$34,0)),"Excl VAT")="Incl VAT",'01 Control'!$C$6,0))/($AF115*IFERROR(VLOOKUP($AG115,'02 Lists'!$A$5:$B$18,2,FALSE()),1)))</f>
        <v/>
      </c>
      <c r="AK115" s="151">
        <f>IF(COUNT(L115,R115,X115,AD115,AJ115)=0,"",MIN(L115,R115,X115,AD115,AJ115))</f>
        <v/>
      </c>
      <c r="AL115" s="126">
        <f>IF($AK115="","",IF(L115=$AK115,$G115,IF(R115=$AK115,$M115,IF(X115=$AK115,$S115,IF(AD115=$AK115,$Y115,IF(AJ115=$AK115,$AE115,""))))))</f>
        <v/>
      </c>
      <c r="AM115" s="151">
        <f>IF($AK115="","",$AK115/IF($E115="",1,$E115))</f>
        <v/>
      </c>
      <c r="AN115" s="152">
        <f>COUNT(L115,R115,X115,AD115,AJ115)</f>
        <v/>
      </c>
      <c r="AO115" s="150">
        <f>IF(COUNT(L115,R115,X115,AD115,AJ115)=0,"",MAX(L115,R115,X115,AD115,AJ115))</f>
        <v/>
      </c>
      <c r="AP115" s="153">
        <f>IF(OR($AK115="",$AO115="",$AO115=0),"",($AO115-$AK115)/$AO115)</f>
        <v/>
      </c>
      <c r="AQ115" s="154">
        <f>IF($AK115="","",IF(L115=$AK115,$K115,IF(R115=$AK115,$Q115,IF(X115=$AK115,$W115,IF(AD115=$AK115,$AC115,IF(AJ115=$AK115,$AI115,""))))))</f>
        <v/>
      </c>
    </row>
    <row r="116" ht="15" customHeight="1" s="106">
      <c r="A116" s="134" t="inlineStr">
        <is>
          <t>PP-BEV-SYR-POSTMIX</t>
        </is>
      </c>
      <c r="B116" s="138" t="inlineStr">
        <is>
          <t>Beverage</t>
        </is>
      </c>
      <c r="C116" s="113" t="inlineStr">
        <is>
          <t>Post-mix soda syrup (BIB)</t>
        </is>
      </c>
      <c r="D116" s="139" t="inlineStr">
        <is>
          <t>ml</t>
        </is>
      </c>
      <c r="E116" s="146" t="n">
        <v>1</v>
      </c>
      <c r="F116" s="116" t="inlineStr">
        <is>
          <t>Dilution ratio set on the machine</t>
        </is>
      </c>
      <c r="G116" s="140" t="n"/>
      <c r="H116" s="147" t="n"/>
      <c r="I116" s="141" t="n"/>
      <c r="J116" s="148" t="n"/>
      <c r="K116" s="149" t="n"/>
      <c r="L116" s="150">
        <f>IF(OR($J116="",$H116="",$H116=0),"",$J116/(1+IF(IFERROR(INDEX('03 Suppliers'!$N$5:$N$34,MATCH($G116,'03 Suppliers'!$B$5:$B$34,0)),"Excl VAT")="Incl VAT",'01 Control'!$C$6,0))/($H116*IFERROR(VLOOKUP($I116,'02 Lists'!$A$5:$B$18,2,FALSE()),1)))</f>
        <v/>
      </c>
      <c r="M116" s="140" t="n"/>
      <c r="N116" s="147" t="n"/>
      <c r="O116" s="141" t="n"/>
      <c r="P116" s="148" t="n"/>
      <c r="Q116" s="149" t="n"/>
      <c r="R116" s="150">
        <f>IF(OR($P116="",$N116="",$N116=0),"",$P116/(1+IF(IFERROR(INDEX('03 Suppliers'!$N$5:$N$34,MATCH($M116,'03 Suppliers'!$B$5:$B$34,0)),"Excl VAT")="Incl VAT",'01 Control'!$C$6,0))/($N116*IFERROR(VLOOKUP($O116,'02 Lists'!$A$5:$B$18,2,FALSE()),1)))</f>
        <v/>
      </c>
      <c r="S116" s="140" t="n"/>
      <c r="T116" s="147" t="n"/>
      <c r="U116" s="141" t="n"/>
      <c r="V116" s="148" t="n"/>
      <c r="W116" s="149" t="n"/>
      <c r="X116" s="150">
        <f>IF(OR($V116="",$T116="",$T116=0),"",$V116/(1+IF(IFERROR(INDEX('03 Suppliers'!$N$5:$N$34,MATCH($S116,'03 Suppliers'!$B$5:$B$34,0)),"Excl VAT")="Incl VAT",'01 Control'!$C$6,0))/($T116*IFERROR(VLOOKUP($U116,'02 Lists'!$A$5:$B$18,2,FALSE()),1)))</f>
        <v/>
      </c>
      <c r="Y116" s="140" t="n"/>
      <c r="Z116" s="147" t="n"/>
      <c r="AA116" s="141" t="n"/>
      <c r="AB116" s="148" t="n"/>
      <c r="AC116" s="149" t="n"/>
      <c r="AD116" s="150">
        <f>IF(OR($AB116="",$Z116="",$Z116=0),"",$AB116/(1+IF(IFERROR(INDEX('03 Suppliers'!$N$5:$N$34,MATCH($Y116,'03 Suppliers'!$B$5:$B$34,0)),"Excl VAT")="Incl VAT",'01 Control'!$C$6,0))/($Z116*IFERROR(VLOOKUP($AA116,'02 Lists'!$A$5:$B$18,2,FALSE()),1)))</f>
        <v/>
      </c>
      <c r="AE116" s="140" t="n"/>
      <c r="AF116" s="147" t="n"/>
      <c r="AG116" s="141" t="n"/>
      <c r="AH116" s="148" t="n"/>
      <c r="AI116" s="149" t="n"/>
      <c r="AJ116" s="150">
        <f>IF(OR($AH116="",$AF116="",$AF116=0),"",$AH116/(1+IF(IFERROR(INDEX('03 Suppliers'!$N$5:$N$34,MATCH($AE116,'03 Suppliers'!$B$5:$B$34,0)),"Excl VAT")="Incl VAT",'01 Control'!$C$6,0))/($AF116*IFERROR(VLOOKUP($AG116,'02 Lists'!$A$5:$B$18,2,FALSE()),1)))</f>
        <v/>
      </c>
      <c r="AK116" s="151">
        <f>IF(COUNT(L116,R116,X116,AD116,AJ116)=0,"",MIN(L116,R116,X116,AD116,AJ116))</f>
        <v/>
      </c>
      <c r="AL116" s="126">
        <f>IF($AK116="","",IF(L116=$AK116,$G116,IF(R116=$AK116,$M116,IF(X116=$AK116,$S116,IF(AD116=$AK116,$Y116,IF(AJ116=$AK116,$AE116,""))))))</f>
        <v/>
      </c>
      <c r="AM116" s="151">
        <f>IF($AK116="","",$AK116/IF($E116="",1,$E116))</f>
        <v/>
      </c>
      <c r="AN116" s="152">
        <f>COUNT(L116,R116,X116,AD116,AJ116)</f>
        <v/>
      </c>
      <c r="AO116" s="150">
        <f>IF(COUNT(L116,R116,X116,AD116,AJ116)=0,"",MAX(L116,R116,X116,AD116,AJ116))</f>
        <v/>
      </c>
      <c r="AP116" s="153">
        <f>IF(OR($AK116="",$AO116="",$AO116=0),"",($AO116-$AK116)/$AO116)</f>
        <v/>
      </c>
      <c r="AQ116" s="154">
        <f>IF($AK116="","",IF(L116=$AK116,$K116,IF(R116=$AK116,$Q116,IF(X116=$AK116,$W116,IF(AD116=$AK116,$AC116,IF(AJ116=$AK116,$AI116,""))))))</f>
        <v/>
      </c>
    </row>
    <row r="117" ht="15" customHeight="1" s="106">
      <c r="A117" s="134" t="inlineStr">
        <is>
          <t>PP-BEV-CO2</t>
        </is>
      </c>
      <c r="B117" s="138" t="inlineStr">
        <is>
          <t>Beverage</t>
        </is>
      </c>
      <c r="C117" s="113" t="inlineStr">
        <is>
          <t>CO2 for post-mix</t>
        </is>
      </c>
      <c r="D117" s="139" t="inlineStr">
        <is>
          <t>g</t>
        </is>
      </c>
      <c r="E117" s="146" t="n">
        <v>1</v>
      </c>
      <c r="F117" s="116" t="inlineStr">
        <is>
          <t>Per-serve share of a cylinder</t>
        </is>
      </c>
      <c r="G117" s="140" t="n"/>
      <c r="H117" s="147" t="n"/>
      <c r="I117" s="141" t="n"/>
      <c r="J117" s="148" t="n"/>
      <c r="K117" s="149" t="n"/>
      <c r="L117" s="150">
        <f>IF(OR($J117="",$H117="",$H117=0),"",$J117/(1+IF(IFERROR(INDEX('03 Suppliers'!$N$5:$N$34,MATCH($G117,'03 Suppliers'!$B$5:$B$34,0)),"Excl VAT")="Incl VAT",'01 Control'!$C$6,0))/($H117*IFERROR(VLOOKUP($I117,'02 Lists'!$A$5:$B$18,2,FALSE()),1)))</f>
        <v/>
      </c>
      <c r="M117" s="140" t="n"/>
      <c r="N117" s="147" t="n"/>
      <c r="O117" s="141" t="n"/>
      <c r="P117" s="148" t="n"/>
      <c r="Q117" s="149" t="n"/>
      <c r="R117" s="150">
        <f>IF(OR($P117="",$N117="",$N117=0),"",$P117/(1+IF(IFERROR(INDEX('03 Suppliers'!$N$5:$N$34,MATCH($M117,'03 Suppliers'!$B$5:$B$34,0)),"Excl VAT")="Incl VAT",'01 Control'!$C$6,0))/($N117*IFERROR(VLOOKUP($O117,'02 Lists'!$A$5:$B$18,2,FALSE()),1)))</f>
        <v/>
      </c>
      <c r="S117" s="140" t="n"/>
      <c r="T117" s="147" t="n"/>
      <c r="U117" s="141" t="n"/>
      <c r="V117" s="148" t="n"/>
      <c r="W117" s="149" t="n"/>
      <c r="X117" s="150">
        <f>IF(OR($V117="",$T117="",$T117=0),"",$V117/(1+IF(IFERROR(INDEX('03 Suppliers'!$N$5:$N$34,MATCH($S117,'03 Suppliers'!$B$5:$B$34,0)),"Excl VAT")="Incl VAT",'01 Control'!$C$6,0))/($T117*IFERROR(VLOOKUP($U117,'02 Lists'!$A$5:$B$18,2,FALSE()),1)))</f>
        <v/>
      </c>
      <c r="Y117" s="140" t="n"/>
      <c r="Z117" s="147" t="n"/>
      <c r="AA117" s="141" t="n"/>
      <c r="AB117" s="148" t="n"/>
      <c r="AC117" s="149" t="n"/>
      <c r="AD117" s="150">
        <f>IF(OR($AB117="",$Z117="",$Z117=0),"",$AB117/(1+IF(IFERROR(INDEX('03 Suppliers'!$N$5:$N$34,MATCH($Y117,'03 Suppliers'!$B$5:$B$34,0)),"Excl VAT")="Incl VAT",'01 Control'!$C$6,0))/($Z117*IFERROR(VLOOKUP($AA117,'02 Lists'!$A$5:$B$18,2,FALSE()),1)))</f>
        <v/>
      </c>
      <c r="AE117" s="140" t="n"/>
      <c r="AF117" s="147" t="n"/>
      <c r="AG117" s="141" t="n"/>
      <c r="AH117" s="148" t="n"/>
      <c r="AI117" s="149" t="n"/>
      <c r="AJ117" s="150">
        <f>IF(OR($AH117="",$AF117="",$AF117=0),"",$AH117/(1+IF(IFERROR(INDEX('03 Suppliers'!$N$5:$N$34,MATCH($AE117,'03 Suppliers'!$B$5:$B$34,0)),"Excl VAT")="Incl VAT",'01 Control'!$C$6,0))/($AF117*IFERROR(VLOOKUP($AG117,'02 Lists'!$A$5:$B$18,2,FALSE()),1)))</f>
        <v/>
      </c>
      <c r="AK117" s="151">
        <f>IF(COUNT(L117,R117,X117,AD117,AJ117)=0,"",MIN(L117,R117,X117,AD117,AJ117))</f>
        <v/>
      </c>
      <c r="AL117" s="126">
        <f>IF($AK117="","",IF(L117=$AK117,$G117,IF(R117=$AK117,$M117,IF(X117=$AK117,$S117,IF(AD117=$AK117,$Y117,IF(AJ117=$AK117,$AE117,""))))))</f>
        <v/>
      </c>
      <c r="AM117" s="151">
        <f>IF($AK117="","",$AK117/IF($E117="",1,$E117))</f>
        <v/>
      </c>
      <c r="AN117" s="152">
        <f>COUNT(L117,R117,X117,AD117,AJ117)</f>
        <v/>
      </c>
      <c r="AO117" s="150">
        <f>IF(COUNT(L117,R117,X117,AD117,AJ117)=0,"",MAX(L117,R117,X117,AD117,AJ117))</f>
        <v/>
      </c>
      <c r="AP117" s="153">
        <f>IF(OR($AK117="",$AO117="",$AO117=0),"",($AO117-$AK117)/$AO117)</f>
        <v/>
      </c>
      <c r="AQ117" s="154">
        <f>IF($AK117="","",IF(L117=$AK117,$K117,IF(R117=$AK117,$Q117,IF(X117=$AK117,$W117,IF(AD117=$AK117,$AC117,IF(AJ117=$AK117,$AI117,""))))))</f>
        <v/>
      </c>
    </row>
    <row r="118" ht="15" customHeight="1" s="106">
      <c r="A118" s="134" t="inlineStr">
        <is>
          <t>PP-BEV-WATER-500</t>
        </is>
      </c>
      <c r="B118" s="138" t="inlineStr">
        <is>
          <t>Beverage</t>
        </is>
      </c>
      <c r="C118" s="113" t="inlineStr">
        <is>
          <t>Bottled still / sparkling water 500 ml</t>
        </is>
      </c>
      <c r="D118" s="139" t="inlineStr">
        <is>
          <t>ea</t>
        </is>
      </c>
      <c r="E118" s="146" t="n">
        <v>1</v>
      </c>
      <c r="F118" s="116" t="inlineStr">
        <is>
          <t>Bought in, sold as-is</t>
        </is>
      </c>
      <c r="G118" s="140" t="n"/>
      <c r="H118" s="147" t="n"/>
      <c r="I118" s="141" t="n"/>
      <c r="J118" s="148" t="n"/>
      <c r="K118" s="149" t="n"/>
      <c r="L118" s="150">
        <f>IF(OR($J118="",$H118="",$H118=0),"",$J118/(1+IF(IFERROR(INDEX('03 Suppliers'!$N$5:$N$34,MATCH($G118,'03 Suppliers'!$B$5:$B$34,0)),"Excl VAT")="Incl VAT",'01 Control'!$C$6,0))/($H118*IFERROR(VLOOKUP($I118,'02 Lists'!$A$5:$B$18,2,FALSE()),1)))</f>
        <v/>
      </c>
      <c r="M118" s="140" t="n"/>
      <c r="N118" s="147" t="n"/>
      <c r="O118" s="141" t="n"/>
      <c r="P118" s="148" t="n"/>
      <c r="Q118" s="149" t="n"/>
      <c r="R118" s="150">
        <f>IF(OR($P118="",$N118="",$N118=0),"",$P118/(1+IF(IFERROR(INDEX('03 Suppliers'!$N$5:$N$34,MATCH($M118,'03 Suppliers'!$B$5:$B$34,0)),"Excl VAT")="Incl VAT",'01 Control'!$C$6,0))/($N118*IFERROR(VLOOKUP($O118,'02 Lists'!$A$5:$B$18,2,FALSE()),1)))</f>
        <v/>
      </c>
      <c r="S118" s="140" t="n"/>
      <c r="T118" s="147" t="n"/>
      <c r="U118" s="141" t="n"/>
      <c r="V118" s="148" t="n"/>
      <c r="W118" s="149" t="n"/>
      <c r="X118" s="150">
        <f>IF(OR($V118="",$T118="",$T118=0),"",$V118/(1+IF(IFERROR(INDEX('03 Suppliers'!$N$5:$N$34,MATCH($S118,'03 Suppliers'!$B$5:$B$34,0)),"Excl VAT")="Incl VAT",'01 Control'!$C$6,0))/($T118*IFERROR(VLOOKUP($U118,'02 Lists'!$A$5:$B$18,2,FALSE()),1)))</f>
        <v/>
      </c>
      <c r="Y118" s="140" t="n"/>
      <c r="Z118" s="147" t="n"/>
      <c r="AA118" s="141" t="n"/>
      <c r="AB118" s="148" t="n"/>
      <c r="AC118" s="149" t="n"/>
      <c r="AD118" s="150">
        <f>IF(OR($AB118="",$Z118="",$Z118=0),"",$AB118/(1+IF(IFERROR(INDEX('03 Suppliers'!$N$5:$N$34,MATCH($Y118,'03 Suppliers'!$B$5:$B$34,0)),"Excl VAT")="Incl VAT",'01 Control'!$C$6,0))/($Z118*IFERROR(VLOOKUP($AA118,'02 Lists'!$A$5:$B$18,2,FALSE()),1)))</f>
        <v/>
      </c>
      <c r="AE118" s="140" t="n"/>
      <c r="AF118" s="147" t="n"/>
      <c r="AG118" s="141" t="n"/>
      <c r="AH118" s="148" t="n"/>
      <c r="AI118" s="149" t="n"/>
      <c r="AJ118" s="150">
        <f>IF(OR($AH118="",$AF118="",$AF118=0),"",$AH118/(1+IF(IFERROR(INDEX('03 Suppliers'!$N$5:$N$34,MATCH($AE118,'03 Suppliers'!$B$5:$B$34,0)),"Excl VAT")="Incl VAT",'01 Control'!$C$6,0))/($AF118*IFERROR(VLOOKUP($AG118,'02 Lists'!$A$5:$B$18,2,FALSE()),1)))</f>
        <v/>
      </c>
      <c r="AK118" s="151">
        <f>IF(COUNT(L118,R118,X118,AD118,AJ118)=0,"",MIN(L118,R118,X118,AD118,AJ118))</f>
        <v/>
      </c>
      <c r="AL118" s="126">
        <f>IF($AK118="","",IF(L118=$AK118,$G118,IF(R118=$AK118,$M118,IF(X118=$AK118,$S118,IF(AD118=$AK118,$Y118,IF(AJ118=$AK118,$AE118,""))))))</f>
        <v/>
      </c>
      <c r="AM118" s="151">
        <f>IF($AK118="","",$AK118/IF($E118="",1,$E118))</f>
        <v/>
      </c>
      <c r="AN118" s="152">
        <f>COUNT(L118,R118,X118,AD118,AJ118)</f>
        <v/>
      </c>
      <c r="AO118" s="150">
        <f>IF(COUNT(L118,R118,X118,AD118,AJ118)=0,"",MAX(L118,R118,X118,AD118,AJ118))</f>
        <v/>
      </c>
      <c r="AP118" s="153">
        <f>IF(OR($AK118="",$AO118="",$AO118=0),"",($AO118-$AK118)/$AO118)</f>
        <v/>
      </c>
      <c r="AQ118" s="154">
        <f>IF($AK118="","",IF(L118=$AK118,$K118,IF(R118=$AK118,$Q118,IF(X118=$AK118,$W118,IF(AD118=$AK118,$AC118,IF(AJ118=$AK118,$AI118,""))))))</f>
        <v/>
      </c>
    </row>
    <row r="119" ht="15" customHeight="1" s="106">
      <c r="A119" s="134" t="inlineStr">
        <is>
          <t>PP-BEV-WATER-PANNA</t>
        </is>
      </c>
      <c r="B119" s="138" t="inlineStr">
        <is>
          <t>Beverage</t>
        </is>
      </c>
      <c r="C119" s="113" t="inlineStr">
        <is>
          <t>Acqua Panna 250 ml</t>
        </is>
      </c>
      <c r="D119" s="139" t="inlineStr">
        <is>
          <t>ea</t>
        </is>
      </c>
      <c r="E119" s="146" t="n">
        <v>1</v>
      </c>
      <c r="F119" s="116" t="inlineStr">
        <is>
          <t>Premium bottled water</t>
        </is>
      </c>
      <c r="G119" s="140" t="n"/>
      <c r="H119" s="147" t="n"/>
      <c r="I119" s="141" t="n"/>
      <c r="J119" s="148" t="n"/>
      <c r="K119" s="149" t="n"/>
      <c r="L119" s="150">
        <f>IF(OR($J119="",$H119="",$H119=0),"",$J119/(1+IF(IFERROR(INDEX('03 Suppliers'!$N$5:$N$34,MATCH($G119,'03 Suppliers'!$B$5:$B$34,0)),"Excl VAT")="Incl VAT",'01 Control'!$C$6,0))/($H119*IFERROR(VLOOKUP($I119,'02 Lists'!$A$5:$B$18,2,FALSE()),1)))</f>
        <v/>
      </c>
      <c r="M119" s="140" t="n"/>
      <c r="N119" s="147" t="n"/>
      <c r="O119" s="141" t="n"/>
      <c r="P119" s="148" t="n"/>
      <c r="Q119" s="149" t="n"/>
      <c r="R119" s="150">
        <f>IF(OR($P119="",$N119="",$N119=0),"",$P119/(1+IF(IFERROR(INDEX('03 Suppliers'!$N$5:$N$34,MATCH($M119,'03 Suppliers'!$B$5:$B$34,0)),"Excl VAT")="Incl VAT",'01 Control'!$C$6,0))/($N119*IFERROR(VLOOKUP($O119,'02 Lists'!$A$5:$B$18,2,FALSE()),1)))</f>
        <v/>
      </c>
      <c r="S119" s="140" t="n"/>
      <c r="T119" s="147" t="n"/>
      <c r="U119" s="141" t="n"/>
      <c r="V119" s="148" t="n"/>
      <c r="W119" s="149" t="n"/>
      <c r="X119" s="150">
        <f>IF(OR($V119="",$T119="",$T119=0),"",$V119/(1+IF(IFERROR(INDEX('03 Suppliers'!$N$5:$N$34,MATCH($S119,'03 Suppliers'!$B$5:$B$34,0)),"Excl VAT")="Incl VAT",'01 Control'!$C$6,0))/($T119*IFERROR(VLOOKUP($U119,'02 Lists'!$A$5:$B$18,2,FALSE()),1)))</f>
        <v/>
      </c>
      <c r="Y119" s="140" t="n"/>
      <c r="Z119" s="147" t="n"/>
      <c r="AA119" s="141" t="n"/>
      <c r="AB119" s="148" t="n"/>
      <c r="AC119" s="149" t="n"/>
      <c r="AD119" s="150">
        <f>IF(OR($AB119="",$Z119="",$Z119=0),"",$AB119/(1+IF(IFERROR(INDEX('03 Suppliers'!$N$5:$N$34,MATCH($Y119,'03 Suppliers'!$B$5:$B$34,0)),"Excl VAT")="Incl VAT",'01 Control'!$C$6,0))/($Z119*IFERROR(VLOOKUP($AA119,'02 Lists'!$A$5:$B$18,2,FALSE()),1)))</f>
        <v/>
      </c>
      <c r="AE119" s="140" t="n"/>
      <c r="AF119" s="147" t="n"/>
      <c r="AG119" s="141" t="n"/>
      <c r="AH119" s="148" t="n"/>
      <c r="AI119" s="149" t="n"/>
      <c r="AJ119" s="150">
        <f>IF(OR($AH119="",$AF119="",$AF119=0),"",$AH119/(1+IF(IFERROR(INDEX('03 Suppliers'!$N$5:$N$34,MATCH($AE119,'03 Suppliers'!$B$5:$B$34,0)),"Excl VAT")="Incl VAT",'01 Control'!$C$6,0))/($AF119*IFERROR(VLOOKUP($AG119,'02 Lists'!$A$5:$B$18,2,FALSE()),1)))</f>
        <v/>
      </c>
      <c r="AK119" s="151">
        <f>IF(COUNT(L119,R119,X119,AD119,AJ119)=0,"",MIN(L119,R119,X119,AD119,AJ119))</f>
        <v/>
      </c>
      <c r="AL119" s="126">
        <f>IF($AK119="","",IF(L119=$AK119,$G119,IF(R119=$AK119,$M119,IF(X119=$AK119,$S119,IF(AD119=$AK119,$Y119,IF(AJ119=$AK119,$AE119,""))))))</f>
        <v/>
      </c>
      <c r="AM119" s="151">
        <f>IF($AK119="","",$AK119/IF($E119="",1,$E119))</f>
        <v/>
      </c>
      <c r="AN119" s="152">
        <f>COUNT(L119,R119,X119,AD119,AJ119)</f>
        <v/>
      </c>
      <c r="AO119" s="150">
        <f>IF(COUNT(L119,R119,X119,AD119,AJ119)=0,"",MAX(L119,R119,X119,AD119,AJ119))</f>
        <v/>
      </c>
      <c r="AP119" s="153">
        <f>IF(OR($AK119="",$AO119="",$AO119=0),"",($AO119-$AK119)/$AO119)</f>
        <v/>
      </c>
      <c r="AQ119" s="154">
        <f>IF($AK119="","",IF(L119=$AK119,$K119,IF(R119=$AK119,$Q119,IF(X119=$AK119,$W119,IF(AD119=$AK119,$AC119,IF(AJ119=$AK119,$AI119,""))))))</f>
        <v/>
      </c>
    </row>
    <row r="120" ht="15" customHeight="1" s="106">
      <c r="A120" s="134" t="inlineStr">
        <is>
          <t>PP-BEV-WATER-FILTERED</t>
        </is>
      </c>
      <c r="B120" s="138" t="inlineStr">
        <is>
          <t>Beverage</t>
        </is>
      </c>
      <c r="C120" s="113" t="inlineStr">
        <is>
          <t>Filtered water for slushee / post-mix</t>
        </is>
      </c>
      <c r="D120" s="139" t="inlineStr">
        <is>
          <t>ml</t>
        </is>
      </c>
      <c r="E120" s="146" t="n">
        <v>1</v>
      </c>
      <c r="F120" s="116" t="inlineStr">
        <is>
          <t>Cost per litre through the filter</t>
        </is>
      </c>
      <c r="G120" s="140" t="n"/>
      <c r="H120" s="147" t="n"/>
      <c r="I120" s="141" t="n"/>
      <c r="J120" s="148" t="n"/>
      <c r="K120" s="149" t="n"/>
      <c r="L120" s="150">
        <f>IF(OR($J120="",$H120="",$H120=0),"",$J120/(1+IF(IFERROR(INDEX('03 Suppliers'!$N$5:$N$34,MATCH($G120,'03 Suppliers'!$B$5:$B$34,0)),"Excl VAT")="Incl VAT",'01 Control'!$C$6,0))/($H120*IFERROR(VLOOKUP($I120,'02 Lists'!$A$5:$B$18,2,FALSE()),1)))</f>
        <v/>
      </c>
      <c r="M120" s="140" t="n"/>
      <c r="N120" s="147" t="n"/>
      <c r="O120" s="141" t="n"/>
      <c r="P120" s="148" t="n"/>
      <c r="Q120" s="149" t="n"/>
      <c r="R120" s="150">
        <f>IF(OR($P120="",$N120="",$N120=0),"",$P120/(1+IF(IFERROR(INDEX('03 Suppliers'!$N$5:$N$34,MATCH($M120,'03 Suppliers'!$B$5:$B$34,0)),"Excl VAT")="Incl VAT",'01 Control'!$C$6,0))/($N120*IFERROR(VLOOKUP($O120,'02 Lists'!$A$5:$B$18,2,FALSE()),1)))</f>
        <v/>
      </c>
      <c r="S120" s="140" t="n"/>
      <c r="T120" s="147" t="n"/>
      <c r="U120" s="141" t="n"/>
      <c r="V120" s="148" t="n"/>
      <c r="W120" s="149" t="n"/>
      <c r="X120" s="150">
        <f>IF(OR($V120="",$T120="",$T120=0),"",$V120/(1+IF(IFERROR(INDEX('03 Suppliers'!$N$5:$N$34,MATCH($S120,'03 Suppliers'!$B$5:$B$34,0)),"Excl VAT")="Incl VAT",'01 Control'!$C$6,0))/($T120*IFERROR(VLOOKUP($U120,'02 Lists'!$A$5:$B$18,2,FALSE()),1)))</f>
        <v/>
      </c>
      <c r="Y120" s="140" t="n"/>
      <c r="Z120" s="147" t="n"/>
      <c r="AA120" s="141" t="n"/>
      <c r="AB120" s="148" t="n"/>
      <c r="AC120" s="149" t="n"/>
      <c r="AD120" s="150">
        <f>IF(OR($AB120="",$Z120="",$Z120=0),"",$AB120/(1+IF(IFERROR(INDEX('03 Suppliers'!$N$5:$N$34,MATCH($Y120,'03 Suppliers'!$B$5:$B$34,0)),"Excl VAT")="Incl VAT",'01 Control'!$C$6,0))/($Z120*IFERROR(VLOOKUP($AA120,'02 Lists'!$A$5:$B$18,2,FALSE()),1)))</f>
        <v/>
      </c>
      <c r="AE120" s="140" t="n"/>
      <c r="AF120" s="147" t="n"/>
      <c r="AG120" s="141" t="n"/>
      <c r="AH120" s="148" t="n"/>
      <c r="AI120" s="149" t="n"/>
      <c r="AJ120" s="150">
        <f>IF(OR($AH120="",$AF120="",$AF120=0),"",$AH120/(1+IF(IFERROR(INDEX('03 Suppliers'!$N$5:$N$34,MATCH($AE120,'03 Suppliers'!$B$5:$B$34,0)),"Excl VAT")="Incl VAT",'01 Control'!$C$6,0))/($AF120*IFERROR(VLOOKUP($AG120,'02 Lists'!$A$5:$B$18,2,FALSE()),1)))</f>
        <v/>
      </c>
      <c r="AK120" s="151">
        <f>IF(COUNT(L120,R120,X120,AD120,AJ120)=0,"",MIN(L120,R120,X120,AD120,AJ120))</f>
        <v/>
      </c>
      <c r="AL120" s="126">
        <f>IF($AK120="","",IF(L120=$AK120,$G120,IF(R120=$AK120,$M120,IF(X120=$AK120,$S120,IF(AD120=$AK120,$Y120,IF(AJ120=$AK120,$AE120,""))))))</f>
        <v/>
      </c>
      <c r="AM120" s="151">
        <f>IF($AK120="","",$AK120/IF($E120="",1,$E120))</f>
        <v/>
      </c>
      <c r="AN120" s="152">
        <f>COUNT(L120,R120,X120,AD120,AJ120)</f>
        <v/>
      </c>
      <c r="AO120" s="150">
        <f>IF(COUNT(L120,R120,X120,AD120,AJ120)=0,"",MAX(L120,R120,X120,AD120,AJ120))</f>
        <v/>
      </c>
      <c r="AP120" s="153">
        <f>IF(OR($AK120="",$AO120="",$AO120=0),"",($AO120-$AK120)/$AO120)</f>
        <v/>
      </c>
      <c r="AQ120" s="154">
        <f>IF($AK120="","",IF(L120=$AK120,$K120,IF(R120=$AK120,$Q120,IF(X120=$AK120,$W120,IF(AD120=$AK120,$AC120,IF(AJ120=$AK120,$AI120,""))))))</f>
        <v/>
      </c>
    </row>
    <row r="121" ht="15" customHeight="1" s="106">
      <c r="A121" s="140" t="n"/>
      <c r="B121" s="140" t="n"/>
      <c r="C121" s="140" t="n"/>
      <c r="D121" s="141" t="n"/>
      <c r="E121" s="146" t="n"/>
      <c r="F121" s="140" t="n"/>
      <c r="G121" s="140" t="n"/>
      <c r="H121" s="147" t="n"/>
      <c r="I121" s="141" t="n"/>
      <c r="J121" s="148" t="n"/>
      <c r="K121" s="149" t="n"/>
      <c r="L121" s="150">
        <f>IF(OR($J121="",$H121="",$H121=0),"",$J121/(1+IF(IFERROR(INDEX('03 Suppliers'!$N$5:$N$34,MATCH($G121,'03 Suppliers'!$B$5:$B$34,0)),"Excl VAT")="Incl VAT",'01 Control'!$C$6,0))/($H121*IFERROR(VLOOKUP($I121,'02 Lists'!$A$5:$B$18,2,FALSE()),1)))</f>
        <v/>
      </c>
      <c r="M121" s="140" t="n"/>
      <c r="N121" s="147" t="n"/>
      <c r="O121" s="141" t="n"/>
      <c r="P121" s="148" t="n"/>
      <c r="Q121" s="149" t="n"/>
      <c r="R121" s="150">
        <f>IF(OR($P121="",$N121="",$N121=0),"",$P121/(1+IF(IFERROR(INDEX('03 Suppliers'!$N$5:$N$34,MATCH($M121,'03 Suppliers'!$B$5:$B$34,0)),"Excl VAT")="Incl VAT",'01 Control'!$C$6,0))/($N121*IFERROR(VLOOKUP($O121,'02 Lists'!$A$5:$B$18,2,FALSE()),1)))</f>
        <v/>
      </c>
      <c r="S121" s="140" t="n"/>
      <c r="T121" s="147" t="n"/>
      <c r="U121" s="141" t="n"/>
      <c r="V121" s="148" t="n"/>
      <c r="W121" s="149" t="n"/>
      <c r="X121" s="150">
        <f>IF(OR($V121="",$T121="",$T121=0),"",$V121/(1+IF(IFERROR(INDEX('03 Suppliers'!$N$5:$N$34,MATCH($S121,'03 Suppliers'!$B$5:$B$34,0)),"Excl VAT")="Incl VAT",'01 Control'!$C$6,0))/($T121*IFERROR(VLOOKUP($U121,'02 Lists'!$A$5:$B$18,2,FALSE()),1)))</f>
        <v/>
      </c>
      <c r="Y121" s="140" t="n"/>
      <c r="Z121" s="147" t="n"/>
      <c r="AA121" s="141" t="n"/>
      <c r="AB121" s="148" t="n"/>
      <c r="AC121" s="149" t="n"/>
      <c r="AD121" s="150">
        <f>IF(OR($AB121="",$Z121="",$Z121=0),"",$AB121/(1+IF(IFERROR(INDEX('03 Suppliers'!$N$5:$N$34,MATCH($Y121,'03 Suppliers'!$B$5:$B$34,0)),"Excl VAT")="Incl VAT",'01 Control'!$C$6,0))/($Z121*IFERROR(VLOOKUP($AA121,'02 Lists'!$A$5:$B$18,2,FALSE()),1)))</f>
        <v/>
      </c>
      <c r="AE121" s="140" t="n"/>
      <c r="AF121" s="147" t="n"/>
      <c r="AG121" s="141" t="n"/>
      <c r="AH121" s="148" t="n"/>
      <c r="AI121" s="149" t="n"/>
      <c r="AJ121" s="150">
        <f>IF(OR($AH121="",$AF121="",$AF121=0),"",$AH121/(1+IF(IFERROR(INDEX('03 Suppliers'!$N$5:$N$34,MATCH($AE121,'03 Suppliers'!$B$5:$B$34,0)),"Excl VAT")="Incl VAT",'01 Control'!$C$6,0))/($AF121*IFERROR(VLOOKUP($AG121,'02 Lists'!$A$5:$B$18,2,FALSE()),1)))</f>
        <v/>
      </c>
      <c r="AK121" s="151">
        <f>IF(COUNT(L121,R121,X121,AD121,AJ121)=0,"",MIN(L121,R121,X121,AD121,AJ121))</f>
        <v/>
      </c>
      <c r="AL121" s="126">
        <f>IF($AK121="","",IF(L121=$AK121,$G121,IF(R121=$AK121,$M121,IF(X121=$AK121,$S121,IF(AD121=$AK121,$Y121,IF(AJ121=$AK121,$AE121,""))))))</f>
        <v/>
      </c>
      <c r="AM121" s="151">
        <f>IF($AK121="","",$AK121/IF($E121="",1,$E121))</f>
        <v/>
      </c>
      <c r="AN121" s="152">
        <f>COUNT(L121,R121,X121,AD121,AJ121)</f>
        <v/>
      </c>
      <c r="AO121" s="150">
        <f>IF(COUNT(L121,R121,X121,AD121,AJ121)=0,"",MAX(L121,R121,X121,AD121,AJ121))</f>
        <v/>
      </c>
      <c r="AP121" s="153">
        <f>IF(OR($AK121="",$AO121="",$AO121=0),"",($AO121-$AK121)/$AO121)</f>
        <v/>
      </c>
      <c r="AQ121" s="154">
        <f>IF($AK121="","",IF(L121=$AK121,$K121,IF(R121=$AK121,$Q121,IF(X121=$AK121,$W121,IF(AD121=$AK121,$AC121,IF(AJ121=$AK121,$AI121,""))))))</f>
        <v/>
      </c>
    </row>
    <row r="122" ht="15" customHeight="1" s="106">
      <c r="A122" s="140" t="n"/>
      <c r="B122" s="140" t="n"/>
      <c r="C122" s="140" t="n"/>
      <c r="D122" s="141" t="n"/>
      <c r="E122" s="146" t="n"/>
      <c r="F122" s="140" t="n"/>
      <c r="G122" s="140" t="n"/>
      <c r="H122" s="147" t="n"/>
      <c r="I122" s="141" t="n"/>
      <c r="J122" s="148" t="n"/>
      <c r="K122" s="149" t="n"/>
      <c r="L122" s="150">
        <f>IF(OR($J122="",$H122="",$H122=0),"",$J122/(1+IF(IFERROR(INDEX('03 Suppliers'!$N$5:$N$34,MATCH($G122,'03 Suppliers'!$B$5:$B$34,0)),"Excl VAT")="Incl VAT",'01 Control'!$C$6,0))/($H122*IFERROR(VLOOKUP($I122,'02 Lists'!$A$5:$B$18,2,FALSE()),1)))</f>
        <v/>
      </c>
      <c r="M122" s="140" t="n"/>
      <c r="N122" s="147" t="n"/>
      <c r="O122" s="141" t="n"/>
      <c r="P122" s="148" t="n"/>
      <c r="Q122" s="149" t="n"/>
      <c r="R122" s="150">
        <f>IF(OR($P122="",$N122="",$N122=0),"",$P122/(1+IF(IFERROR(INDEX('03 Suppliers'!$N$5:$N$34,MATCH($M122,'03 Suppliers'!$B$5:$B$34,0)),"Excl VAT")="Incl VAT",'01 Control'!$C$6,0))/($N122*IFERROR(VLOOKUP($O122,'02 Lists'!$A$5:$B$18,2,FALSE()),1)))</f>
        <v/>
      </c>
      <c r="S122" s="140" t="n"/>
      <c r="T122" s="147" t="n"/>
      <c r="U122" s="141" t="n"/>
      <c r="V122" s="148" t="n"/>
      <c r="W122" s="149" t="n"/>
      <c r="X122" s="150">
        <f>IF(OR($V122="",$T122="",$T122=0),"",$V122/(1+IF(IFERROR(INDEX('03 Suppliers'!$N$5:$N$34,MATCH($S122,'03 Suppliers'!$B$5:$B$34,0)),"Excl VAT")="Incl VAT",'01 Control'!$C$6,0))/($T122*IFERROR(VLOOKUP($U122,'02 Lists'!$A$5:$B$18,2,FALSE()),1)))</f>
        <v/>
      </c>
      <c r="Y122" s="140" t="n"/>
      <c r="Z122" s="147" t="n"/>
      <c r="AA122" s="141" t="n"/>
      <c r="AB122" s="148" t="n"/>
      <c r="AC122" s="149" t="n"/>
      <c r="AD122" s="150">
        <f>IF(OR($AB122="",$Z122="",$Z122=0),"",$AB122/(1+IF(IFERROR(INDEX('03 Suppliers'!$N$5:$N$34,MATCH($Y122,'03 Suppliers'!$B$5:$B$34,0)),"Excl VAT")="Incl VAT",'01 Control'!$C$6,0))/($Z122*IFERROR(VLOOKUP($AA122,'02 Lists'!$A$5:$B$18,2,FALSE()),1)))</f>
        <v/>
      </c>
      <c r="AE122" s="140" t="n"/>
      <c r="AF122" s="147" t="n"/>
      <c r="AG122" s="141" t="n"/>
      <c r="AH122" s="148" t="n"/>
      <c r="AI122" s="149" t="n"/>
      <c r="AJ122" s="150">
        <f>IF(OR($AH122="",$AF122="",$AF122=0),"",$AH122/(1+IF(IFERROR(INDEX('03 Suppliers'!$N$5:$N$34,MATCH($AE122,'03 Suppliers'!$B$5:$B$34,0)),"Excl VAT")="Incl VAT",'01 Control'!$C$6,0))/($AF122*IFERROR(VLOOKUP($AG122,'02 Lists'!$A$5:$B$18,2,FALSE()),1)))</f>
        <v/>
      </c>
      <c r="AK122" s="151">
        <f>IF(COUNT(L122,R122,X122,AD122,AJ122)=0,"",MIN(L122,R122,X122,AD122,AJ122))</f>
        <v/>
      </c>
      <c r="AL122" s="126">
        <f>IF($AK122="","",IF(L122=$AK122,$G122,IF(R122=$AK122,$M122,IF(X122=$AK122,$S122,IF(AD122=$AK122,$Y122,IF(AJ122=$AK122,$AE122,""))))))</f>
        <v/>
      </c>
      <c r="AM122" s="151">
        <f>IF($AK122="","",$AK122/IF($E122="",1,$E122))</f>
        <v/>
      </c>
      <c r="AN122" s="152">
        <f>COUNT(L122,R122,X122,AD122,AJ122)</f>
        <v/>
      </c>
      <c r="AO122" s="150">
        <f>IF(COUNT(L122,R122,X122,AD122,AJ122)=0,"",MAX(L122,R122,X122,AD122,AJ122))</f>
        <v/>
      </c>
      <c r="AP122" s="153">
        <f>IF(OR($AK122="",$AO122="",$AO122=0),"",($AO122-$AK122)/$AO122)</f>
        <v/>
      </c>
      <c r="AQ122" s="154">
        <f>IF($AK122="","",IF(L122=$AK122,$K122,IF(R122=$AK122,$Q122,IF(X122=$AK122,$W122,IF(AD122=$AK122,$AC122,IF(AJ122=$AK122,$AI122,""))))))</f>
        <v/>
      </c>
    </row>
    <row r="123" ht="15" customHeight="1" s="106">
      <c r="A123" s="140" t="n"/>
      <c r="B123" s="140" t="n"/>
      <c r="C123" s="140" t="n"/>
      <c r="D123" s="141" t="n"/>
      <c r="E123" s="146" t="n"/>
      <c r="F123" s="140" t="n"/>
      <c r="G123" s="140" t="n"/>
      <c r="H123" s="147" t="n"/>
      <c r="I123" s="141" t="n"/>
      <c r="J123" s="148" t="n"/>
      <c r="K123" s="149" t="n"/>
      <c r="L123" s="150">
        <f>IF(OR($J123="",$H123="",$H123=0),"",$J123/(1+IF(IFERROR(INDEX('03 Suppliers'!$N$5:$N$34,MATCH($G123,'03 Suppliers'!$B$5:$B$34,0)),"Excl VAT")="Incl VAT",'01 Control'!$C$6,0))/($H123*IFERROR(VLOOKUP($I123,'02 Lists'!$A$5:$B$18,2,FALSE()),1)))</f>
        <v/>
      </c>
      <c r="M123" s="140" t="n"/>
      <c r="N123" s="147" t="n"/>
      <c r="O123" s="141" t="n"/>
      <c r="P123" s="148" t="n"/>
      <c r="Q123" s="149" t="n"/>
      <c r="R123" s="150">
        <f>IF(OR($P123="",$N123="",$N123=0),"",$P123/(1+IF(IFERROR(INDEX('03 Suppliers'!$N$5:$N$34,MATCH($M123,'03 Suppliers'!$B$5:$B$34,0)),"Excl VAT")="Incl VAT",'01 Control'!$C$6,0))/($N123*IFERROR(VLOOKUP($O123,'02 Lists'!$A$5:$B$18,2,FALSE()),1)))</f>
        <v/>
      </c>
      <c r="S123" s="140" t="n"/>
      <c r="T123" s="147" t="n"/>
      <c r="U123" s="141" t="n"/>
      <c r="V123" s="148" t="n"/>
      <c r="W123" s="149" t="n"/>
      <c r="X123" s="150">
        <f>IF(OR($V123="",$T123="",$T123=0),"",$V123/(1+IF(IFERROR(INDEX('03 Suppliers'!$N$5:$N$34,MATCH($S123,'03 Suppliers'!$B$5:$B$34,0)),"Excl VAT")="Incl VAT",'01 Control'!$C$6,0))/($T123*IFERROR(VLOOKUP($U123,'02 Lists'!$A$5:$B$18,2,FALSE()),1)))</f>
        <v/>
      </c>
      <c r="Y123" s="140" t="n"/>
      <c r="Z123" s="147" t="n"/>
      <c r="AA123" s="141" t="n"/>
      <c r="AB123" s="148" t="n"/>
      <c r="AC123" s="149" t="n"/>
      <c r="AD123" s="150">
        <f>IF(OR($AB123="",$Z123="",$Z123=0),"",$AB123/(1+IF(IFERROR(INDEX('03 Suppliers'!$N$5:$N$34,MATCH($Y123,'03 Suppliers'!$B$5:$B$34,0)),"Excl VAT")="Incl VAT",'01 Control'!$C$6,0))/($Z123*IFERROR(VLOOKUP($AA123,'02 Lists'!$A$5:$B$18,2,FALSE()),1)))</f>
        <v/>
      </c>
      <c r="AE123" s="140" t="n"/>
      <c r="AF123" s="147" t="n"/>
      <c r="AG123" s="141" t="n"/>
      <c r="AH123" s="148" t="n"/>
      <c r="AI123" s="149" t="n"/>
      <c r="AJ123" s="150">
        <f>IF(OR($AH123="",$AF123="",$AF123=0),"",$AH123/(1+IF(IFERROR(INDEX('03 Suppliers'!$N$5:$N$34,MATCH($AE123,'03 Suppliers'!$B$5:$B$34,0)),"Excl VAT")="Incl VAT",'01 Control'!$C$6,0))/($AF123*IFERROR(VLOOKUP($AG123,'02 Lists'!$A$5:$B$18,2,FALSE()),1)))</f>
        <v/>
      </c>
      <c r="AK123" s="151">
        <f>IF(COUNT(L123,R123,X123,AD123,AJ123)=0,"",MIN(L123,R123,X123,AD123,AJ123))</f>
        <v/>
      </c>
      <c r="AL123" s="126">
        <f>IF($AK123="","",IF(L123=$AK123,$G123,IF(R123=$AK123,$M123,IF(X123=$AK123,$S123,IF(AD123=$AK123,$Y123,IF(AJ123=$AK123,$AE123,""))))))</f>
        <v/>
      </c>
      <c r="AM123" s="151">
        <f>IF($AK123="","",$AK123/IF($E123="",1,$E123))</f>
        <v/>
      </c>
      <c r="AN123" s="152">
        <f>COUNT(L123,R123,X123,AD123,AJ123)</f>
        <v/>
      </c>
      <c r="AO123" s="150">
        <f>IF(COUNT(L123,R123,X123,AD123,AJ123)=0,"",MAX(L123,R123,X123,AD123,AJ123))</f>
        <v/>
      </c>
      <c r="AP123" s="153">
        <f>IF(OR($AK123="",$AO123="",$AO123=0),"",($AO123-$AK123)/$AO123)</f>
        <v/>
      </c>
      <c r="AQ123" s="154">
        <f>IF($AK123="","",IF(L123=$AK123,$K123,IF(R123=$AK123,$Q123,IF(X123=$AK123,$W123,IF(AD123=$AK123,$AC123,IF(AJ123=$AK123,$AI123,""))))))</f>
        <v/>
      </c>
    </row>
    <row r="124" ht="15" customHeight="1" s="106">
      <c r="A124" s="140" t="n"/>
      <c r="B124" s="140" t="n"/>
      <c r="C124" s="140" t="n"/>
      <c r="D124" s="141" t="n"/>
      <c r="E124" s="146" t="n"/>
      <c r="F124" s="140" t="n"/>
      <c r="G124" s="140" t="n"/>
      <c r="H124" s="147" t="n"/>
      <c r="I124" s="141" t="n"/>
      <c r="J124" s="148" t="n"/>
      <c r="K124" s="149" t="n"/>
      <c r="L124" s="150">
        <f>IF(OR($J124="",$H124="",$H124=0),"",$J124/(1+IF(IFERROR(INDEX('03 Suppliers'!$N$5:$N$34,MATCH($G124,'03 Suppliers'!$B$5:$B$34,0)),"Excl VAT")="Incl VAT",'01 Control'!$C$6,0))/($H124*IFERROR(VLOOKUP($I124,'02 Lists'!$A$5:$B$18,2,FALSE()),1)))</f>
        <v/>
      </c>
      <c r="M124" s="140" t="n"/>
      <c r="N124" s="147" t="n"/>
      <c r="O124" s="141" t="n"/>
      <c r="P124" s="148" t="n"/>
      <c r="Q124" s="149" t="n"/>
      <c r="R124" s="150">
        <f>IF(OR($P124="",$N124="",$N124=0),"",$P124/(1+IF(IFERROR(INDEX('03 Suppliers'!$N$5:$N$34,MATCH($M124,'03 Suppliers'!$B$5:$B$34,0)),"Excl VAT")="Incl VAT",'01 Control'!$C$6,0))/($N124*IFERROR(VLOOKUP($O124,'02 Lists'!$A$5:$B$18,2,FALSE()),1)))</f>
        <v/>
      </c>
      <c r="S124" s="140" t="n"/>
      <c r="T124" s="147" t="n"/>
      <c r="U124" s="141" t="n"/>
      <c r="V124" s="148" t="n"/>
      <c r="W124" s="149" t="n"/>
      <c r="X124" s="150">
        <f>IF(OR($V124="",$T124="",$T124=0),"",$V124/(1+IF(IFERROR(INDEX('03 Suppliers'!$N$5:$N$34,MATCH($S124,'03 Suppliers'!$B$5:$B$34,0)),"Excl VAT")="Incl VAT",'01 Control'!$C$6,0))/($T124*IFERROR(VLOOKUP($U124,'02 Lists'!$A$5:$B$18,2,FALSE()),1)))</f>
        <v/>
      </c>
      <c r="Y124" s="140" t="n"/>
      <c r="Z124" s="147" t="n"/>
      <c r="AA124" s="141" t="n"/>
      <c r="AB124" s="148" t="n"/>
      <c r="AC124" s="149" t="n"/>
      <c r="AD124" s="150">
        <f>IF(OR($AB124="",$Z124="",$Z124=0),"",$AB124/(1+IF(IFERROR(INDEX('03 Suppliers'!$N$5:$N$34,MATCH($Y124,'03 Suppliers'!$B$5:$B$34,0)),"Excl VAT")="Incl VAT",'01 Control'!$C$6,0))/($Z124*IFERROR(VLOOKUP($AA124,'02 Lists'!$A$5:$B$18,2,FALSE()),1)))</f>
        <v/>
      </c>
      <c r="AE124" s="140" t="n"/>
      <c r="AF124" s="147" t="n"/>
      <c r="AG124" s="141" t="n"/>
      <c r="AH124" s="148" t="n"/>
      <c r="AI124" s="149" t="n"/>
      <c r="AJ124" s="150">
        <f>IF(OR($AH124="",$AF124="",$AF124=0),"",$AH124/(1+IF(IFERROR(INDEX('03 Suppliers'!$N$5:$N$34,MATCH($AE124,'03 Suppliers'!$B$5:$B$34,0)),"Excl VAT")="Incl VAT",'01 Control'!$C$6,0))/($AF124*IFERROR(VLOOKUP($AG124,'02 Lists'!$A$5:$B$18,2,FALSE()),1)))</f>
        <v/>
      </c>
      <c r="AK124" s="151">
        <f>IF(COUNT(L124,R124,X124,AD124,AJ124)=0,"",MIN(L124,R124,X124,AD124,AJ124))</f>
        <v/>
      </c>
      <c r="AL124" s="126">
        <f>IF($AK124="","",IF(L124=$AK124,$G124,IF(R124=$AK124,$M124,IF(X124=$AK124,$S124,IF(AD124=$AK124,$Y124,IF(AJ124=$AK124,$AE124,""))))))</f>
        <v/>
      </c>
      <c r="AM124" s="151">
        <f>IF($AK124="","",$AK124/IF($E124="",1,$E124))</f>
        <v/>
      </c>
      <c r="AN124" s="152">
        <f>COUNT(L124,R124,X124,AD124,AJ124)</f>
        <v/>
      </c>
      <c r="AO124" s="150">
        <f>IF(COUNT(L124,R124,X124,AD124,AJ124)=0,"",MAX(L124,R124,X124,AD124,AJ124))</f>
        <v/>
      </c>
      <c r="AP124" s="153">
        <f>IF(OR($AK124="",$AO124="",$AO124=0),"",($AO124-$AK124)/$AO124)</f>
        <v/>
      </c>
      <c r="AQ124" s="154">
        <f>IF($AK124="","",IF(L124=$AK124,$K124,IF(R124=$AK124,$Q124,IF(X124=$AK124,$W124,IF(AD124=$AK124,$AC124,IF(AJ124=$AK124,$AI124,""))))))</f>
        <v/>
      </c>
    </row>
    <row r="125" ht="15" customHeight="1" s="106">
      <c r="A125" s="140" t="n"/>
      <c r="B125" s="140" t="n"/>
      <c r="C125" s="140" t="n"/>
      <c r="D125" s="141" t="n"/>
      <c r="E125" s="146" t="n"/>
      <c r="F125" s="140" t="n"/>
      <c r="G125" s="140" t="n"/>
      <c r="H125" s="147" t="n"/>
      <c r="I125" s="141" t="n"/>
      <c r="J125" s="148" t="n"/>
      <c r="K125" s="149" t="n"/>
      <c r="L125" s="150">
        <f>IF(OR($J125="",$H125="",$H125=0),"",$J125/(1+IF(IFERROR(INDEX('03 Suppliers'!$N$5:$N$34,MATCH($G125,'03 Suppliers'!$B$5:$B$34,0)),"Excl VAT")="Incl VAT",'01 Control'!$C$6,0))/($H125*IFERROR(VLOOKUP($I125,'02 Lists'!$A$5:$B$18,2,FALSE()),1)))</f>
        <v/>
      </c>
      <c r="M125" s="140" t="n"/>
      <c r="N125" s="147" t="n"/>
      <c r="O125" s="141" t="n"/>
      <c r="P125" s="148" t="n"/>
      <c r="Q125" s="149" t="n"/>
      <c r="R125" s="150">
        <f>IF(OR($P125="",$N125="",$N125=0),"",$P125/(1+IF(IFERROR(INDEX('03 Suppliers'!$N$5:$N$34,MATCH($M125,'03 Suppliers'!$B$5:$B$34,0)),"Excl VAT")="Incl VAT",'01 Control'!$C$6,0))/($N125*IFERROR(VLOOKUP($O125,'02 Lists'!$A$5:$B$18,2,FALSE()),1)))</f>
        <v/>
      </c>
      <c r="S125" s="140" t="n"/>
      <c r="T125" s="147" t="n"/>
      <c r="U125" s="141" t="n"/>
      <c r="V125" s="148" t="n"/>
      <c r="W125" s="149" t="n"/>
      <c r="X125" s="150">
        <f>IF(OR($V125="",$T125="",$T125=0),"",$V125/(1+IF(IFERROR(INDEX('03 Suppliers'!$N$5:$N$34,MATCH($S125,'03 Suppliers'!$B$5:$B$34,0)),"Excl VAT")="Incl VAT",'01 Control'!$C$6,0))/($T125*IFERROR(VLOOKUP($U125,'02 Lists'!$A$5:$B$18,2,FALSE()),1)))</f>
        <v/>
      </c>
      <c r="Y125" s="140" t="n"/>
      <c r="Z125" s="147" t="n"/>
      <c r="AA125" s="141" t="n"/>
      <c r="AB125" s="148" t="n"/>
      <c r="AC125" s="149" t="n"/>
      <c r="AD125" s="150">
        <f>IF(OR($AB125="",$Z125="",$Z125=0),"",$AB125/(1+IF(IFERROR(INDEX('03 Suppliers'!$N$5:$N$34,MATCH($Y125,'03 Suppliers'!$B$5:$B$34,0)),"Excl VAT")="Incl VAT",'01 Control'!$C$6,0))/($Z125*IFERROR(VLOOKUP($AA125,'02 Lists'!$A$5:$B$18,2,FALSE()),1)))</f>
        <v/>
      </c>
      <c r="AE125" s="140" t="n"/>
      <c r="AF125" s="147" t="n"/>
      <c r="AG125" s="141" t="n"/>
      <c r="AH125" s="148" t="n"/>
      <c r="AI125" s="149" t="n"/>
      <c r="AJ125" s="150">
        <f>IF(OR($AH125="",$AF125="",$AF125=0),"",$AH125/(1+IF(IFERROR(INDEX('03 Suppliers'!$N$5:$N$34,MATCH($AE125,'03 Suppliers'!$B$5:$B$34,0)),"Excl VAT")="Incl VAT",'01 Control'!$C$6,0))/($AF125*IFERROR(VLOOKUP($AG125,'02 Lists'!$A$5:$B$18,2,FALSE()),1)))</f>
        <v/>
      </c>
      <c r="AK125" s="151">
        <f>IF(COUNT(L125,R125,X125,AD125,AJ125)=0,"",MIN(L125,R125,X125,AD125,AJ125))</f>
        <v/>
      </c>
      <c r="AL125" s="126">
        <f>IF($AK125="","",IF(L125=$AK125,$G125,IF(R125=$AK125,$M125,IF(X125=$AK125,$S125,IF(AD125=$AK125,$Y125,IF(AJ125=$AK125,$AE125,""))))))</f>
        <v/>
      </c>
      <c r="AM125" s="151">
        <f>IF($AK125="","",$AK125/IF($E125="",1,$E125))</f>
        <v/>
      </c>
      <c r="AN125" s="152">
        <f>COUNT(L125,R125,X125,AD125,AJ125)</f>
        <v/>
      </c>
      <c r="AO125" s="150">
        <f>IF(COUNT(L125,R125,X125,AD125,AJ125)=0,"",MAX(L125,R125,X125,AD125,AJ125))</f>
        <v/>
      </c>
      <c r="AP125" s="153">
        <f>IF(OR($AK125="",$AO125="",$AO125=0),"",($AO125-$AK125)/$AO125)</f>
        <v/>
      </c>
      <c r="AQ125" s="154">
        <f>IF($AK125="","",IF(L125=$AK125,$K125,IF(R125=$AK125,$Q125,IF(X125=$AK125,$W125,IF(AD125=$AK125,$AC125,IF(AJ125=$AK125,$AI125,""))))))</f>
        <v/>
      </c>
    </row>
    <row r="126" ht="15" customHeight="1" s="106">
      <c r="A126" s="140" t="n"/>
      <c r="B126" s="140" t="n"/>
      <c r="C126" s="140" t="n"/>
      <c r="D126" s="141" t="n"/>
      <c r="E126" s="146" t="n"/>
      <c r="F126" s="140" t="n"/>
      <c r="G126" s="140" t="n"/>
      <c r="H126" s="147" t="n"/>
      <c r="I126" s="141" t="n"/>
      <c r="J126" s="148" t="n"/>
      <c r="K126" s="149" t="n"/>
      <c r="L126" s="150">
        <f>IF(OR($J126="",$H126="",$H126=0),"",$J126/(1+IF(IFERROR(INDEX('03 Suppliers'!$N$5:$N$34,MATCH($G126,'03 Suppliers'!$B$5:$B$34,0)),"Excl VAT")="Incl VAT",'01 Control'!$C$6,0))/($H126*IFERROR(VLOOKUP($I126,'02 Lists'!$A$5:$B$18,2,FALSE()),1)))</f>
        <v/>
      </c>
      <c r="M126" s="140" t="n"/>
      <c r="N126" s="147" t="n"/>
      <c r="O126" s="141" t="n"/>
      <c r="P126" s="148" t="n"/>
      <c r="Q126" s="149" t="n"/>
      <c r="R126" s="150">
        <f>IF(OR($P126="",$N126="",$N126=0),"",$P126/(1+IF(IFERROR(INDEX('03 Suppliers'!$N$5:$N$34,MATCH($M126,'03 Suppliers'!$B$5:$B$34,0)),"Excl VAT")="Incl VAT",'01 Control'!$C$6,0))/($N126*IFERROR(VLOOKUP($O126,'02 Lists'!$A$5:$B$18,2,FALSE()),1)))</f>
        <v/>
      </c>
      <c r="S126" s="140" t="n"/>
      <c r="T126" s="147" t="n"/>
      <c r="U126" s="141" t="n"/>
      <c r="V126" s="148" t="n"/>
      <c r="W126" s="149" t="n"/>
      <c r="X126" s="150">
        <f>IF(OR($V126="",$T126="",$T126=0),"",$V126/(1+IF(IFERROR(INDEX('03 Suppliers'!$N$5:$N$34,MATCH($S126,'03 Suppliers'!$B$5:$B$34,0)),"Excl VAT")="Incl VAT",'01 Control'!$C$6,0))/($T126*IFERROR(VLOOKUP($U126,'02 Lists'!$A$5:$B$18,2,FALSE()),1)))</f>
        <v/>
      </c>
      <c r="Y126" s="140" t="n"/>
      <c r="Z126" s="147" t="n"/>
      <c r="AA126" s="141" t="n"/>
      <c r="AB126" s="148" t="n"/>
      <c r="AC126" s="149" t="n"/>
      <c r="AD126" s="150">
        <f>IF(OR($AB126="",$Z126="",$Z126=0),"",$AB126/(1+IF(IFERROR(INDEX('03 Suppliers'!$N$5:$N$34,MATCH($Y126,'03 Suppliers'!$B$5:$B$34,0)),"Excl VAT")="Incl VAT",'01 Control'!$C$6,0))/($Z126*IFERROR(VLOOKUP($AA126,'02 Lists'!$A$5:$B$18,2,FALSE()),1)))</f>
        <v/>
      </c>
      <c r="AE126" s="140" t="n"/>
      <c r="AF126" s="147" t="n"/>
      <c r="AG126" s="141" t="n"/>
      <c r="AH126" s="148" t="n"/>
      <c r="AI126" s="149" t="n"/>
      <c r="AJ126" s="150">
        <f>IF(OR($AH126="",$AF126="",$AF126=0),"",$AH126/(1+IF(IFERROR(INDEX('03 Suppliers'!$N$5:$N$34,MATCH($AE126,'03 Suppliers'!$B$5:$B$34,0)),"Excl VAT")="Incl VAT",'01 Control'!$C$6,0))/($AF126*IFERROR(VLOOKUP($AG126,'02 Lists'!$A$5:$B$18,2,FALSE()),1)))</f>
        <v/>
      </c>
      <c r="AK126" s="151">
        <f>IF(COUNT(L126,R126,X126,AD126,AJ126)=0,"",MIN(L126,R126,X126,AD126,AJ126))</f>
        <v/>
      </c>
      <c r="AL126" s="126">
        <f>IF($AK126="","",IF(L126=$AK126,$G126,IF(R126=$AK126,$M126,IF(X126=$AK126,$S126,IF(AD126=$AK126,$Y126,IF(AJ126=$AK126,$AE126,""))))))</f>
        <v/>
      </c>
      <c r="AM126" s="151">
        <f>IF($AK126="","",$AK126/IF($E126="",1,$E126))</f>
        <v/>
      </c>
      <c r="AN126" s="152">
        <f>COUNT(L126,R126,X126,AD126,AJ126)</f>
        <v/>
      </c>
      <c r="AO126" s="150">
        <f>IF(COUNT(L126,R126,X126,AD126,AJ126)=0,"",MAX(L126,R126,X126,AD126,AJ126))</f>
        <v/>
      </c>
      <c r="AP126" s="153">
        <f>IF(OR($AK126="",$AO126="",$AO126=0),"",($AO126-$AK126)/$AO126)</f>
        <v/>
      </c>
      <c r="AQ126" s="154">
        <f>IF($AK126="","",IF(L126=$AK126,$K126,IF(R126=$AK126,$Q126,IF(X126=$AK126,$W126,IF(AD126=$AK126,$AC126,IF(AJ126=$AK126,$AI126,""))))))</f>
        <v/>
      </c>
    </row>
    <row r="127" ht="15" customHeight="1" s="106">
      <c r="A127" s="140" t="n"/>
      <c r="B127" s="140" t="n"/>
      <c r="C127" s="140" t="n"/>
      <c r="D127" s="141" t="n"/>
      <c r="E127" s="146" t="n"/>
      <c r="F127" s="140" t="n"/>
      <c r="G127" s="140" t="n"/>
      <c r="H127" s="147" t="n"/>
      <c r="I127" s="141" t="n"/>
      <c r="J127" s="148" t="n"/>
      <c r="K127" s="149" t="n"/>
      <c r="L127" s="150">
        <f>IF(OR($J127="",$H127="",$H127=0),"",$J127/(1+IF(IFERROR(INDEX('03 Suppliers'!$N$5:$N$34,MATCH($G127,'03 Suppliers'!$B$5:$B$34,0)),"Excl VAT")="Incl VAT",'01 Control'!$C$6,0))/($H127*IFERROR(VLOOKUP($I127,'02 Lists'!$A$5:$B$18,2,FALSE()),1)))</f>
        <v/>
      </c>
      <c r="M127" s="140" t="n"/>
      <c r="N127" s="147" t="n"/>
      <c r="O127" s="141" t="n"/>
      <c r="P127" s="148" t="n"/>
      <c r="Q127" s="149" t="n"/>
      <c r="R127" s="150">
        <f>IF(OR($P127="",$N127="",$N127=0),"",$P127/(1+IF(IFERROR(INDEX('03 Suppliers'!$N$5:$N$34,MATCH($M127,'03 Suppliers'!$B$5:$B$34,0)),"Excl VAT")="Incl VAT",'01 Control'!$C$6,0))/($N127*IFERROR(VLOOKUP($O127,'02 Lists'!$A$5:$B$18,2,FALSE()),1)))</f>
        <v/>
      </c>
      <c r="S127" s="140" t="n"/>
      <c r="T127" s="147" t="n"/>
      <c r="U127" s="141" t="n"/>
      <c r="V127" s="148" t="n"/>
      <c r="W127" s="149" t="n"/>
      <c r="X127" s="150">
        <f>IF(OR($V127="",$T127="",$T127=0),"",$V127/(1+IF(IFERROR(INDEX('03 Suppliers'!$N$5:$N$34,MATCH($S127,'03 Suppliers'!$B$5:$B$34,0)),"Excl VAT")="Incl VAT",'01 Control'!$C$6,0))/($T127*IFERROR(VLOOKUP($U127,'02 Lists'!$A$5:$B$18,2,FALSE()),1)))</f>
        <v/>
      </c>
      <c r="Y127" s="140" t="n"/>
      <c r="Z127" s="147" t="n"/>
      <c r="AA127" s="141" t="n"/>
      <c r="AB127" s="148" t="n"/>
      <c r="AC127" s="149" t="n"/>
      <c r="AD127" s="150">
        <f>IF(OR($AB127="",$Z127="",$Z127=0),"",$AB127/(1+IF(IFERROR(INDEX('03 Suppliers'!$N$5:$N$34,MATCH($Y127,'03 Suppliers'!$B$5:$B$34,0)),"Excl VAT")="Incl VAT",'01 Control'!$C$6,0))/($Z127*IFERROR(VLOOKUP($AA127,'02 Lists'!$A$5:$B$18,2,FALSE()),1)))</f>
        <v/>
      </c>
      <c r="AE127" s="140" t="n"/>
      <c r="AF127" s="147" t="n"/>
      <c r="AG127" s="141" t="n"/>
      <c r="AH127" s="148" t="n"/>
      <c r="AI127" s="149" t="n"/>
      <c r="AJ127" s="150">
        <f>IF(OR($AH127="",$AF127="",$AF127=0),"",$AH127/(1+IF(IFERROR(INDEX('03 Suppliers'!$N$5:$N$34,MATCH($AE127,'03 Suppliers'!$B$5:$B$34,0)),"Excl VAT")="Incl VAT",'01 Control'!$C$6,0))/($AF127*IFERROR(VLOOKUP($AG127,'02 Lists'!$A$5:$B$18,2,FALSE()),1)))</f>
        <v/>
      </c>
      <c r="AK127" s="151">
        <f>IF(COUNT(L127,R127,X127,AD127,AJ127)=0,"",MIN(L127,R127,X127,AD127,AJ127))</f>
        <v/>
      </c>
      <c r="AL127" s="126">
        <f>IF($AK127="","",IF(L127=$AK127,$G127,IF(R127=$AK127,$M127,IF(X127=$AK127,$S127,IF(AD127=$AK127,$Y127,IF(AJ127=$AK127,$AE127,""))))))</f>
        <v/>
      </c>
      <c r="AM127" s="151">
        <f>IF($AK127="","",$AK127/IF($E127="",1,$E127))</f>
        <v/>
      </c>
      <c r="AN127" s="152">
        <f>COUNT(L127,R127,X127,AD127,AJ127)</f>
        <v/>
      </c>
      <c r="AO127" s="150">
        <f>IF(COUNT(L127,R127,X127,AD127,AJ127)=0,"",MAX(L127,R127,X127,AD127,AJ127))</f>
        <v/>
      </c>
      <c r="AP127" s="153">
        <f>IF(OR($AK127="",$AO127="",$AO127=0),"",($AO127-$AK127)/$AO127)</f>
        <v/>
      </c>
      <c r="AQ127" s="154">
        <f>IF($AK127="","",IF(L127=$AK127,$K127,IF(R127=$AK127,$Q127,IF(X127=$AK127,$W127,IF(AD127=$AK127,$AC127,IF(AJ127=$AK127,$AI127,""))))))</f>
        <v/>
      </c>
    </row>
    <row r="128" ht="15" customHeight="1" s="106">
      <c r="A128" s="140" t="n"/>
      <c r="B128" s="140" t="n"/>
      <c r="C128" s="140" t="n"/>
      <c r="D128" s="141" t="n"/>
      <c r="E128" s="146" t="n"/>
      <c r="F128" s="140" t="n"/>
      <c r="G128" s="140" t="n"/>
      <c r="H128" s="147" t="n"/>
      <c r="I128" s="141" t="n"/>
      <c r="J128" s="148" t="n"/>
      <c r="K128" s="149" t="n"/>
      <c r="L128" s="150">
        <f>IF(OR($J128="",$H128="",$H128=0),"",$J128/(1+IF(IFERROR(INDEX('03 Suppliers'!$N$5:$N$34,MATCH($G128,'03 Suppliers'!$B$5:$B$34,0)),"Excl VAT")="Incl VAT",'01 Control'!$C$6,0))/($H128*IFERROR(VLOOKUP($I128,'02 Lists'!$A$5:$B$18,2,FALSE()),1)))</f>
        <v/>
      </c>
      <c r="M128" s="140" t="n"/>
      <c r="N128" s="147" t="n"/>
      <c r="O128" s="141" t="n"/>
      <c r="P128" s="148" t="n"/>
      <c r="Q128" s="149" t="n"/>
      <c r="R128" s="150">
        <f>IF(OR($P128="",$N128="",$N128=0),"",$P128/(1+IF(IFERROR(INDEX('03 Suppliers'!$N$5:$N$34,MATCH($M128,'03 Suppliers'!$B$5:$B$34,0)),"Excl VAT")="Incl VAT",'01 Control'!$C$6,0))/($N128*IFERROR(VLOOKUP($O128,'02 Lists'!$A$5:$B$18,2,FALSE()),1)))</f>
        <v/>
      </c>
      <c r="S128" s="140" t="n"/>
      <c r="T128" s="147" t="n"/>
      <c r="U128" s="141" t="n"/>
      <c r="V128" s="148" t="n"/>
      <c r="W128" s="149" t="n"/>
      <c r="X128" s="150">
        <f>IF(OR($V128="",$T128="",$T128=0),"",$V128/(1+IF(IFERROR(INDEX('03 Suppliers'!$N$5:$N$34,MATCH($S128,'03 Suppliers'!$B$5:$B$34,0)),"Excl VAT")="Incl VAT",'01 Control'!$C$6,0))/($T128*IFERROR(VLOOKUP($U128,'02 Lists'!$A$5:$B$18,2,FALSE()),1)))</f>
        <v/>
      </c>
      <c r="Y128" s="140" t="n"/>
      <c r="Z128" s="147" t="n"/>
      <c r="AA128" s="141" t="n"/>
      <c r="AB128" s="148" t="n"/>
      <c r="AC128" s="149" t="n"/>
      <c r="AD128" s="150">
        <f>IF(OR($AB128="",$Z128="",$Z128=0),"",$AB128/(1+IF(IFERROR(INDEX('03 Suppliers'!$N$5:$N$34,MATCH($Y128,'03 Suppliers'!$B$5:$B$34,0)),"Excl VAT")="Incl VAT",'01 Control'!$C$6,0))/($Z128*IFERROR(VLOOKUP($AA128,'02 Lists'!$A$5:$B$18,2,FALSE()),1)))</f>
        <v/>
      </c>
      <c r="AE128" s="140" t="n"/>
      <c r="AF128" s="147" t="n"/>
      <c r="AG128" s="141" t="n"/>
      <c r="AH128" s="148" t="n"/>
      <c r="AI128" s="149" t="n"/>
      <c r="AJ128" s="150">
        <f>IF(OR($AH128="",$AF128="",$AF128=0),"",$AH128/(1+IF(IFERROR(INDEX('03 Suppliers'!$N$5:$N$34,MATCH($AE128,'03 Suppliers'!$B$5:$B$34,0)),"Excl VAT")="Incl VAT",'01 Control'!$C$6,0))/($AF128*IFERROR(VLOOKUP($AG128,'02 Lists'!$A$5:$B$18,2,FALSE()),1)))</f>
        <v/>
      </c>
      <c r="AK128" s="151">
        <f>IF(COUNT(L128,R128,X128,AD128,AJ128)=0,"",MIN(L128,R128,X128,AD128,AJ128))</f>
        <v/>
      </c>
      <c r="AL128" s="126">
        <f>IF($AK128="","",IF(L128=$AK128,$G128,IF(R128=$AK128,$M128,IF(X128=$AK128,$S128,IF(AD128=$AK128,$Y128,IF(AJ128=$AK128,$AE128,""))))))</f>
        <v/>
      </c>
      <c r="AM128" s="151">
        <f>IF($AK128="","",$AK128/IF($E128="",1,$E128))</f>
        <v/>
      </c>
      <c r="AN128" s="152">
        <f>COUNT(L128,R128,X128,AD128,AJ128)</f>
        <v/>
      </c>
      <c r="AO128" s="150">
        <f>IF(COUNT(L128,R128,X128,AD128,AJ128)=0,"",MAX(L128,R128,X128,AD128,AJ128))</f>
        <v/>
      </c>
      <c r="AP128" s="153">
        <f>IF(OR($AK128="",$AO128="",$AO128=0),"",($AO128-$AK128)/$AO128)</f>
        <v/>
      </c>
      <c r="AQ128" s="154">
        <f>IF($AK128="","",IF(L128=$AK128,$K128,IF(R128=$AK128,$Q128,IF(X128=$AK128,$W128,IF(AD128=$AK128,$AC128,IF(AJ128=$AK128,$AI128,""))))))</f>
        <v/>
      </c>
    </row>
    <row r="129" ht="15" customHeight="1" s="106">
      <c r="A129" s="140" t="n"/>
      <c r="B129" s="140" t="n"/>
      <c r="C129" s="140" t="n"/>
      <c r="D129" s="141" t="n"/>
      <c r="E129" s="146" t="n"/>
      <c r="F129" s="140" t="n"/>
      <c r="G129" s="140" t="n"/>
      <c r="H129" s="147" t="n"/>
      <c r="I129" s="141" t="n"/>
      <c r="J129" s="148" t="n"/>
      <c r="K129" s="149" t="n"/>
      <c r="L129" s="150">
        <f>IF(OR($J129="",$H129="",$H129=0),"",$J129/(1+IF(IFERROR(INDEX('03 Suppliers'!$N$5:$N$34,MATCH($G129,'03 Suppliers'!$B$5:$B$34,0)),"Excl VAT")="Incl VAT",'01 Control'!$C$6,0))/($H129*IFERROR(VLOOKUP($I129,'02 Lists'!$A$5:$B$18,2,FALSE()),1)))</f>
        <v/>
      </c>
      <c r="M129" s="140" t="n"/>
      <c r="N129" s="147" t="n"/>
      <c r="O129" s="141" t="n"/>
      <c r="P129" s="148" t="n"/>
      <c r="Q129" s="149" t="n"/>
      <c r="R129" s="150">
        <f>IF(OR($P129="",$N129="",$N129=0),"",$P129/(1+IF(IFERROR(INDEX('03 Suppliers'!$N$5:$N$34,MATCH($M129,'03 Suppliers'!$B$5:$B$34,0)),"Excl VAT")="Incl VAT",'01 Control'!$C$6,0))/($N129*IFERROR(VLOOKUP($O129,'02 Lists'!$A$5:$B$18,2,FALSE()),1)))</f>
        <v/>
      </c>
      <c r="S129" s="140" t="n"/>
      <c r="T129" s="147" t="n"/>
      <c r="U129" s="141" t="n"/>
      <c r="V129" s="148" t="n"/>
      <c r="W129" s="149" t="n"/>
      <c r="X129" s="150">
        <f>IF(OR($V129="",$T129="",$T129=0),"",$V129/(1+IF(IFERROR(INDEX('03 Suppliers'!$N$5:$N$34,MATCH($S129,'03 Suppliers'!$B$5:$B$34,0)),"Excl VAT")="Incl VAT",'01 Control'!$C$6,0))/($T129*IFERROR(VLOOKUP($U129,'02 Lists'!$A$5:$B$18,2,FALSE()),1)))</f>
        <v/>
      </c>
      <c r="Y129" s="140" t="n"/>
      <c r="Z129" s="147" t="n"/>
      <c r="AA129" s="141" t="n"/>
      <c r="AB129" s="148" t="n"/>
      <c r="AC129" s="149" t="n"/>
      <c r="AD129" s="150">
        <f>IF(OR($AB129="",$Z129="",$Z129=0),"",$AB129/(1+IF(IFERROR(INDEX('03 Suppliers'!$N$5:$N$34,MATCH($Y129,'03 Suppliers'!$B$5:$B$34,0)),"Excl VAT")="Incl VAT",'01 Control'!$C$6,0))/($Z129*IFERROR(VLOOKUP($AA129,'02 Lists'!$A$5:$B$18,2,FALSE()),1)))</f>
        <v/>
      </c>
      <c r="AE129" s="140" t="n"/>
      <c r="AF129" s="147" t="n"/>
      <c r="AG129" s="141" t="n"/>
      <c r="AH129" s="148" t="n"/>
      <c r="AI129" s="149" t="n"/>
      <c r="AJ129" s="150">
        <f>IF(OR($AH129="",$AF129="",$AF129=0),"",$AH129/(1+IF(IFERROR(INDEX('03 Suppliers'!$N$5:$N$34,MATCH($AE129,'03 Suppliers'!$B$5:$B$34,0)),"Excl VAT")="Incl VAT",'01 Control'!$C$6,0))/($AF129*IFERROR(VLOOKUP($AG129,'02 Lists'!$A$5:$B$18,2,FALSE()),1)))</f>
        <v/>
      </c>
      <c r="AK129" s="151">
        <f>IF(COUNT(L129,R129,X129,AD129,AJ129)=0,"",MIN(L129,R129,X129,AD129,AJ129))</f>
        <v/>
      </c>
      <c r="AL129" s="126">
        <f>IF($AK129="","",IF(L129=$AK129,$G129,IF(R129=$AK129,$M129,IF(X129=$AK129,$S129,IF(AD129=$AK129,$Y129,IF(AJ129=$AK129,$AE129,""))))))</f>
        <v/>
      </c>
      <c r="AM129" s="151">
        <f>IF($AK129="","",$AK129/IF($E129="",1,$E129))</f>
        <v/>
      </c>
      <c r="AN129" s="152">
        <f>COUNT(L129,R129,X129,AD129,AJ129)</f>
        <v/>
      </c>
      <c r="AO129" s="150">
        <f>IF(COUNT(L129,R129,X129,AD129,AJ129)=0,"",MAX(L129,R129,X129,AD129,AJ129))</f>
        <v/>
      </c>
      <c r="AP129" s="153">
        <f>IF(OR($AK129="",$AO129="",$AO129=0),"",($AO129-$AK129)/$AO129)</f>
        <v/>
      </c>
      <c r="AQ129" s="154">
        <f>IF($AK129="","",IF(L129=$AK129,$K129,IF(R129=$AK129,$Q129,IF(X129=$AK129,$W129,IF(AD129=$AK129,$AC129,IF(AJ129=$AK129,$AI129,""))))))</f>
        <v/>
      </c>
    </row>
    <row r="130" ht="15" customHeight="1" s="106">
      <c r="A130" s="140" t="n"/>
      <c r="B130" s="140" t="n"/>
      <c r="C130" s="140" t="n"/>
      <c r="D130" s="141" t="n"/>
      <c r="E130" s="146" t="n"/>
      <c r="F130" s="140" t="n"/>
      <c r="G130" s="140" t="n"/>
      <c r="H130" s="147" t="n"/>
      <c r="I130" s="141" t="n"/>
      <c r="J130" s="148" t="n"/>
      <c r="K130" s="149" t="n"/>
      <c r="L130" s="150">
        <f>IF(OR($J130="",$H130="",$H130=0),"",$J130/(1+IF(IFERROR(INDEX('03 Suppliers'!$N$5:$N$34,MATCH($G130,'03 Suppliers'!$B$5:$B$34,0)),"Excl VAT")="Incl VAT",'01 Control'!$C$6,0))/($H130*IFERROR(VLOOKUP($I130,'02 Lists'!$A$5:$B$18,2,FALSE()),1)))</f>
        <v/>
      </c>
      <c r="M130" s="140" t="n"/>
      <c r="N130" s="147" t="n"/>
      <c r="O130" s="141" t="n"/>
      <c r="P130" s="148" t="n"/>
      <c r="Q130" s="149" t="n"/>
      <c r="R130" s="150">
        <f>IF(OR($P130="",$N130="",$N130=0),"",$P130/(1+IF(IFERROR(INDEX('03 Suppliers'!$N$5:$N$34,MATCH($M130,'03 Suppliers'!$B$5:$B$34,0)),"Excl VAT")="Incl VAT",'01 Control'!$C$6,0))/($N130*IFERROR(VLOOKUP($O130,'02 Lists'!$A$5:$B$18,2,FALSE()),1)))</f>
        <v/>
      </c>
      <c r="S130" s="140" t="n"/>
      <c r="T130" s="147" t="n"/>
      <c r="U130" s="141" t="n"/>
      <c r="V130" s="148" t="n"/>
      <c r="W130" s="149" t="n"/>
      <c r="X130" s="150">
        <f>IF(OR($V130="",$T130="",$T130=0),"",$V130/(1+IF(IFERROR(INDEX('03 Suppliers'!$N$5:$N$34,MATCH($S130,'03 Suppliers'!$B$5:$B$34,0)),"Excl VAT")="Incl VAT",'01 Control'!$C$6,0))/($T130*IFERROR(VLOOKUP($U130,'02 Lists'!$A$5:$B$18,2,FALSE()),1)))</f>
        <v/>
      </c>
      <c r="Y130" s="140" t="n"/>
      <c r="Z130" s="147" t="n"/>
      <c r="AA130" s="141" t="n"/>
      <c r="AB130" s="148" t="n"/>
      <c r="AC130" s="149" t="n"/>
      <c r="AD130" s="150">
        <f>IF(OR($AB130="",$Z130="",$Z130=0),"",$AB130/(1+IF(IFERROR(INDEX('03 Suppliers'!$N$5:$N$34,MATCH($Y130,'03 Suppliers'!$B$5:$B$34,0)),"Excl VAT")="Incl VAT",'01 Control'!$C$6,0))/($Z130*IFERROR(VLOOKUP($AA130,'02 Lists'!$A$5:$B$18,2,FALSE()),1)))</f>
        <v/>
      </c>
      <c r="AE130" s="140" t="n"/>
      <c r="AF130" s="147" t="n"/>
      <c r="AG130" s="141" t="n"/>
      <c r="AH130" s="148" t="n"/>
      <c r="AI130" s="149" t="n"/>
      <c r="AJ130" s="150">
        <f>IF(OR($AH130="",$AF130="",$AF130=0),"",$AH130/(1+IF(IFERROR(INDEX('03 Suppliers'!$N$5:$N$34,MATCH($AE130,'03 Suppliers'!$B$5:$B$34,0)),"Excl VAT")="Incl VAT",'01 Control'!$C$6,0))/($AF130*IFERROR(VLOOKUP($AG130,'02 Lists'!$A$5:$B$18,2,FALSE()),1)))</f>
        <v/>
      </c>
      <c r="AK130" s="151">
        <f>IF(COUNT(L130,R130,X130,AD130,AJ130)=0,"",MIN(L130,R130,X130,AD130,AJ130))</f>
        <v/>
      </c>
      <c r="AL130" s="126">
        <f>IF($AK130="","",IF(L130=$AK130,$G130,IF(R130=$AK130,$M130,IF(X130=$AK130,$S130,IF(AD130=$AK130,$Y130,IF(AJ130=$AK130,$AE130,""))))))</f>
        <v/>
      </c>
      <c r="AM130" s="151">
        <f>IF($AK130="","",$AK130/IF($E130="",1,$E130))</f>
        <v/>
      </c>
      <c r="AN130" s="152">
        <f>COUNT(L130,R130,X130,AD130,AJ130)</f>
        <v/>
      </c>
      <c r="AO130" s="150">
        <f>IF(COUNT(L130,R130,X130,AD130,AJ130)=0,"",MAX(L130,R130,X130,AD130,AJ130))</f>
        <v/>
      </c>
      <c r="AP130" s="153">
        <f>IF(OR($AK130="",$AO130="",$AO130=0),"",($AO130-$AK130)/$AO130)</f>
        <v/>
      </c>
      <c r="AQ130" s="154">
        <f>IF($AK130="","",IF(L130=$AK130,$K130,IF(R130=$AK130,$Q130,IF(X130=$AK130,$W130,IF(AD130=$AK130,$AC130,IF(AJ130=$AK130,$AI130,""))))))</f>
        <v/>
      </c>
    </row>
    <row r="131" ht="15" customHeight="1" s="106">
      <c r="A131" s="140" t="n"/>
      <c r="B131" s="140" t="n"/>
      <c r="C131" s="140" t="n"/>
      <c r="D131" s="141" t="n"/>
      <c r="E131" s="146" t="n"/>
      <c r="F131" s="140" t="n"/>
      <c r="G131" s="140" t="n"/>
      <c r="H131" s="147" t="n"/>
      <c r="I131" s="141" t="n"/>
      <c r="J131" s="148" t="n"/>
      <c r="K131" s="149" t="n"/>
      <c r="L131" s="150">
        <f>IF(OR($J131="",$H131="",$H131=0),"",$J131/(1+IF(IFERROR(INDEX('03 Suppliers'!$N$5:$N$34,MATCH($G131,'03 Suppliers'!$B$5:$B$34,0)),"Excl VAT")="Incl VAT",'01 Control'!$C$6,0))/($H131*IFERROR(VLOOKUP($I131,'02 Lists'!$A$5:$B$18,2,FALSE()),1)))</f>
        <v/>
      </c>
      <c r="M131" s="140" t="n"/>
      <c r="N131" s="147" t="n"/>
      <c r="O131" s="141" t="n"/>
      <c r="P131" s="148" t="n"/>
      <c r="Q131" s="149" t="n"/>
      <c r="R131" s="150">
        <f>IF(OR($P131="",$N131="",$N131=0),"",$P131/(1+IF(IFERROR(INDEX('03 Suppliers'!$N$5:$N$34,MATCH($M131,'03 Suppliers'!$B$5:$B$34,0)),"Excl VAT")="Incl VAT",'01 Control'!$C$6,0))/($N131*IFERROR(VLOOKUP($O131,'02 Lists'!$A$5:$B$18,2,FALSE()),1)))</f>
        <v/>
      </c>
      <c r="S131" s="140" t="n"/>
      <c r="T131" s="147" t="n"/>
      <c r="U131" s="141" t="n"/>
      <c r="V131" s="148" t="n"/>
      <c r="W131" s="149" t="n"/>
      <c r="X131" s="150">
        <f>IF(OR($V131="",$T131="",$T131=0),"",$V131/(1+IF(IFERROR(INDEX('03 Suppliers'!$N$5:$N$34,MATCH($S131,'03 Suppliers'!$B$5:$B$34,0)),"Excl VAT")="Incl VAT",'01 Control'!$C$6,0))/($T131*IFERROR(VLOOKUP($U131,'02 Lists'!$A$5:$B$18,2,FALSE()),1)))</f>
        <v/>
      </c>
      <c r="Y131" s="140" t="n"/>
      <c r="Z131" s="147" t="n"/>
      <c r="AA131" s="141" t="n"/>
      <c r="AB131" s="148" t="n"/>
      <c r="AC131" s="149" t="n"/>
      <c r="AD131" s="150">
        <f>IF(OR($AB131="",$Z131="",$Z131=0),"",$AB131/(1+IF(IFERROR(INDEX('03 Suppliers'!$N$5:$N$34,MATCH($Y131,'03 Suppliers'!$B$5:$B$34,0)),"Excl VAT")="Incl VAT",'01 Control'!$C$6,0))/($Z131*IFERROR(VLOOKUP($AA131,'02 Lists'!$A$5:$B$18,2,FALSE()),1)))</f>
        <v/>
      </c>
      <c r="AE131" s="140" t="n"/>
      <c r="AF131" s="147" t="n"/>
      <c r="AG131" s="141" t="n"/>
      <c r="AH131" s="148" t="n"/>
      <c r="AI131" s="149" t="n"/>
      <c r="AJ131" s="150">
        <f>IF(OR($AH131="",$AF131="",$AF131=0),"",$AH131/(1+IF(IFERROR(INDEX('03 Suppliers'!$N$5:$N$34,MATCH($AE131,'03 Suppliers'!$B$5:$B$34,0)),"Excl VAT")="Incl VAT",'01 Control'!$C$6,0))/($AF131*IFERROR(VLOOKUP($AG131,'02 Lists'!$A$5:$B$18,2,FALSE()),1)))</f>
        <v/>
      </c>
      <c r="AK131" s="151">
        <f>IF(COUNT(L131,R131,X131,AD131,AJ131)=0,"",MIN(L131,R131,X131,AD131,AJ131))</f>
        <v/>
      </c>
      <c r="AL131" s="126">
        <f>IF($AK131="","",IF(L131=$AK131,$G131,IF(R131=$AK131,$M131,IF(X131=$AK131,$S131,IF(AD131=$AK131,$Y131,IF(AJ131=$AK131,$AE131,""))))))</f>
        <v/>
      </c>
      <c r="AM131" s="151">
        <f>IF($AK131="","",$AK131/IF($E131="",1,$E131))</f>
        <v/>
      </c>
      <c r="AN131" s="152">
        <f>COUNT(L131,R131,X131,AD131,AJ131)</f>
        <v/>
      </c>
      <c r="AO131" s="150">
        <f>IF(COUNT(L131,R131,X131,AD131,AJ131)=0,"",MAX(L131,R131,X131,AD131,AJ131))</f>
        <v/>
      </c>
      <c r="AP131" s="153">
        <f>IF(OR($AK131="",$AO131="",$AO131=0),"",($AO131-$AK131)/$AO131)</f>
        <v/>
      </c>
      <c r="AQ131" s="154">
        <f>IF($AK131="","",IF(L131=$AK131,$K131,IF(R131=$AK131,$Q131,IF(X131=$AK131,$W131,IF(AD131=$AK131,$AC131,IF(AJ131=$AK131,$AI131,""))))))</f>
        <v/>
      </c>
    </row>
    <row r="132" ht="15" customHeight="1" s="106">
      <c r="A132" s="140" t="n"/>
      <c r="B132" s="140" t="n"/>
      <c r="C132" s="140" t="n"/>
      <c r="D132" s="141" t="n"/>
      <c r="E132" s="146" t="n"/>
      <c r="F132" s="140" t="n"/>
      <c r="G132" s="140" t="n"/>
      <c r="H132" s="147" t="n"/>
      <c r="I132" s="141" t="n"/>
      <c r="J132" s="148" t="n"/>
      <c r="K132" s="149" t="n"/>
      <c r="L132" s="150">
        <f>IF(OR($J132="",$H132="",$H132=0),"",$J132/(1+IF(IFERROR(INDEX('03 Suppliers'!$N$5:$N$34,MATCH($G132,'03 Suppliers'!$B$5:$B$34,0)),"Excl VAT")="Incl VAT",'01 Control'!$C$6,0))/($H132*IFERROR(VLOOKUP($I132,'02 Lists'!$A$5:$B$18,2,FALSE()),1)))</f>
        <v/>
      </c>
      <c r="M132" s="140" t="n"/>
      <c r="N132" s="147" t="n"/>
      <c r="O132" s="141" t="n"/>
      <c r="P132" s="148" t="n"/>
      <c r="Q132" s="149" t="n"/>
      <c r="R132" s="150">
        <f>IF(OR($P132="",$N132="",$N132=0),"",$P132/(1+IF(IFERROR(INDEX('03 Suppliers'!$N$5:$N$34,MATCH($M132,'03 Suppliers'!$B$5:$B$34,0)),"Excl VAT")="Incl VAT",'01 Control'!$C$6,0))/($N132*IFERROR(VLOOKUP($O132,'02 Lists'!$A$5:$B$18,2,FALSE()),1)))</f>
        <v/>
      </c>
      <c r="S132" s="140" t="n"/>
      <c r="T132" s="147" t="n"/>
      <c r="U132" s="141" t="n"/>
      <c r="V132" s="148" t="n"/>
      <c r="W132" s="149" t="n"/>
      <c r="X132" s="150">
        <f>IF(OR($V132="",$T132="",$T132=0),"",$V132/(1+IF(IFERROR(INDEX('03 Suppliers'!$N$5:$N$34,MATCH($S132,'03 Suppliers'!$B$5:$B$34,0)),"Excl VAT")="Incl VAT",'01 Control'!$C$6,0))/($T132*IFERROR(VLOOKUP($U132,'02 Lists'!$A$5:$B$18,2,FALSE()),1)))</f>
        <v/>
      </c>
      <c r="Y132" s="140" t="n"/>
      <c r="Z132" s="147" t="n"/>
      <c r="AA132" s="141" t="n"/>
      <c r="AB132" s="148" t="n"/>
      <c r="AC132" s="149" t="n"/>
      <c r="AD132" s="150">
        <f>IF(OR($AB132="",$Z132="",$Z132=0),"",$AB132/(1+IF(IFERROR(INDEX('03 Suppliers'!$N$5:$N$34,MATCH($Y132,'03 Suppliers'!$B$5:$B$34,0)),"Excl VAT")="Incl VAT",'01 Control'!$C$6,0))/($Z132*IFERROR(VLOOKUP($AA132,'02 Lists'!$A$5:$B$18,2,FALSE()),1)))</f>
        <v/>
      </c>
      <c r="AE132" s="140" t="n"/>
      <c r="AF132" s="147" t="n"/>
      <c r="AG132" s="141" t="n"/>
      <c r="AH132" s="148" t="n"/>
      <c r="AI132" s="149" t="n"/>
      <c r="AJ132" s="150">
        <f>IF(OR($AH132="",$AF132="",$AF132=0),"",$AH132/(1+IF(IFERROR(INDEX('03 Suppliers'!$N$5:$N$34,MATCH($AE132,'03 Suppliers'!$B$5:$B$34,0)),"Excl VAT")="Incl VAT",'01 Control'!$C$6,0))/($AF132*IFERROR(VLOOKUP($AG132,'02 Lists'!$A$5:$B$18,2,FALSE()),1)))</f>
        <v/>
      </c>
      <c r="AK132" s="151">
        <f>IF(COUNT(L132,R132,X132,AD132,AJ132)=0,"",MIN(L132,R132,X132,AD132,AJ132))</f>
        <v/>
      </c>
      <c r="AL132" s="126">
        <f>IF($AK132="","",IF(L132=$AK132,$G132,IF(R132=$AK132,$M132,IF(X132=$AK132,$S132,IF(AD132=$AK132,$Y132,IF(AJ132=$AK132,$AE132,""))))))</f>
        <v/>
      </c>
      <c r="AM132" s="151">
        <f>IF($AK132="","",$AK132/IF($E132="",1,$E132))</f>
        <v/>
      </c>
      <c r="AN132" s="152">
        <f>COUNT(L132,R132,X132,AD132,AJ132)</f>
        <v/>
      </c>
      <c r="AO132" s="150">
        <f>IF(COUNT(L132,R132,X132,AD132,AJ132)=0,"",MAX(L132,R132,X132,AD132,AJ132))</f>
        <v/>
      </c>
      <c r="AP132" s="153">
        <f>IF(OR($AK132="",$AO132="",$AO132=0),"",($AO132-$AK132)/$AO132)</f>
        <v/>
      </c>
      <c r="AQ132" s="154">
        <f>IF($AK132="","",IF(L132=$AK132,$K132,IF(R132=$AK132,$Q132,IF(X132=$AK132,$W132,IF(AD132=$AK132,$AC132,IF(AJ132=$AK132,$AI132,""))))))</f>
        <v/>
      </c>
    </row>
    <row r="133" ht="15" customHeight="1" s="106">
      <c r="A133" s="140" t="n"/>
      <c r="B133" s="140" t="n"/>
      <c r="C133" s="140" t="n"/>
      <c r="D133" s="141" t="n"/>
      <c r="E133" s="146" t="n"/>
      <c r="F133" s="140" t="n"/>
      <c r="G133" s="140" t="n"/>
      <c r="H133" s="147" t="n"/>
      <c r="I133" s="141" t="n"/>
      <c r="J133" s="148" t="n"/>
      <c r="K133" s="149" t="n"/>
      <c r="L133" s="150">
        <f>IF(OR($J133="",$H133="",$H133=0),"",$J133/(1+IF(IFERROR(INDEX('03 Suppliers'!$N$5:$N$34,MATCH($G133,'03 Suppliers'!$B$5:$B$34,0)),"Excl VAT")="Incl VAT",'01 Control'!$C$6,0))/($H133*IFERROR(VLOOKUP($I133,'02 Lists'!$A$5:$B$18,2,FALSE()),1)))</f>
        <v/>
      </c>
      <c r="M133" s="140" t="n"/>
      <c r="N133" s="147" t="n"/>
      <c r="O133" s="141" t="n"/>
      <c r="P133" s="148" t="n"/>
      <c r="Q133" s="149" t="n"/>
      <c r="R133" s="150">
        <f>IF(OR($P133="",$N133="",$N133=0),"",$P133/(1+IF(IFERROR(INDEX('03 Suppliers'!$N$5:$N$34,MATCH($M133,'03 Suppliers'!$B$5:$B$34,0)),"Excl VAT")="Incl VAT",'01 Control'!$C$6,0))/($N133*IFERROR(VLOOKUP($O133,'02 Lists'!$A$5:$B$18,2,FALSE()),1)))</f>
        <v/>
      </c>
      <c r="S133" s="140" t="n"/>
      <c r="T133" s="147" t="n"/>
      <c r="U133" s="141" t="n"/>
      <c r="V133" s="148" t="n"/>
      <c r="W133" s="149" t="n"/>
      <c r="X133" s="150">
        <f>IF(OR($V133="",$T133="",$T133=0),"",$V133/(1+IF(IFERROR(INDEX('03 Suppliers'!$N$5:$N$34,MATCH($S133,'03 Suppliers'!$B$5:$B$34,0)),"Excl VAT")="Incl VAT",'01 Control'!$C$6,0))/($T133*IFERROR(VLOOKUP($U133,'02 Lists'!$A$5:$B$18,2,FALSE()),1)))</f>
        <v/>
      </c>
      <c r="Y133" s="140" t="n"/>
      <c r="Z133" s="147" t="n"/>
      <c r="AA133" s="141" t="n"/>
      <c r="AB133" s="148" t="n"/>
      <c r="AC133" s="149" t="n"/>
      <c r="AD133" s="150">
        <f>IF(OR($AB133="",$Z133="",$Z133=0),"",$AB133/(1+IF(IFERROR(INDEX('03 Suppliers'!$N$5:$N$34,MATCH($Y133,'03 Suppliers'!$B$5:$B$34,0)),"Excl VAT")="Incl VAT",'01 Control'!$C$6,0))/($Z133*IFERROR(VLOOKUP($AA133,'02 Lists'!$A$5:$B$18,2,FALSE()),1)))</f>
        <v/>
      </c>
      <c r="AE133" s="140" t="n"/>
      <c r="AF133" s="147" t="n"/>
      <c r="AG133" s="141" t="n"/>
      <c r="AH133" s="148" t="n"/>
      <c r="AI133" s="149" t="n"/>
      <c r="AJ133" s="150">
        <f>IF(OR($AH133="",$AF133="",$AF133=0),"",$AH133/(1+IF(IFERROR(INDEX('03 Suppliers'!$N$5:$N$34,MATCH($AE133,'03 Suppliers'!$B$5:$B$34,0)),"Excl VAT")="Incl VAT",'01 Control'!$C$6,0))/($AF133*IFERROR(VLOOKUP($AG133,'02 Lists'!$A$5:$B$18,2,FALSE()),1)))</f>
        <v/>
      </c>
      <c r="AK133" s="151">
        <f>IF(COUNT(L133,R133,X133,AD133,AJ133)=0,"",MIN(L133,R133,X133,AD133,AJ133))</f>
        <v/>
      </c>
      <c r="AL133" s="126">
        <f>IF($AK133="","",IF(L133=$AK133,$G133,IF(R133=$AK133,$M133,IF(X133=$AK133,$S133,IF(AD133=$AK133,$Y133,IF(AJ133=$AK133,$AE133,""))))))</f>
        <v/>
      </c>
      <c r="AM133" s="151">
        <f>IF($AK133="","",$AK133/IF($E133="",1,$E133))</f>
        <v/>
      </c>
      <c r="AN133" s="152">
        <f>COUNT(L133,R133,X133,AD133,AJ133)</f>
        <v/>
      </c>
      <c r="AO133" s="150">
        <f>IF(COUNT(L133,R133,X133,AD133,AJ133)=0,"",MAX(L133,R133,X133,AD133,AJ133))</f>
        <v/>
      </c>
      <c r="AP133" s="153">
        <f>IF(OR($AK133="",$AO133="",$AO133=0),"",($AO133-$AK133)/$AO133)</f>
        <v/>
      </c>
      <c r="AQ133" s="154">
        <f>IF($AK133="","",IF(L133=$AK133,$K133,IF(R133=$AK133,$Q133,IF(X133=$AK133,$W133,IF(AD133=$AK133,$AC133,IF(AJ133=$AK133,$AI133,""))))))</f>
        <v/>
      </c>
    </row>
    <row r="134" ht="15" customHeight="1" s="106">
      <c r="A134" s="140" t="n"/>
      <c r="B134" s="140" t="n"/>
      <c r="C134" s="140" t="n"/>
      <c r="D134" s="141" t="n"/>
      <c r="E134" s="146" t="n"/>
      <c r="F134" s="140" t="n"/>
      <c r="G134" s="140" t="n"/>
      <c r="H134" s="147" t="n"/>
      <c r="I134" s="141" t="n"/>
      <c r="J134" s="148" t="n"/>
      <c r="K134" s="149" t="n"/>
      <c r="L134" s="150">
        <f>IF(OR($J134="",$H134="",$H134=0),"",$J134/(1+IF(IFERROR(INDEX('03 Suppliers'!$N$5:$N$34,MATCH($G134,'03 Suppliers'!$B$5:$B$34,0)),"Excl VAT")="Incl VAT",'01 Control'!$C$6,0))/($H134*IFERROR(VLOOKUP($I134,'02 Lists'!$A$5:$B$18,2,FALSE()),1)))</f>
        <v/>
      </c>
      <c r="M134" s="140" t="n"/>
      <c r="N134" s="147" t="n"/>
      <c r="O134" s="141" t="n"/>
      <c r="P134" s="148" t="n"/>
      <c r="Q134" s="149" t="n"/>
      <c r="R134" s="150">
        <f>IF(OR($P134="",$N134="",$N134=0),"",$P134/(1+IF(IFERROR(INDEX('03 Suppliers'!$N$5:$N$34,MATCH($M134,'03 Suppliers'!$B$5:$B$34,0)),"Excl VAT")="Incl VAT",'01 Control'!$C$6,0))/($N134*IFERROR(VLOOKUP($O134,'02 Lists'!$A$5:$B$18,2,FALSE()),1)))</f>
        <v/>
      </c>
      <c r="S134" s="140" t="n"/>
      <c r="T134" s="147" t="n"/>
      <c r="U134" s="141" t="n"/>
      <c r="V134" s="148" t="n"/>
      <c r="W134" s="149" t="n"/>
      <c r="X134" s="150">
        <f>IF(OR($V134="",$T134="",$T134=0),"",$V134/(1+IF(IFERROR(INDEX('03 Suppliers'!$N$5:$N$34,MATCH($S134,'03 Suppliers'!$B$5:$B$34,0)),"Excl VAT")="Incl VAT",'01 Control'!$C$6,0))/($T134*IFERROR(VLOOKUP($U134,'02 Lists'!$A$5:$B$18,2,FALSE()),1)))</f>
        <v/>
      </c>
      <c r="Y134" s="140" t="n"/>
      <c r="Z134" s="147" t="n"/>
      <c r="AA134" s="141" t="n"/>
      <c r="AB134" s="148" t="n"/>
      <c r="AC134" s="149" t="n"/>
      <c r="AD134" s="150">
        <f>IF(OR($AB134="",$Z134="",$Z134=0),"",$AB134/(1+IF(IFERROR(INDEX('03 Suppliers'!$N$5:$N$34,MATCH($Y134,'03 Suppliers'!$B$5:$B$34,0)),"Excl VAT")="Incl VAT",'01 Control'!$C$6,0))/($Z134*IFERROR(VLOOKUP($AA134,'02 Lists'!$A$5:$B$18,2,FALSE()),1)))</f>
        <v/>
      </c>
      <c r="AE134" s="140" t="n"/>
      <c r="AF134" s="147" t="n"/>
      <c r="AG134" s="141" t="n"/>
      <c r="AH134" s="148" t="n"/>
      <c r="AI134" s="149" t="n"/>
      <c r="AJ134" s="150">
        <f>IF(OR($AH134="",$AF134="",$AF134=0),"",$AH134/(1+IF(IFERROR(INDEX('03 Suppliers'!$N$5:$N$34,MATCH($AE134,'03 Suppliers'!$B$5:$B$34,0)),"Excl VAT")="Incl VAT",'01 Control'!$C$6,0))/($AF134*IFERROR(VLOOKUP($AG134,'02 Lists'!$A$5:$B$18,2,FALSE()),1)))</f>
        <v/>
      </c>
      <c r="AK134" s="151">
        <f>IF(COUNT(L134,R134,X134,AD134,AJ134)=0,"",MIN(L134,R134,X134,AD134,AJ134))</f>
        <v/>
      </c>
      <c r="AL134" s="126">
        <f>IF($AK134="","",IF(L134=$AK134,$G134,IF(R134=$AK134,$M134,IF(X134=$AK134,$S134,IF(AD134=$AK134,$Y134,IF(AJ134=$AK134,$AE134,""))))))</f>
        <v/>
      </c>
      <c r="AM134" s="151">
        <f>IF($AK134="","",$AK134/IF($E134="",1,$E134))</f>
        <v/>
      </c>
      <c r="AN134" s="152">
        <f>COUNT(L134,R134,X134,AD134,AJ134)</f>
        <v/>
      </c>
      <c r="AO134" s="150">
        <f>IF(COUNT(L134,R134,X134,AD134,AJ134)=0,"",MAX(L134,R134,X134,AD134,AJ134))</f>
        <v/>
      </c>
      <c r="AP134" s="153">
        <f>IF(OR($AK134="",$AO134="",$AO134=0),"",($AO134-$AK134)/$AO134)</f>
        <v/>
      </c>
      <c r="AQ134" s="154">
        <f>IF($AK134="","",IF(L134=$AK134,$K134,IF(R134=$AK134,$Q134,IF(X134=$AK134,$W134,IF(AD134=$AK134,$AC134,IF(AJ134=$AK134,$AI134,""))))))</f>
        <v/>
      </c>
    </row>
    <row r="135" ht="15" customHeight="1" s="106">
      <c r="A135" s="140" t="n"/>
      <c r="B135" s="140" t="n"/>
      <c r="C135" s="140" t="n"/>
      <c r="D135" s="141" t="n"/>
      <c r="E135" s="146" t="n"/>
      <c r="F135" s="140" t="n"/>
      <c r="G135" s="140" t="n"/>
      <c r="H135" s="147" t="n"/>
      <c r="I135" s="141" t="n"/>
      <c r="J135" s="148" t="n"/>
      <c r="K135" s="149" t="n"/>
      <c r="L135" s="150">
        <f>IF(OR($J135="",$H135="",$H135=0),"",$J135/(1+IF(IFERROR(INDEX('03 Suppliers'!$N$5:$N$34,MATCH($G135,'03 Suppliers'!$B$5:$B$34,0)),"Excl VAT")="Incl VAT",'01 Control'!$C$6,0))/($H135*IFERROR(VLOOKUP($I135,'02 Lists'!$A$5:$B$18,2,FALSE()),1)))</f>
        <v/>
      </c>
      <c r="M135" s="140" t="n"/>
      <c r="N135" s="147" t="n"/>
      <c r="O135" s="141" t="n"/>
      <c r="P135" s="148" t="n"/>
      <c r="Q135" s="149" t="n"/>
      <c r="R135" s="150">
        <f>IF(OR($P135="",$N135="",$N135=0),"",$P135/(1+IF(IFERROR(INDEX('03 Suppliers'!$N$5:$N$34,MATCH($M135,'03 Suppliers'!$B$5:$B$34,0)),"Excl VAT")="Incl VAT",'01 Control'!$C$6,0))/($N135*IFERROR(VLOOKUP($O135,'02 Lists'!$A$5:$B$18,2,FALSE()),1)))</f>
        <v/>
      </c>
      <c r="S135" s="140" t="n"/>
      <c r="T135" s="147" t="n"/>
      <c r="U135" s="141" t="n"/>
      <c r="V135" s="148" t="n"/>
      <c r="W135" s="149" t="n"/>
      <c r="X135" s="150">
        <f>IF(OR($V135="",$T135="",$T135=0),"",$V135/(1+IF(IFERROR(INDEX('03 Suppliers'!$N$5:$N$34,MATCH($S135,'03 Suppliers'!$B$5:$B$34,0)),"Excl VAT")="Incl VAT",'01 Control'!$C$6,0))/($T135*IFERROR(VLOOKUP($U135,'02 Lists'!$A$5:$B$18,2,FALSE()),1)))</f>
        <v/>
      </c>
      <c r="Y135" s="140" t="n"/>
      <c r="Z135" s="147" t="n"/>
      <c r="AA135" s="141" t="n"/>
      <c r="AB135" s="148" t="n"/>
      <c r="AC135" s="149" t="n"/>
      <c r="AD135" s="150">
        <f>IF(OR($AB135="",$Z135="",$Z135=0),"",$AB135/(1+IF(IFERROR(INDEX('03 Suppliers'!$N$5:$N$34,MATCH($Y135,'03 Suppliers'!$B$5:$B$34,0)),"Excl VAT")="Incl VAT",'01 Control'!$C$6,0))/($Z135*IFERROR(VLOOKUP($AA135,'02 Lists'!$A$5:$B$18,2,FALSE()),1)))</f>
        <v/>
      </c>
      <c r="AE135" s="140" t="n"/>
      <c r="AF135" s="147" t="n"/>
      <c r="AG135" s="141" t="n"/>
      <c r="AH135" s="148" t="n"/>
      <c r="AI135" s="149" t="n"/>
      <c r="AJ135" s="150">
        <f>IF(OR($AH135="",$AF135="",$AF135=0),"",$AH135/(1+IF(IFERROR(INDEX('03 Suppliers'!$N$5:$N$34,MATCH($AE135,'03 Suppliers'!$B$5:$B$34,0)),"Excl VAT")="Incl VAT",'01 Control'!$C$6,0))/($AF135*IFERROR(VLOOKUP($AG135,'02 Lists'!$A$5:$B$18,2,FALSE()),1)))</f>
        <v/>
      </c>
      <c r="AK135" s="151">
        <f>IF(COUNT(L135,R135,X135,AD135,AJ135)=0,"",MIN(L135,R135,X135,AD135,AJ135))</f>
        <v/>
      </c>
      <c r="AL135" s="126">
        <f>IF($AK135="","",IF(L135=$AK135,$G135,IF(R135=$AK135,$M135,IF(X135=$AK135,$S135,IF(AD135=$AK135,$Y135,IF(AJ135=$AK135,$AE135,""))))))</f>
        <v/>
      </c>
      <c r="AM135" s="151">
        <f>IF($AK135="","",$AK135/IF($E135="",1,$E135))</f>
        <v/>
      </c>
      <c r="AN135" s="152">
        <f>COUNT(L135,R135,X135,AD135,AJ135)</f>
        <v/>
      </c>
      <c r="AO135" s="150">
        <f>IF(COUNT(L135,R135,X135,AD135,AJ135)=0,"",MAX(L135,R135,X135,AD135,AJ135))</f>
        <v/>
      </c>
      <c r="AP135" s="153">
        <f>IF(OR($AK135="",$AO135="",$AO135=0),"",($AO135-$AK135)/$AO135)</f>
        <v/>
      </c>
      <c r="AQ135" s="154">
        <f>IF($AK135="","",IF(L135=$AK135,$K135,IF(R135=$AK135,$Q135,IF(X135=$AK135,$W135,IF(AD135=$AK135,$AC135,IF(AJ135=$AK135,$AI135,""))))))</f>
        <v/>
      </c>
    </row>
    <row r="136" ht="15" customHeight="1" s="106">
      <c r="A136" s="140" t="n"/>
      <c r="B136" s="140" t="n"/>
      <c r="C136" s="140" t="n"/>
      <c r="D136" s="141" t="n"/>
      <c r="E136" s="146" t="n"/>
      <c r="F136" s="140" t="n"/>
      <c r="G136" s="140" t="n"/>
      <c r="H136" s="147" t="n"/>
      <c r="I136" s="141" t="n"/>
      <c r="J136" s="148" t="n"/>
      <c r="K136" s="149" t="n"/>
      <c r="L136" s="150">
        <f>IF(OR($J136="",$H136="",$H136=0),"",$J136/(1+IF(IFERROR(INDEX('03 Suppliers'!$N$5:$N$34,MATCH($G136,'03 Suppliers'!$B$5:$B$34,0)),"Excl VAT")="Incl VAT",'01 Control'!$C$6,0))/($H136*IFERROR(VLOOKUP($I136,'02 Lists'!$A$5:$B$18,2,FALSE()),1)))</f>
        <v/>
      </c>
      <c r="M136" s="140" t="n"/>
      <c r="N136" s="147" t="n"/>
      <c r="O136" s="141" t="n"/>
      <c r="P136" s="148" t="n"/>
      <c r="Q136" s="149" t="n"/>
      <c r="R136" s="150">
        <f>IF(OR($P136="",$N136="",$N136=0),"",$P136/(1+IF(IFERROR(INDEX('03 Suppliers'!$N$5:$N$34,MATCH($M136,'03 Suppliers'!$B$5:$B$34,0)),"Excl VAT")="Incl VAT",'01 Control'!$C$6,0))/($N136*IFERROR(VLOOKUP($O136,'02 Lists'!$A$5:$B$18,2,FALSE()),1)))</f>
        <v/>
      </c>
      <c r="S136" s="140" t="n"/>
      <c r="T136" s="147" t="n"/>
      <c r="U136" s="141" t="n"/>
      <c r="V136" s="148" t="n"/>
      <c r="W136" s="149" t="n"/>
      <c r="X136" s="150">
        <f>IF(OR($V136="",$T136="",$T136=0),"",$V136/(1+IF(IFERROR(INDEX('03 Suppliers'!$N$5:$N$34,MATCH($S136,'03 Suppliers'!$B$5:$B$34,0)),"Excl VAT")="Incl VAT",'01 Control'!$C$6,0))/($T136*IFERROR(VLOOKUP($U136,'02 Lists'!$A$5:$B$18,2,FALSE()),1)))</f>
        <v/>
      </c>
      <c r="Y136" s="140" t="n"/>
      <c r="Z136" s="147" t="n"/>
      <c r="AA136" s="141" t="n"/>
      <c r="AB136" s="148" t="n"/>
      <c r="AC136" s="149" t="n"/>
      <c r="AD136" s="150">
        <f>IF(OR($AB136="",$Z136="",$Z136=0),"",$AB136/(1+IF(IFERROR(INDEX('03 Suppliers'!$N$5:$N$34,MATCH($Y136,'03 Suppliers'!$B$5:$B$34,0)),"Excl VAT")="Incl VAT",'01 Control'!$C$6,0))/($Z136*IFERROR(VLOOKUP($AA136,'02 Lists'!$A$5:$B$18,2,FALSE()),1)))</f>
        <v/>
      </c>
      <c r="AE136" s="140" t="n"/>
      <c r="AF136" s="147" t="n"/>
      <c r="AG136" s="141" t="n"/>
      <c r="AH136" s="148" t="n"/>
      <c r="AI136" s="149" t="n"/>
      <c r="AJ136" s="150">
        <f>IF(OR($AH136="",$AF136="",$AF136=0),"",$AH136/(1+IF(IFERROR(INDEX('03 Suppliers'!$N$5:$N$34,MATCH($AE136,'03 Suppliers'!$B$5:$B$34,0)),"Excl VAT")="Incl VAT",'01 Control'!$C$6,0))/($AF136*IFERROR(VLOOKUP($AG136,'02 Lists'!$A$5:$B$18,2,FALSE()),1)))</f>
        <v/>
      </c>
      <c r="AK136" s="151">
        <f>IF(COUNT(L136,R136,X136,AD136,AJ136)=0,"",MIN(L136,R136,X136,AD136,AJ136))</f>
        <v/>
      </c>
      <c r="AL136" s="126">
        <f>IF($AK136="","",IF(L136=$AK136,$G136,IF(R136=$AK136,$M136,IF(X136=$AK136,$S136,IF(AD136=$AK136,$Y136,IF(AJ136=$AK136,$AE136,""))))))</f>
        <v/>
      </c>
      <c r="AM136" s="151">
        <f>IF($AK136="","",$AK136/IF($E136="",1,$E136))</f>
        <v/>
      </c>
      <c r="AN136" s="152">
        <f>COUNT(L136,R136,X136,AD136,AJ136)</f>
        <v/>
      </c>
      <c r="AO136" s="150">
        <f>IF(COUNT(L136,R136,X136,AD136,AJ136)=0,"",MAX(L136,R136,X136,AD136,AJ136))</f>
        <v/>
      </c>
      <c r="AP136" s="153">
        <f>IF(OR($AK136="",$AO136="",$AO136=0),"",($AO136-$AK136)/$AO136)</f>
        <v/>
      </c>
      <c r="AQ136" s="154">
        <f>IF($AK136="","",IF(L136=$AK136,$K136,IF(R136=$AK136,$Q136,IF(X136=$AK136,$W136,IF(AD136=$AK136,$AC136,IF(AJ136=$AK136,$AI136,""))))))</f>
        <v/>
      </c>
    </row>
    <row r="137" ht="15" customHeight="1" s="106">
      <c r="A137" s="140" t="n"/>
      <c r="B137" s="140" t="n"/>
      <c r="C137" s="140" t="n"/>
      <c r="D137" s="141" t="n"/>
      <c r="E137" s="146" t="n"/>
      <c r="F137" s="140" t="n"/>
      <c r="G137" s="140" t="n"/>
      <c r="H137" s="147" t="n"/>
      <c r="I137" s="141" t="n"/>
      <c r="J137" s="148" t="n"/>
      <c r="K137" s="149" t="n"/>
      <c r="L137" s="150">
        <f>IF(OR($J137="",$H137="",$H137=0),"",$J137/(1+IF(IFERROR(INDEX('03 Suppliers'!$N$5:$N$34,MATCH($G137,'03 Suppliers'!$B$5:$B$34,0)),"Excl VAT")="Incl VAT",'01 Control'!$C$6,0))/($H137*IFERROR(VLOOKUP($I137,'02 Lists'!$A$5:$B$18,2,FALSE()),1)))</f>
        <v/>
      </c>
      <c r="M137" s="140" t="n"/>
      <c r="N137" s="147" t="n"/>
      <c r="O137" s="141" t="n"/>
      <c r="P137" s="148" t="n"/>
      <c r="Q137" s="149" t="n"/>
      <c r="R137" s="150">
        <f>IF(OR($P137="",$N137="",$N137=0),"",$P137/(1+IF(IFERROR(INDEX('03 Suppliers'!$N$5:$N$34,MATCH($M137,'03 Suppliers'!$B$5:$B$34,0)),"Excl VAT")="Incl VAT",'01 Control'!$C$6,0))/($N137*IFERROR(VLOOKUP($O137,'02 Lists'!$A$5:$B$18,2,FALSE()),1)))</f>
        <v/>
      </c>
      <c r="S137" s="140" t="n"/>
      <c r="T137" s="147" t="n"/>
      <c r="U137" s="141" t="n"/>
      <c r="V137" s="148" t="n"/>
      <c r="W137" s="149" t="n"/>
      <c r="X137" s="150">
        <f>IF(OR($V137="",$T137="",$T137=0),"",$V137/(1+IF(IFERROR(INDEX('03 Suppliers'!$N$5:$N$34,MATCH($S137,'03 Suppliers'!$B$5:$B$34,0)),"Excl VAT")="Incl VAT",'01 Control'!$C$6,0))/($T137*IFERROR(VLOOKUP($U137,'02 Lists'!$A$5:$B$18,2,FALSE()),1)))</f>
        <v/>
      </c>
      <c r="Y137" s="140" t="n"/>
      <c r="Z137" s="147" t="n"/>
      <c r="AA137" s="141" t="n"/>
      <c r="AB137" s="148" t="n"/>
      <c r="AC137" s="149" t="n"/>
      <c r="AD137" s="150">
        <f>IF(OR($AB137="",$Z137="",$Z137=0),"",$AB137/(1+IF(IFERROR(INDEX('03 Suppliers'!$N$5:$N$34,MATCH($Y137,'03 Suppliers'!$B$5:$B$34,0)),"Excl VAT")="Incl VAT",'01 Control'!$C$6,0))/($Z137*IFERROR(VLOOKUP($AA137,'02 Lists'!$A$5:$B$18,2,FALSE()),1)))</f>
        <v/>
      </c>
      <c r="AE137" s="140" t="n"/>
      <c r="AF137" s="147" t="n"/>
      <c r="AG137" s="141" t="n"/>
      <c r="AH137" s="148" t="n"/>
      <c r="AI137" s="149" t="n"/>
      <c r="AJ137" s="150">
        <f>IF(OR($AH137="",$AF137="",$AF137=0),"",$AH137/(1+IF(IFERROR(INDEX('03 Suppliers'!$N$5:$N$34,MATCH($AE137,'03 Suppliers'!$B$5:$B$34,0)),"Excl VAT")="Incl VAT",'01 Control'!$C$6,0))/($AF137*IFERROR(VLOOKUP($AG137,'02 Lists'!$A$5:$B$18,2,FALSE()),1)))</f>
        <v/>
      </c>
      <c r="AK137" s="151">
        <f>IF(COUNT(L137,R137,X137,AD137,AJ137)=0,"",MIN(L137,R137,X137,AD137,AJ137))</f>
        <v/>
      </c>
      <c r="AL137" s="126">
        <f>IF($AK137="","",IF(L137=$AK137,$G137,IF(R137=$AK137,$M137,IF(X137=$AK137,$S137,IF(AD137=$AK137,$Y137,IF(AJ137=$AK137,$AE137,""))))))</f>
        <v/>
      </c>
      <c r="AM137" s="151">
        <f>IF($AK137="","",$AK137/IF($E137="",1,$E137))</f>
        <v/>
      </c>
      <c r="AN137" s="152">
        <f>COUNT(L137,R137,X137,AD137,AJ137)</f>
        <v/>
      </c>
      <c r="AO137" s="150">
        <f>IF(COUNT(L137,R137,X137,AD137,AJ137)=0,"",MAX(L137,R137,X137,AD137,AJ137))</f>
        <v/>
      </c>
      <c r="AP137" s="153">
        <f>IF(OR($AK137="",$AO137="",$AO137=0),"",($AO137-$AK137)/$AO137)</f>
        <v/>
      </c>
      <c r="AQ137" s="154">
        <f>IF($AK137="","",IF(L137=$AK137,$K137,IF(R137=$AK137,$Q137,IF(X137=$AK137,$W137,IF(AD137=$AK137,$AC137,IF(AJ137=$AK137,$AI137,""))))))</f>
        <v/>
      </c>
    </row>
    <row r="138" ht="15" customHeight="1" s="106">
      <c r="A138" s="140" t="n"/>
      <c r="B138" s="140" t="n"/>
      <c r="C138" s="140" t="n"/>
      <c r="D138" s="141" t="n"/>
      <c r="E138" s="146" t="n"/>
      <c r="F138" s="140" t="n"/>
      <c r="G138" s="140" t="n"/>
      <c r="H138" s="147" t="n"/>
      <c r="I138" s="141" t="n"/>
      <c r="J138" s="148" t="n"/>
      <c r="K138" s="149" t="n"/>
      <c r="L138" s="150">
        <f>IF(OR($J138="",$H138="",$H138=0),"",$J138/(1+IF(IFERROR(INDEX('03 Suppliers'!$N$5:$N$34,MATCH($G138,'03 Suppliers'!$B$5:$B$34,0)),"Excl VAT")="Incl VAT",'01 Control'!$C$6,0))/($H138*IFERROR(VLOOKUP($I138,'02 Lists'!$A$5:$B$18,2,FALSE()),1)))</f>
        <v/>
      </c>
      <c r="M138" s="140" t="n"/>
      <c r="N138" s="147" t="n"/>
      <c r="O138" s="141" t="n"/>
      <c r="P138" s="148" t="n"/>
      <c r="Q138" s="149" t="n"/>
      <c r="R138" s="150">
        <f>IF(OR($P138="",$N138="",$N138=0),"",$P138/(1+IF(IFERROR(INDEX('03 Suppliers'!$N$5:$N$34,MATCH($M138,'03 Suppliers'!$B$5:$B$34,0)),"Excl VAT")="Incl VAT",'01 Control'!$C$6,0))/($N138*IFERROR(VLOOKUP($O138,'02 Lists'!$A$5:$B$18,2,FALSE()),1)))</f>
        <v/>
      </c>
      <c r="S138" s="140" t="n"/>
      <c r="T138" s="147" t="n"/>
      <c r="U138" s="141" t="n"/>
      <c r="V138" s="148" t="n"/>
      <c r="W138" s="149" t="n"/>
      <c r="X138" s="150">
        <f>IF(OR($V138="",$T138="",$T138=0),"",$V138/(1+IF(IFERROR(INDEX('03 Suppliers'!$N$5:$N$34,MATCH($S138,'03 Suppliers'!$B$5:$B$34,0)),"Excl VAT")="Incl VAT",'01 Control'!$C$6,0))/($T138*IFERROR(VLOOKUP($U138,'02 Lists'!$A$5:$B$18,2,FALSE()),1)))</f>
        <v/>
      </c>
      <c r="Y138" s="140" t="n"/>
      <c r="Z138" s="147" t="n"/>
      <c r="AA138" s="141" t="n"/>
      <c r="AB138" s="148" t="n"/>
      <c r="AC138" s="149" t="n"/>
      <c r="AD138" s="150">
        <f>IF(OR($AB138="",$Z138="",$Z138=0),"",$AB138/(1+IF(IFERROR(INDEX('03 Suppliers'!$N$5:$N$34,MATCH($Y138,'03 Suppliers'!$B$5:$B$34,0)),"Excl VAT")="Incl VAT",'01 Control'!$C$6,0))/($Z138*IFERROR(VLOOKUP($AA138,'02 Lists'!$A$5:$B$18,2,FALSE()),1)))</f>
        <v/>
      </c>
      <c r="AE138" s="140" t="n"/>
      <c r="AF138" s="147" t="n"/>
      <c r="AG138" s="141" t="n"/>
      <c r="AH138" s="148" t="n"/>
      <c r="AI138" s="149" t="n"/>
      <c r="AJ138" s="150">
        <f>IF(OR($AH138="",$AF138="",$AF138=0),"",$AH138/(1+IF(IFERROR(INDEX('03 Suppliers'!$N$5:$N$34,MATCH($AE138,'03 Suppliers'!$B$5:$B$34,0)),"Excl VAT")="Incl VAT",'01 Control'!$C$6,0))/($AF138*IFERROR(VLOOKUP($AG138,'02 Lists'!$A$5:$B$18,2,FALSE()),1)))</f>
        <v/>
      </c>
      <c r="AK138" s="151">
        <f>IF(COUNT(L138,R138,X138,AD138,AJ138)=0,"",MIN(L138,R138,X138,AD138,AJ138))</f>
        <v/>
      </c>
      <c r="AL138" s="126">
        <f>IF($AK138="","",IF(L138=$AK138,$G138,IF(R138=$AK138,$M138,IF(X138=$AK138,$S138,IF(AD138=$AK138,$Y138,IF(AJ138=$AK138,$AE138,""))))))</f>
        <v/>
      </c>
      <c r="AM138" s="151">
        <f>IF($AK138="","",$AK138/IF($E138="",1,$E138))</f>
        <v/>
      </c>
      <c r="AN138" s="152">
        <f>COUNT(L138,R138,X138,AD138,AJ138)</f>
        <v/>
      </c>
      <c r="AO138" s="150">
        <f>IF(COUNT(L138,R138,X138,AD138,AJ138)=0,"",MAX(L138,R138,X138,AD138,AJ138))</f>
        <v/>
      </c>
      <c r="AP138" s="153">
        <f>IF(OR($AK138="",$AO138="",$AO138=0),"",($AO138-$AK138)/$AO138)</f>
        <v/>
      </c>
      <c r="AQ138" s="154">
        <f>IF($AK138="","",IF(L138=$AK138,$K138,IF(R138=$AK138,$Q138,IF(X138=$AK138,$W138,IF(AD138=$AK138,$AC138,IF(AJ138=$AK138,$AI138,""))))))</f>
        <v/>
      </c>
    </row>
    <row r="139" ht="15" customHeight="1" s="106">
      <c r="A139" s="140" t="n"/>
      <c r="B139" s="140" t="n"/>
      <c r="C139" s="140" t="n"/>
      <c r="D139" s="141" t="n"/>
      <c r="E139" s="146" t="n"/>
      <c r="F139" s="140" t="n"/>
      <c r="G139" s="140" t="n"/>
      <c r="H139" s="147" t="n"/>
      <c r="I139" s="141" t="n"/>
      <c r="J139" s="148" t="n"/>
      <c r="K139" s="149" t="n"/>
      <c r="L139" s="150">
        <f>IF(OR($J139="",$H139="",$H139=0),"",$J139/(1+IF(IFERROR(INDEX('03 Suppliers'!$N$5:$N$34,MATCH($G139,'03 Suppliers'!$B$5:$B$34,0)),"Excl VAT")="Incl VAT",'01 Control'!$C$6,0))/($H139*IFERROR(VLOOKUP($I139,'02 Lists'!$A$5:$B$18,2,FALSE()),1)))</f>
        <v/>
      </c>
      <c r="M139" s="140" t="n"/>
      <c r="N139" s="147" t="n"/>
      <c r="O139" s="141" t="n"/>
      <c r="P139" s="148" t="n"/>
      <c r="Q139" s="149" t="n"/>
      <c r="R139" s="150">
        <f>IF(OR($P139="",$N139="",$N139=0),"",$P139/(1+IF(IFERROR(INDEX('03 Suppliers'!$N$5:$N$34,MATCH($M139,'03 Suppliers'!$B$5:$B$34,0)),"Excl VAT")="Incl VAT",'01 Control'!$C$6,0))/($N139*IFERROR(VLOOKUP($O139,'02 Lists'!$A$5:$B$18,2,FALSE()),1)))</f>
        <v/>
      </c>
      <c r="S139" s="140" t="n"/>
      <c r="T139" s="147" t="n"/>
      <c r="U139" s="141" t="n"/>
      <c r="V139" s="148" t="n"/>
      <c r="W139" s="149" t="n"/>
      <c r="X139" s="150">
        <f>IF(OR($V139="",$T139="",$T139=0),"",$V139/(1+IF(IFERROR(INDEX('03 Suppliers'!$N$5:$N$34,MATCH($S139,'03 Suppliers'!$B$5:$B$34,0)),"Excl VAT")="Incl VAT",'01 Control'!$C$6,0))/($T139*IFERROR(VLOOKUP($U139,'02 Lists'!$A$5:$B$18,2,FALSE()),1)))</f>
        <v/>
      </c>
      <c r="Y139" s="140" t="n"/>
      <c r="Z139" s="147" t="n"/>
      <c r="AA139" s="141" t="n"/>
      <c r="AB139" s="148" t="n"/>
      <c r="AC139" s="149" t="n"/>
      <c r="AD139" s="150">
        <f>IF(OR($AB139="",$Z139="",$Z139=0),"",$AB139/(1+IF(IFERROR(INDEX('03 Suppliers'!$N$5:$N$34,MATCH($Y139,'03 Suppliers'!$B$5:$B$34,0)),"Excl VAT")="Incl VAT",'01 Control'!$C$6,0))/($Z139*IFERROR(VLOOKUP($AA139,'02 Lists'!$A$5:$B$18,2,FALSE()),1)))</f>
        <v/>
      </c>
      <c r="AE139" s="140" t="n"/>
      <c r="AF139" s="147" t="n"/>
      <c r="AG139" s="141" t="n"/>
      <c r="AH139" s="148" t="n"/>
      <c r="AI139" s="149" t="n"/>
      <c r="AJ139" s="150">
        <f>IF(OR($AH139="",$AF139="",$AF139=0),"",$AH139/(1+IF(IFERROR(INDEX('03 Suppliers'!$N$5:$N$34,MATCH($AE139,'03 Suppliers'!$B$5:$B$34,0)),"Excl VAT")="Incl VAT",'01 Control'!$C$6,0))/($AF139*IFERROR(VLOOKUP($AG139,'02 Lists'!$A$5:$B$18,2,FALSE()),1)))</f>
        <v/>
      </c>
      <c r="AK139" s="151">
        <f>IF(COUNT(L139,R139,X139,AD139,AJ139)=0,"",MIN(L139,R139,X139,AD139,AJ139))</f>
        <v/>
      </c>
      <c r="AL139" s="126">
        <f>IF($AK139="","",IF(L139=$AK139,$G139,IF(R139=$AK139,$M139,IF(X139=$AK139,$S139,IF(AD139=$AK139,$Y139,IF(AJ139=$AK139,$AE139,""))))))</f>
        <v/>
      </c>
      <c r="AM139" s="151">
        <f>IF($AK139="","",$AK139/IF($E139="",1,$E139))</f>
        <v/>
      </c>
      <c r="AN139" s="152">
        <f>COUNT(L139,R139,X139,AD139,AJ139)</f>
        <v/>
      </c>
      <c r="AO139" s="150">
        <f>IF(COUNT(L139,R139,X139,AD139,AJ139)=0,"",MAX(L139,R139,X139,AD139,AJ139))</f>
        <v/>
      </c>
      <c r="AP139" s="153">
        <f>IF(OR($AK139="",$AO139="",$AO139=0),"",($AO139-$AK139)/$AO139)</f>
        <v/>
      </c>
      <c r="AQ139" s="154">
        <f>IF($AK139="","",IF(L139=$AK139,$K139,IF(R139=$AK139,$Q139,IF(X139=$AK139,$W139,IF(AD139=$AK139,$AC139,IF(AJ139=$AK139,$AI139,""))))))</f>
        <v/>
      </c>
    </row>
    <row r="140" ht="15" customHeight="1" s="106">
      <c r="A140" s="140" t="n"/>
      <c r="B140" s="140" t="n"/>
      <c r="C140" s="140" t="n"/>
      <c r="D140" s="141" t="n"/>
      <c r="E140" s="146" t="n"/>
      <c r="F140" s="140" t="n"/>
      <c r="G140" s="140" t="n"/>
      <c r="H140" s="147" t="n"/>
      <c r="I140" s="141" t="n"/>
      <c r="J140" s="148" t="n"/>
      <c r="K140" s="149" t="n"/>
      <c r="L140" s="150">
        <f>IF(OR($J140="",$H140="",$H140=0),"",$J140/(1+IF(IFERROR(INDEX('03 Suppliers'!$N$5:$N$34,MATCH($G140,'03 Suppliers'!$B$5:$B$34,0)),"Excl VAT")="Incl VAT",'01 Control'!$C$6,0))/($H140*IFERROR(VLOOKUP($I140,'02 Lists'!$A$5:$B$18,2,FALSE()),1)))</f>
        <v/>
      </c>
      <c r="M140" s="140" t="n"/>
      <c r="N140" s="147" t="n"/>
      <c r="O140" s="141" t="n"/>
      <c r="P140" s="148" t="n"/>
      <c r="Q140" s="149" t="n"/>
      <c r="R140" s="150">
        <f>IF(OR($P140="",$N140="",$N140=0),"",$P140/(1+IF(IFERROR(INDEX('03 Suppliers'!$N$5:$N$34,MATCH($M140,'03 Suppliers'!$B$5:$B$34,0)),"Excl VAT")="Incl VAT",'01 Control'!$C$6,0))/($N140*IFERROR(VLOOKUP($O140,'02 Lists'!$A$5:$B$18,2,FALSE()),1)))</f>
        <v/>
      </c>
      <c r="S140" s="140" t="n"/>
      <c r="T140" s="147" t="n"/>
      <c r="U140" s="141" t="n"/>
      <c r="V140" s="148" t="n"/>
      <c r="W140" s="149" t="n"/>
      <c r="X140" s="150">
        <f>IF(OR($V140="",$T140="",$T140=0),"",$V140/(1+IF(IFERROR(INDEX('03 Suppliers'!$N$5:$N$34,MATCH($S140,'03 Suppliers'!$B$5:$B$34,0)),"Excl VAT")="Incl VAT",'01 Control'!$C$6,0))/($T140*IFERROR(VLOOKUP($U140,'02 Lists'!$A$5:$B$18,2,FALSE()),1)))</f>
        <v/>
      </c>
      <c r="Y140" s="140" t="n"/>
      <c r="Z140" s="147" t="n"/>
      <c r="AA140" s="141" t="n"/>
      <c r="AB140" s="148" t="n"/>
      <c r="AC140" s="149" t="n"/>
      <c r="AD140" s="150">
        <f>IF(OR($AB140="",$Z140="",$Z140=0),"",$AB140/(1+IF(IFERROR(INDEX('03 Suppliers'!$N$5:$N$34,MATCH($Y140,'03 Suppliers'!$B$5:$B$34,0)),"Excl VAT")="Incl VAT",'01 Control'!$C$6,0))/($Z140*IFERROR(VLOOKUP($AA140,'02 Lists'!$A$5:$B$18,2,FALSE()),1)))</f>
        <v/>
      </c>
      <c r="AE140" s="140" t="n"/>
      <c r="AF140" s="147" t="n"/>
      <c r="AG140" s="141" t="n"/>
      <c r="AH140" s="148" t="n"/>
      <c r="AI140" s="149" t="n"/>
      <c r="AJ140" s="150">
        <f>IF(OR($AH140="",$AF140="",$AF140=0),"",$AH140/(1+IF(IFERROR(INDEX('03 Suppliers'!$N$5:$N$34,MATCH($AE140,'03 Suppliers'!$B$5:$B$34,0)),"Excl VAT")="Incl VAT",'01 Control'!$C$6,0))/($AF140*IFERROR(VLOOKUP($AG140,'02 Lists'!$A$5:$B$18,2,FALSE()),1)))</f>
        <v/>
      </c>
      <c r="AK140" s="151">
        <f>IF(COUNT(L140,R140,X140,AD140,AJ140)=0,"",MIN(L140,R140,X140,AD140,AJ140))</f>
        <v/>
      </c>
      <c r="AL140" s="126">
        <f>IF($AK140="","",IF(L140=$AK140,$G140,IF(R140=$AK140,$M140,IF(X140=$AK140,$S140,IF(AD140=$AK140,$Y140,IF(AJ140=$AK140,$AE140,""))))))</f>
        <v/>
      </c>
      <c r="AM140" s="151">
        <f>IF($AK140="","",$AK140/IF($E140="",1,$E140))</f>
        <v/>
      </c>
      <c r="AN140" s="152">
        <f>COUNT(L140,R140,X140,AD140,AJ140)</f>
        <v/>
      </c>
      <c r="AO140" s="150">
        <f>IF(COUNT(L140,R140,X140,AD140,AJ140)=0,"",MAX(L140,R140,X140,AD140,AJ140))</f>
        <v/>
      </c>
      <c r="AP140" s="153">
        <f>IF(OR($AK140="",$AO140="",$AO140=0),"",($AO140-$AK140)/$AO140)</f>
        <v/>
      </c>
      <c r="AQ140" s="154">
        <f>IF($AK140="","",IF(L140=$AK140,$K140,IF(R140=$AK140,$Q140,IF(X140=$AK140,$W140,IF(AD140=$AK140,$AC140,IF(AJ140=$AK140,$AI140,""))))))</f>
        <v/>
      </c>
    </row>
    <row r="141" ht="15" customHeight="1" s="106">
      <c r="A141" s="140" t="n"/>
      <c r="B141" s="140" t="n"/>
      <c r="C141" s="140" t="n"/>
      <c r="D141" s="141" t="n"/>
      <c r="E141" s="146" t="n"/>
      <c r="F141" s="140" t="n"/>
      <c r="G141" s="140" t="n"/>
      <c r="H141" s="147" t="n"/>
      <c r="I141" s="141" t="n"/>
      <c r="J141" s="148" t="n"/>
      <c r="K141" s="149" t="n"/>
      <c r="L141" s="150">
        <f>IF(OR($J141="",$H141="",$H141=0),"",$J141/(1+IF(IFERROR(INDEX('03 Suppliers'!$N$5:$N$34,MATCH($G141,'03 Suppliers'!$B$5:$B$34,0)),"Excl VAT")="Incl VAT",'01 Control'!$C$6,0))/($H141*IFERROR(VLOOKUP($I141,'02 Lists'!$A$5:$B$18,2,FALSE()),1)))</f>
        <v/>
      </c>
      <c r="M141" s="140" t="n"/>
      <c r="N141" s="147" t="n"/>
      <c r="O141" s="141" t="n"/>
      <c r="P141" s="148" t="n"/>
      <c r="Q141" s="149" t="n"/>
      <c r="R141" s="150">
        <f>IF(OR($P141="",$N141="",$N141=0),"",$P141/(1+IF(IFERROR(INDEX('03 Suppliers'!$N$5:$N$34,MATCH($M141,'03 Suppliers'!$B$5:$B$34,0)),"Excl VAT")="Incl VAT",'01 Control'!$C$6,0))/($N141*IFERROR(VLOOKUP($O141,'02 Lists'!$A$5:$B$18,2,FALSE()),1)))</f>
        <v/>
      </c>
      <c r="S141" s="140" t="n"/>
      <c r="T141" s="147" t="n"/>
      <c r="U141" s="141" t="n"/>
      <c r="V141" s="148" t="n"/>
      <c r="W141" s="149" t="n"/>
      <c r="X141" s="150">
        <f>IF(OR($V141="",$T141="",$T141=0),"",$V141/(1+IF(IFERROR(INDEX('03 Suppliers'!$N$5:$N$34,MATCH($S141,'03 Suppliers'!$B$5:$B$34,0)),"Excl VAT")="Incl VAT",'01 Control'!$C$6,0))/($T141*IFERROR(VLOOKUP($U141,'02 Lists'!$A$5:$B$18,2,FALSE()),1)))</f>
        <v/>
      </c>
      <c r="Y141" s="140" t="n"/>
      <c r="Z141" s="147" t="n"/>
      <c r="AA141" s="141" t="n"/>
      <c r="AB141" s="148" t="n"/>
      <c r="AC141" s="149" t="n"/>
      <c r="AD141" s="150">
        <f>IF(OR($AB141="",$Z141="",$Z141=0),"",$AB141/(1+IF(IFERROR(INDEX('03 Suppliers'!$N$5:$N$34,MATCH($Y141,'03 Suppliers'!$B$5:$B$34,0)),"Excl VAT")="Incl VAT",'01 Control'!$C$6,0))/($Z141*IFERROR(VLOOKUP($AA141,'02 Lists'!$A$5:$B$18,2,FALSE()),1)))</f>
        <v/>
      </c>
      <c r="AE141" s="140" t="n"/>
      <c r="AF141" s="147" t="n"/>
      <c r="AG141" s="141" t="n"/>
      <c r="AH141" s="148" t="n"/>
      <c r="AI141" s="149" t="n"/>
      <c r="AJ141" s="150">
        <f>IF(OR($AH141="",$AF141="",$AF141=0),"",$AH141/(1+IF(IFERROR(INDEX('03 Suppliers'!$N$5:$N$34,MATCH($AE141,'03 Suppliers'!$B$5:$B$34,0)),"Excl VAT")="Incl VAT",'01 Control'!$C$6,0))/($AF141*IFERROR(VLOOKUP($AG141,'02 Lists'!$A$5:$B$18,2,FALSE()),1)))</f>
        <v/>
      </c>
      <c r="AK141" s="151">
        <f>IF(COUNT(L141,R141,X141,AD141,AJ141)=0,"",MIN(L141,R141,X141,AD141,AJ141))</f>
        <v/>
      </c>
      <c r="AL141" s="126">
        <f>IF($AK141="","",IF(L141=$AK141,$G141,IF(R141=$AK141,$M141,IF(X141=$AK141,$S141,IF(AD141=$AK141,$Y141,IF(AJ141=$AK141,$AE141,""))))))</f>
        <v/>
      </c>
      <c r="AM141" s="151">
        <f>IF($AK141="","",$AK141/IF($E141="",1,$E141))</f>
        <v/>
      </c>
      <c r="AN141" s="152">
        <f>COUNT(L141,R141,X141,AD141,AJ141)</f>
        <v/>
      </c>
      <c r="AO141" s="150">
        <f>IF(COUNT(L141,R141,X141,AD141,AJ141)=0,"",MAX(L141,R141,X141,AD141,AJ141))</f>
        <v/>
      </c>
      <c r="AP141" s="153">
        <f>IF(OR($AK141="",$AO141="",$AO141=0),"",($AO141-$AK141)/$AO141)</f>
        <v/>
      </c>
      <c r="AQ141" s="154">
        <f>IF($AK141="","",IF(L141=$AK141,$K141,IF(R141=$AK141,$Q141,IF(X141=$AK141,$W141,IF(AD141=$AK141,$AC141,IF(AJ141=$AK141,$AI141,""))))))</f>
        <v/>
      </c>
    </row>
    <row r="142" ht="15" customHeight="1" s="106">
      <c r="A142" s="140" t="n"/>
      <c r="B142" s="140" t="n"/>
      <c r="C142" s="140" t="n"/>
      <c r="D142" s="141" t="n"/>
      <c r="E142" s="146" t="n"/>
      <c r="F142" s="140" t="n"/>
      <c r="G142" s="140" t="n"/>
      <c r="H142" s="147" t="n"/>
      <c r="I142" s="141" t="n"/>
      <c r="J142" s="148" t="n"/>
      <c r="K142" s="149" t="n"/>
      <c r="L142" s="150">
        <f>IF(OR($J142="",$H142="",$H142=0),"",$J142/(1+IF(IFERROR(INDEX('03 Suppliers'!$N$5:$N$34,MATCH($G142,'03 Suppliers'!$B$5:$B$34,0)),"Excl VAT")="Incl VAT",'01 Control'!$C$6,0))/($H142*IFERROR(VLOOKUP($I142,'02 Lists'!$A$5:$B$18,2,FALSE()),1)))</f>
        <v/>
      </c>
      <c r="M142" s="140" t="n"/>
      <c r="N142" s="147" t="n"/>
      <c r="O142" s="141" t="n"/>
      <c r="P142" s="148" t="n"/>
      <c r="Q142" s="149" t="n"/>
      <c r="R142" s="150">
        <f>IF(OR($P142="",$N142="",$N142=0),"",$P142/(1+IF(IFERROR(INDEX('03 Suppliers'!$N$5:$N$34,MATCH($M142,'03 Suppliers'!$B$5:$B$34,0)),"Excl VAT")="Incl VAT",'01 Control'!$C$6,0))/($N142*IFERROR(VLOOKUP($O142,'02 Lists'!$A$5:$B$18,2,FALSE()),1)))</f>
        <v/>
      </c>
      <c r="S142" s="140" t="n"/>
      <c r="T142" s="147" t="n"/>
      <c r="U142" s="141" t="n"/>
      <c r="V142" s="148" t="n"/>
      <c r="W142" s="149" t="n"/>
      <c r="X142" s="150">
        <f>IF(OR($V142="",$T142="",$T142=0),"",$V142/(1+IF(IFERROR(INDEX('03 Suppliers'!$N$5:$N$34,MATCH($S142,'03 Suppliers'!$B$5:$B$34,0)),"Excl VAT")="Incl VAT",'01 Control'!$C$6,0))/($T142*IFERROR(VLOOKUP($U142,'02 Lists'!$A$5:$B$18,2,FALSE()),1)))</f>
        <v/>
      </c>
      <c r="Y142" s="140" t="n"/>
      <c r="Z142" s="147" t="n"/>
      <c r="AA142" s="141" t="n"/>
      <c r="AB142" s="148" t="n"/>
      <c r="AC142" s="149" t="n"/>
      <c r="AD142" s="150">
        <f>IF(OR($AB142="",$Z142="",$Z142=0),"",$AB142/(1+IF(IFERROR(INDEX('03 Suppliers'!$N$5:$N$34,MATCH($Y142,'03 Suppliers'!$B$5:$B$34,0)),"Excl VAT")="Incl VAT",'01 Control'!$C$6,0))/($Z142*IFERROR(VLOOKUP($AA142,'02 Lists'!$A$5:$B$18,2,FALSE()),1)))</f>
        <v/>
      </c>
      <c r="AE142" s="140" t="n"/>
      <c r="AF142" s="147" t="n"/>
      <c r="AG142" s="141" t="n"/>
      <c r="AH142" s="148" t="n"/>
      <c r="AI142" s="149" t="n"/>
      <c r="AJ142" s="150">
        <f>IF(OR($AH142="",$AF142="",$AF142=0),"",$AH142/(1+IF(IFERROR(INDEX('03 Suppliers'!$N$5:$N$34,MATCH($AE142,'03 Suppliers'!$B$5:$B$34,0)),"Excl VAT")="Incl VAT",'01 Control'!$C$6,0))/($AF142*IFERROR(VLOOKUP($AG142,'02 Lists'!$A$5:$B$18,2,FALSE()),1)))</f>
        <v/>
      </c>
      <c r="AK142" s="151">
        <f>IF(COUNT(L142,R142,X142,AD142,AJ142)=0,"",MIN(L142,R142,X142,AD142,AJ142))</f>
        <v/>
      </c>
      <c r="AL142" s="126">
        <f>IF($AK142="","",IF(L142=$AK142,$G142,IF(R142=$AK142,$M142,IF(X142=$AK142,$S142,IF(AD142=$AK142,$Y142,IF(AJ142=$AK142,$AE142,""))))))</f>
        <v/>
      </c>
      <c r="AM142" s="151">
        <f>IF($AK142="","",$AK142/IF($E142="",1,$E142))</f>
        <v/>
      </c>
      <c r="AN142" s="152">
        <f>COUNT(L142,R142,X142,AD142,AJ142)</f>
        <v/>
      </c>
      <c r="AO142" s="150">
        <f>IF(COUNT(L142,R142,X142,AD142,AJ142)=0,"",MAX(L142,R142,X142,AD142,AJ142))</f>
        <v/>
      </c>
      <c r="AP142" s="153">
        <f>IF(OR($AK142="",$AO142="",$AO142=0),"",($AO142-$AK142)/$AO142)</f>
        <v/>
      </c>
      <c r="AQ142" s="154">
        <f>IF($AK142="","",IF(L142=$AK142,$K142,IF(R142=$AK142,$Q142,IF(X142=$AK142,$W142,IF(AD142=$AK142,$AC142,IF(AJ142=$AK142,$AI142,""))))))</f>
        <v/>
      </c>
    </row>
    <row r="143" ht="15" customHeight="1" s="106">
      <c r="A143" s="140" t="n"/>
      <c r="B143" s="140" t="n"/>
      <c r="C143" s="140" t="n"/>
      <c r="D143" s="141" t="n"/>
      <c r="E143" s="146" t="n"/>
      <c r="F143" s="140" t="n"/>
      <c r="G143" s="140" t="n"/>
      <c r="H143" s="147" t="n"/>
      <c r="I143" s="141" t="n"/>
      <c r="J143" s="148" t="n"/>
      <c r="K143" s="149" t="n"/>
      <c r="L143" s="150">
        <f>IF(OR($J143="",$H143="",$H143=0),"",$J143/(1+IF(IFERROR(INDEX('03 Suppliers'!$N$5:$N$34,MATCH($G143,'03 Suppliers'!$B$5:$B$34,0)),"Excl VAT")="Incl VAT",'01 Control'!$C$6,0))/($H143*IFERROR(VLOOKUP($I143,'02 Lists'!$A$5:$B$18,2,FALSE()),1)))</f>
        <v/>
      </c>
      <c r="M143" s="140" t="n"/>
      <c r="N143" s="147" t="n"/>
      <c r="O143" s="141" t="n"/>
      <c r="P143" s="148" t="n"/>
      <c r="Q143" s="149" t="n"/>
      <c r="R143" s="150">
        <f>IF(OR($P143="",$N143="",$N143=0),"",$P143/(1+IF(IFERROR(INDEX('03 Suppliers'!$N$5:$N$34,MATCH($M143,'03 Suppliers'!$B$5:$B$34,0)),"Excl VAT")="Incl VAT",'01 Control'!$C$6,0))/($N143*IFERROR(VLOOKUP($O143,'02 Lists'!$A$5:$B$18,2,FALSE()),1)))</f>
        <v/>
      </c>
      <c r="S143" s="140" t="n"/>
      <c r="T143" s="147" t="n"/>
      <c r="U143" s="141" t="n"/>
      <c r="V143" s="148" t="n"/>
      <c r="W143" s="149" t="n"/>
      <c r="X143" s="150">
        <f>IF(OR($V143="",$T143="",$T143=0),"",$V143/(1+IF(IFERROR(INDEX('03 Suppliers'!$N$5:$N$34,MATCH($S143,'03 Suppliers'!$B$5:$B$34,0)),"Excl VAT")="Incl VAT",'01 Control'!$C$6,0))/($T143*IFERROR(VLOOKUP($U143,'02 Lists'!$A$5:$B$18,2,FALSE()),1)))</f>
        <v/>
      </c>
      <c r="Y143" s="140" t="n"/>
      <c r="Z143" s="147" t="n"/>
      <c r="AA143" s="141" t="n"/>
      <c r="AB143" s="148" t="n"/>
      <c r="AC143" s="149" t="n"/>
      <c r="AD143" s="150">
        <f>IF(OR($AB143="",$Z143="",$Z143=0),"",$AB143/(1+IF(IFERROR(INDEX('03 Suppliers'!$N$5:$N$34,MATCH($Y143,'03 Suppliers'!$B$5:$B$34,0)),"Excl VAT")="Incl VAT",'01 Control'!$C$6,0))/($Z143*IFERROR(VLOOKUP($AA143,'02 Lists'!$A$5:$B$18,2,FALSE()),1)))</f>
        <v/>
      </c>
      <c r="AE143" s="140" t="n"/>
      <c r="AF143" s="147" t="n"/>
      <c r="AG143" s="141" t="n"/>
      <c r="AH143" s="148" t="n"/>
      <c r="AI143" s="149" t="n"/>
      <c r="AJ143" s="150">
        <f>IF(OR($AH143="",$AF143="",$AF143=0),"",$AH143/(1+IF(IFERROR(INDEX('03 Suppliers'!$N$5:$N$34,MATCH($AE143,'03 Suppliers'!$B$5:$B$34,0)),"Excl VAT")="Incl VAT",'01 Control'!$C$6,0))/($AF143*IFERROR(VLOOKUP($AG143,'02 Lists'!$A$5:$B$18,2,FALSE()),1)))</f>
        <v/>
      </c>
      <c r="AK143" s="151">
        <f>IF(COUNT(L143,R143,X143,AD143,AJ143)=0,"",MIN(L143,R143,X143,AD143,AJ143))</f>
        <v/>
      </c>
      <c r="AL143" s="126">
        <f>IF($AK143="","",IF(L143=$AK143,$G143,IF(R143=$AK143,$M143,IF(X143=$AK143,$S143,IF(AD143=$AK143,$Y143,IF(AJ143=$AK143,$AE143,""))))))</f>
        <v/>
      </c>
      <c r="AM143" s="151">
        <f>IF($AK143="","",$AK143/IF($E143="",1,$E143))</f>
        <v/>
      </c>
      <c r="AN143" s="152">
        <f>COUNT(L143,R143,X143,AD143,AJ143)</f>
        <v/>
      </c>
      <c r="AO143" s="150">
        <f>IF(COUNT(L143,R143,X143,AD143,AJ143)=0,"",MAX(L143,R143,X143,AD143,AJ143))</f>
        <v/>
      </c>
      <c r="AP143" s="153">
        <f>IF(OR($AK143="",$AO143="",$AO143=0),"",($AO143-$AK143)/$AO143)</f>
        <v/>
      </c>
      <c r="AQ143" s="154">
        <f>IF($AK143="","",IF(L143=$AK143,$K143,IF(R143=$AK143,$Q143,IF(X143=$AK143,$W143,IF(AD143=$AK143,$AC143,IF(AJ143=$AK143,$AI143,""))))))</f>
        <v/>
      </c>
    </row>
    <row r="144" ht="15" customHeight="1" s="106">
      <c r="A144" s="140" t="n"/>
      <c r="B144" s="140" t="n"/>
      <c r="C144" s="140" t="n"/>
      <c r="D144" s="141" t="n"/>
      <c r="E144" s="146" t="n"/>
      <c r="F144" s="140" t="n"/>
      <c r="G144" s="140" t="n"/>
      <c r="H144" s="147" t="n"/>
      <c r="I144" s="141" t="n"/>
      <c r="J144" s="148" t="n"/>
      <c r="K144" s="149" t="n"/>
      <c r="L144" s="150">
        <f>IF(OR($J144="",$H144="",$H144=0),"",$J144/(1+IF(IFERROR(INDEX('03 Suppliers'!$N$5:$N$34,MATCH($G144,'03 Suppliers'!$B$5:$B$34,0)),"Excl VAT")="Incl VAT",'01 Control'!$C$6,0))/($H144*IFERROR(VLOOKUP($I144,'02 Lists'!$A$5:$B$18,2,FALSE()),1)))</f>
        <v/>
      </c>
      <c r="M144" s="140" t="n"/>
      <c r="N144" s="147" t="n"/>
      <c r="O144" s="141" t="n"/>
      <c r="P144" s="148" t="n"/>
      <c r="Q144" s="149" t="n"/>
      <c r="R144" s="150">
        <f>IF(OR($P144="",$N144="",$N144=0),"",$P144/(1+IF(IFERROR(INDEX('03 Suppliers'!$N$5:$N$34,MATCH($M144,'03 Suppliers'!$B$5:$B$34,0)),"Excl VAT")="Incl VAT",'01 Control'!$C$6,0))/($N144*IFERROR(VLOOKUP($O144,'02 Lists'!$A$5:$B$18,2,FALSE()),1)))</f>
        <v/>
      </c>
      <c r="S144" s="140" t="n"/>
      <c r="T144" s="147" t="n"/>
      <c r="U144" s="141" t="n"/>
      <c r="V144" s="148" t="n"/>
      <c r="W144" s="149" t="n"/>
      <c r="X144" s="150">
        <f>IF(OR($V144="",$T144="",$T144=0),"",$V144/(1+IF(IFERROR(INDEX('03 Suppliers'!$N$5:$N$34,MATCH($S144,'03 Suppliers'!$B$5:$B$34,0)),"Excl VAT")="Incl VAT",'01 Control'!$C$6,0))/($T144*IFERROR(VLOOKUP($U144,'02 Lists'!$A$5:$B$18,2,FALSE()),1)))</f>
        <v/>
      </c>
      <c r="Y144" s="140" t="n"/>
      <c r="Z144" s="147" t="n"/>
      <c r="AA144" s="141" t="n"/>
      <c r="AB144" s="148" t="n"/>
      <c r="AC144" s="149" t="n"/>
      <c r="AD144" s="150">
        <f>IF(OR($AB144="",$Z144="",$Z144=0),"",$AB144/(1+IF(IFERROR(INDEX('03 Suppliers'!$N$5:$N$34,MATCH($Y144,'03 Suppliers'!$B$5:$B$34,0)),"Excl VAT")="Incl VAT",'01 Control'!$C$6,0))/($Z144*IFERROR(VLOOKUP($AA144,'02 Lists'!$A$5:$B$18,2,FALSE()),1)))</f>
        <v/>
      </c>
      <c r="AE144" s="140" t="n"/>
      <c r="AF144" s="147" t="n"/>
      <c r="AG144" s="141" t="n"/>
      <c r="AH144" s="148" t="n"/>
      <c r="AI144" s="149" t="n"/>
      <c r="AJ144" s="150">
        <f>IF(OR($AH144="",$AF144="",$AF144=0),"",$AH144/(1+IF(IFERROR(INDEX('03 Suppliers'!$N$5:$N$34,MATCH($AE144,'03 Suppliers'!$B$5:$B$34,0)),"Excl VAT")="Incl VAT",'01 Control'!$C$6,0))/($AF144*IFERROR(VLOOKUP($AG144,'02 Lists'!$A$5:$B$18,2,FALSE()),1)))</f>
        <v/>
      </c>
      <c r="AK144" s="151">
        <f>IF(COUNT(L144,R144,X144,AD144,AJ144)=0,"",MIN(L144,R144,X144,AD144,AJ144))</f>
        <v/>
      </c>
      <c r="AL144" s="126">
        <f>IF($AK144="","",IF(L144=$AK144,$G144,IF(R144=$AK144,$M144,IF(X144=$AK144,$S144,IF(AD144=$AK144,$Y144,IF(AJ144=$AK144,$AE144,""))))))</f>
        <v/>
      </c>
      <c r="AM144" s="151">
        <f>IF($AK144="","",$AK144/IF($E144="",1,$E144))</f>
        <v/>
      </c>
      <c r="AN144" s="152">
        <f>COUNT(L144,R144,X144,AD144,AJ144)</f>
        <v/>
      </c>
      <c r="AO144" s="150">
        <f>IF(COUNT(L144,R144,X144,AD144,AJ144)=0,"",MAX(L144,R144,X144,AD144,AJ144))</f>
        <v/>
      </c>
      <c r="AP144" s="153">
        <f>IF(OR($AK144="",$AO144="",$AO144=0),"",($AO144-$AK144)/$AO144)</f>
        <v/>
      </c>
      <c r="AQ144" s="154">
        <f>IF($AK144="","",IF(L144=$AK144,$K144,IF(R144=$AK144,$Q144,IF(X144=$AK144,$W144,IF(AD144=$AK144,$AC144,IF(AJ144=$AK144,$AI144,""))))))</f>
        <v/>
      </c>
    </row>
    <row r="145" ht="15" customHeight="1" s="106">
      <c r="A145" s="140" t="n"/>
      <c r="B145" s="140" t="n"/>
      <c r="C145" s="140" t="n"/>
      <c r="D145" s="141" t="n"/>
      <c r="E145" s="146" t="n"/>
      <c r="F145" s="140" t="n"/>
      <c r="G145" s="140" t="n"/>
      <c r="H145" s="147" t="n"/>
      <c r="I145" s="141" t="n"/>
      <c r="J145" s="148" t="n"/>
      <c r="K145" s="149" t="n"/>
      <c r="L145" s="150">
        <f>IF(OR($J145="",$H145="",$H145=0),"",$J145/(1+IF(IFERROR(INDEX('03 Suppliers'!$N$5:$N$34,MATCH($G145,'03 Suppliers'!$B$5:$B$34,0)),"Excl VAT")="Incl VAT",'01 Control'!$C$6,0))/($H145*IFERROR(VLOOKUP($I145,'02 Lists'!$A$5:$B$18,2,FALSE()),1)))</f>
        <v/>
      </c>
      <c r="M145" s="140" t="n"/>
      <c r="N145" s="147" t="n"/>
      <c r="O145" s="141" t="n"/>
      <c r="P145" s="148" t="n"/>
      <c r="Q145" s="149" t="n"/>
      <c r="R145" s="150">
        <f>IF(OR($P145="",$N145="",$N145=0),"",$P145/(1+IF(IFERROR(INDEX('03 Suppliers'!$N$5:$N$34,MATCH($M145,'03 Suppliers'!$B$5:$B$34,0)),"Excl VAT")="Incl VAT",'01 Control'!$C$6,0))/($N145*IFERROR(VLOOKUP($O145,'02 Lists'!$A$5:$B$18,2,FALSE()),1)))</f>
        <v/>
      </c>
      <c r="S145" s="140" t="n"/>
      <c r="T145" s="147" t="n"/>
      <c r="U145" s="141" t="n"/>
      <c r="V145" s="148" t="n"/>
      <c r="W145" s="149" t="n"/>
      <c r="X145" s="150">
        <f>IF(OR($V145="",$T145="",$T145=0),"",$V145/(1+IF(IFERROR(INDEX('03 Suppliers'!$N$5:$N$34,MATCH($S145,'03 Suppliers'!$B$5:$B$34,0)),"Excl VAT")="Incl VAT",'01 Control'!$C$6,0))/($T145*IFERROR(VLOOKUP($U145,'02 Lists'!$A$5:$B$18,2,FALSE()),1)))</f>
        <v/>
      </c>
      <c r="Y145" s="140" t="n"/>
      <c r="Z145" s="147" t="n"/>
      <c r="AA145" s="141" t="n"/>
      <c r="AB145" s="148" t="n"/>
      <c r="AC145" s="149" t="n"/>
      <c r="AD145" s="150">
        <f>IF(OR($AB145="",$Z145="",$Z145=0),"",$AB145/(1+IF(IFERROR(INDEX('03 Suppliers'!$N$5:$N$34,MATCH($Y145,'03 Suppliers'!$B$5:$B$34,0)),"Excl VAT")="Incl VAT",'01 Control'!$C$6,0))/($Z145*IFERROR(VLOOKUP($AA145,'02 Lists'!$A$5:$B$18,2,FALSE()),1)))</f>
        <v/>
      </c>
      <c r="AE145" s="140" t="n"/>
      <c r="AF145" s="147" t="n"/>
      <c r="AG145" s="141" t="n"/>
      <c r="AH145" s="148" t="n"/>
      <c r="AI145" s="149" t="n"/>
      <c r="AJ145" s="150">
        <f>IF(OR($AH145="",$AF145="",$AF145=0),"",$AH145/(1+IF(IFERROR(INDEX('03 Suppliers'!$N$5:$N$34,MATCH($AE145,'03 Suppliers'!$B$5:$B$34,0)),"Excl VAT")="Incl VAT",'01 Control'!$C$6,0))/($AF145*IFERROR(VLOOKUP($AG145,'02 Lists'!$A$5:$B$18,2,FALSE()),1)))</f>
        <v/>
      </c>
      <c r="AK145" s="151">
        <f>IF(COUNT(L145,R145,X145,AD145,AJ145)=0,"",MIN(L145,R145,X145,AD145,AJ145))</f>
        <v/>
      </c>
      <c r="AL145" s="126">
        <f>IF($AK145="","",IF(L145=$AK145,$G145,IF(R145=$AK145,$M145,IF(X145=$AK145,$S145,IF(AD145=$AK145,$Y145,IF(AJ145=$AK145,$AE145,""))))))</f>
        <v/>
      </c>
      <c r="AM145" s="151">
        <f>IF($AK145="","",$AK145/IF($E145="",1,$E145))</f>
        <v/>
      </c>
      <c r="AN145" s="152">
        <f>COUNT(L145,R145,X145,AD145,AJ145)</f>
        <v/>
      </c>
      <c r="AO145" s="150">
        <f>IF(COUNT(L145,R145,X145,AD145,AJ145)=0,"",MAX(L145,R145,X145,AD145,AJ145))</f>
        <v/>
      </c>
      <c r="AP145" s="153">
        <f>IF(OR($AK145="",$AO145="",$AO145=0),"",($AO145-$AK145)/$AO145)</f>
        <v/>
      </c>
      <c r="AQ145" s="154">
        <f>IF($AK145="","",IF(L145=$AK145,$K145,IF(R145=$AK145,$Q145,IF(X145=$AK145,$W145,IF(AD145=$AK145,$AC145,IF(AJ145=$AK145,$AI145,""))))))</f>
        <v/>
      </c>
    </row>
    <row r="146" ht="15" customHeight="1" s="106">
      <c r="A146" s="140" t="n"/>
      <c r="B146" s="140" t="n"/>
      <c r="C146" s="140" t="n"/>
      <c r="D146" s="141" t="n"/>
      <c r="E146" s="146" t="n"/>
      <c r="F146" s="140" t="n"/>
      <c r="G146" s="140" t="n"/>
      <c r="H146" s="147" t="n"/>
      <c r="I146" s="141" t="n"/>
      <c r="J146" s="148" t="n"/>
      <c r="K146" s="149" t="n"/>
      <c r="L146" s="150">
        <f>IF(OR($J146="",$H146="",$H146=0),"",$J146/(1+IF(IFERROR(INDEX('03 Suppliers'!$N$5:$N$34,MATCH($G146,'03 Suppliers'!$B$5:$B$34,0)),"Excl VAT")="Incl VAT",'01 Control'!$C$6,0))/($H146*IFERROR(VLOOKUP($I146,'02 Lists'!$A$5:$B$18,2,FALSE()),1)))</f>
        <v/>
      </c>
      <c r="M146" s="140" t="n"/>
      <c r="N146" s="147" t="n"/>
      <c r="O146" s="141" t="n"/>
      <c r="P146" s="148" t="n"/>
      <c r="Q146" s="149" t="n"/>
      <c r="R146" s="150">
        <f>IF(OR($P146="",$N146="",$N146=0),"",$P146/(1+IF(IFERROR(INDEX('03 Suppliers'!$N$5:$N$34,MATCH($M146,'03 Suppliers'!$B$5:$B$34,0)),"Excl VAT")="Incl VAT",'01 Control'!$C$6,0))/($N146*IFERROR(VLOOKUP($O146,'02 Lists'!$A$5:$B$18,2,FALSE()),1)))</f>
        <v/>
      </c>
      <c r="S146" s="140" t="n"/>
      <c r="T146" s="147" t="n"/>
      <c r="U146" s="141" t="n"/>
      <c r="V146" s="148" t="n"/>
      <c r="W146" s="149" t="n"/>
      <c r="X146" s="150">
        <f>IF(OR($V146="",$T146="",$T146=0),"",$V146/(1+IF(IFERROR(INDEX('03 Suppliers'!$N$5:$N$34,MATCH($S146,'03 Suppliers'!$B$5:$B$34,0)),"Excl VAT")="Incl VAT",'01 Control'!$C$6,0))/($T146*IFERROR(VLOOKUP($U146,'02 Lists'!$A$5:$B$18,2,FALSE()),1)))</f>
        <v/>
      </c>
      <c r="Y146" s="140" t="n"/>
      <c r="Z146" s="147" t="n"/>
      <c r="AA146" s="141" t="n"/>
      <c r="AB146" s="148" t="n"/>
      <c r="AC146" s="149" t="n"/>
      <c r="AD146" s="150">
        <f>IF(OR($AB146="",$Z146="",$Z146=0),"",$AB146/(1+IF(IFERROR(INDEX('03 Suppliers'!$N$5:$N$34,MATCH($Y146,'03 Suppliers'!$B$5:$B$34,0)),"Excl VAT")="Incl VAT",'01 Control'!$C$6,0))/($Z146*IFERROR(VLOOKUP($AA146,'02 Lists'!$A$5:$B$18,2,FALSE()),1)))</f>
        <v/>
      </c>
      <c r="AE146" s="140" t="n"/>
      <c r="AF146" s="147" t="n"/>
      <c r="AG146" s="141" t="n"/>
      <c r="AH146" s="148" t="n"/>
      <c r="AI146" s="149" t="n"/>
      <c r="AJ146" s="150">
        <f>IF(OR($AH146="",$AF146="",$AF146=0),"",$AH146/(1+IF(IFERROR(INDEX('03 Suppliers'!$N$5:$N$34,MATCH($AE146,'03 Suppliers'!$B$5:$B$34,0)),"Excl VAT")="Incl VAT",'01 Control'!$C$6,0))/($AF146*IFERROR(VLOOKUP($AG146,'02 Lists'!$A$5:$B$18,2,FALSE()),1)))</f>
        <v/>
      </c>
      <c r="AK146" s="151">
        <f>IF(COUNT(L146,R146,X146,AD146,AJ146)=0,"",MIN(L146,R146,X146,AD146,AJ146))</f>
        <v/>
      </c>
      <c r="AL146" s="126">
        <f>IF($AK146="","",IF(L146=$AK146,$G146,IF(R146=$AK146,$M146,IF(X146=$AK146,$S146,IF(AD146=$AK146,$Y146,IF(AJ146=$AK146,$AE146,""))))))</f>
        <v/>
      </c>
      <c r="AM146" s="151">
        <f>IF($AK146="","",$AK146/IF($E146="",1,$E146))</f>
        <v/>
      </c>
      <c r="AN146" s="152">
        <f>COUNT(L146,R146,X146,AD146,AJ146)</f>
        <v/>
      </c>
      <c r="AO146" s="150">
        <f>IF(COUNT(L146,R146,X146,AD146,AJ146)=0,"",MAX(L146,R146,X146,AD146,AJ146))</f>
        <v/>
      </c>
      <c r="AP146" s="153">
        <f>IF(OR($AK146="",$AO146="",$AO146=0),"",($AO146-$AK146)/$AO146)</f>
        <v/>
      </c>
      <c r="AQ146" s="154">
        <f>IF($AK146="","",IF(L146=$AK146,$K146,IF(R146=$AK146,$Q146,IF(X146=$AK146,$W146,IF(AD146=$AK146,$AC146,IF(AJ146=$AK146,$AI146,""))))))</f>
        <v/>
      </c>
    </row>
    <row r="147" ht="15" customHeight="1" s="106">
      <c r="A147" s="140" t="n"/>
      <c r="B147" s="140" t="n"/>
      <c r="C147" s="140" t="n"/>
      <c r="D147" s="141" t="n"/>
      <c r="E147" s="146" t="n"/>
      <c r="F147" s="140" t="n"/>
      <c r="G147" s="140" t="n"/>
      <c r="H147" s="147" t="n"/>
      <c r="I147" s="141" t="n"/>
      <c r="J147" s="148" t="n"/>
      <c r="K147" s="149" t="n"/>
      <c r="L147" s="150">
        <f>IF(OR($J147="",$H147="",$H147=0),"",$J147/(1+IF(IFERROR(INDEX('03 Suppliers'!$N$5:$N$34,MATCH($G147,'03 Suppliers'!$B$5:$B$34,0)),"Excl VAT")="Incl VAT",'01 Control'!$C$6,0))/($H147*IFERROR(VLOOKUP($I147,'02 Lists'!$A$5:$B$18,2,FALSE()),1)))</f>
        <v/>
      </c>
      <c r="M147" s="140" t="n"/>
      <c r="N147" s="147" t="n"/>
      <c r="O147" s="141" t="n"/>
      <c r="P147" s="148" t="n"/>
      <c r="Q147" s="149" t="n"/>
      <c r="R147" s="150">
        <f>IF(OR($P147="",$N147="",$N147=0),"",$P147/(1+IF(IFERROR(INDEX('03 Suppliers'!$N$5:$N$34,MATCH($M147,'03 Suppliers'!$B$5:$B$34,0)),"Excl VAT")="Incl VAT",'01 Control'!$C$6,0))/($N147*IFERROR(VLOOKUP($O147,'02 Lists'!$A$5:$B$18,2,FALSE()),1)))</f>
        <v/>
      </c>
      <c r="S147" s="140" t="n"/>
      <c r="T147" s="147" t="n"/>
      <c r="U147" s="141" t="n"/>
      <c r="V147" s="148" t="n"/>
      <c r="W147" s="149" t="n"/>
      <c r="X147" s="150">
        <f>IF(OR($V147="",$T147="",$T147=0),"",$V147/(1+IF(IFERROR(INDEX('03 Suppliers'!$N$5:$N$34,MATCH($S147,'03 Suppliers'!$B$5:$B$34,0)),"Excl VAT")="Incl VAT",'01 Control'!$C$6,0))/($T147*IFERROR(VLOOKUP($U147,'02 Lists'!$A$5:$B$18,2,FALSE()),1)))</f>
        <v/>
      </c>
      <c r="Y147" s="140" t="n"/>
      <c r="Z147" s="147" t="n"/>
      <c r="AA147" s="141" t="n"/>
      <c r="AB147" s="148" t="n"/>
      <c r="AC147" s="149" t="n"/>
      <c r="AD147" s="150">
        <f>IF(OR($AB147="",$Z147="",$Z147=0),"",$AB147/(1+IF(IFERROR(INDEX('03 Suppliers'!$N$5:$N$34,MATCH($Y147,'03 Suppliers'!$B$5:$B$34,0)),"Excl VAT")="Incl VAT",'01 Control'!$C$6,0))/($Z147*IFERROR(VLOOKUP($AA147,'02 Lists'!$A$5:$B$18,2,FALSE()),1)))</f>
        <v/>
      </c>
      <c r="AE147" s="140" t="n"/>
      <c r="AF147" s="147" t="n"/>
      <c r="AG147" s="141" t="n"/>
      <c r="AH147" s="148" t="n"/>
      <c r="AI147" s="149" t="n"/>
      <c r="AJ147" s="150">
        <f>IF(OR($AH147="",$AF147="",$AF147=0),"",$AH147/(1+IF(IFERROR(INDEX('03 Suppliers'!$N$5:$N$34,MATCH($AE147,'03 Suppliers'!$B$5:$B$34,0)),"Excl VAT")="Incl VAT",'01 Control'!$C$6,0))/($AF147*IFERROR(VLOOKUP($AG147,'02 Lists'!$A$5:$B$18,2,FALSE()),1)))</f>
        <v/>
      </c>
      <c r="AK147" s="151">
        <f>IF(COUNT(L147,R147,X147,AD147,AJ147)=0,"",MIN(L147,R147,X147,AD147,AJ147))</f>
        <v/>
      </c>
      <c r="AL147" s="126">
        <f>IF($AK147="","",IF(L147=$AK147,$G147,IF(R147=$AK147,$M147,IF(X147=$AK147,$S147,IF(AD147=$AK147,$Y147,IF(AJ147=$AK147,$AE147,""))))))</f>
        <v/>
      </c>
      <c r="AM147" s="151">
        <f>IF($AK147="","",$AK147/IF($E147="",1,$E147))</f>
        <v/>
      </c>
      <c r="AN147" s="152">
        <f>COUNT(L147,R147,X147,AD147,AJ147)</f>
        <v/>
      </c>
      <c r="AO147" s="150">
        <f>IF(COUNT(L147,R147,X147,AD147,AJ147)=0,"",MAX(L147,R147,X147,AD147,AJ147))</f>
        <v/>
      </c>
      <c r="AP147" s="153">
        <f>IF(OR($AK147="",$AO147="",$AO147=0),"",($AO147-$AK147)/$AO147)</f>
        <v/>
      </c>
      <c r="AQ147" s="154">
        <f>IF($AK147="","",IF(L147=$AK147,$K147,IF(R147=$AK147,$Q147,IF(X147=$AK147,$W147,IF(AD147=$AK147,$AC147,IF(AJ147=$AK147,$AI147,""))))))</f>
        <v/>
      </c>
    </row>
    <row r="148" ht="15" customHeight="1" s="106">
      <c r="A148" s="140" t="n"/>
      <c r="B148" s="140" t="n"/>
      <c r="C148" s="140" t="n"/>
      <c r="D148" s="141" t="n"/>
      <c r="E148" s="146" t="n"/>
      <c r="F148" s="140" t="n"/>
      <c r="G148" s="140" t="n"/>
      <c r="H148" s="147" t="n"/>
      <c r="I148" s="141" t="n"/>
      <c r="J148" s="148" t="n"/>
      <c r="K148" s="149" t="n"/>
      <c r="L148" s="150">
        <f>IF(OR($J148="",$H148="",$H148=0),"",$J148/(1+IF(IFERROR(INDEX('03 Suppliers'!$N$5:$N$34,MATCH($G148,'03 Suppliers'!$B$5:$B$34,0)),"Excl VAT")="Incl VAT",'01 Control'!$C$6,0))/($H148*IFERROR(VLOOKUP($I148,'02 Lists'!$A$5:$B$18,2,FALSE()),1)))</f>
        <v/>
      </c>
      <c r="M148" s="140" t="n"/>
      <c r="N148" s="147" t="n"/>
      <c r="O148" s="141" t="n"/>
      <c r="P148" s="148" t="n"/>
      <c r="Q148" s="149" t="n"/>
      <c r="R148" s="150">
        <f>IF(OR($P148="",$N148="",$N148=0),"",$P148/(1+IF(IFERROR(INDEX('03 Suppliers'!$N$5:$N$34,MATCH($M148,'03 Suppliers'!$B$5:$B$34,0)),"Excl VAT")="Incl VAT",'01 Control'!$C$6,0))/($N148*IFERROR(VLOOKUP($O148,'02 Lists'!$A$5:$B$18,2,FALSE()),1)))</f>
        <v/>
      </c>
      <c r="S148" s="140" t="n"/>
      <c r="T148" s="147" t="n"/>
      <c r="U148" s="141" t="n"/>
      <c r="V148" s="148" t="n"/>
      <c r="W148" s="149" t="n"/>
      <c r="X148" s="150">
        <f>IF(OR($V148="",$T148="",$T148=0),"",$V148/(1+IF(IFERROR(INDEX('03 Suppliers'!$N$5:$N$34,MATCH($S148,'03 Suppliers'!$B$5:$B$34,0)),"Excl VAT")="Incl VAT",'01 Control'!$C$6,0))/($T148*IFERROR(VLOOKUP($U148,'02 Lists'!$A$5:$B$18,2,FALSE()),1)))</f>
        <v/>
      </c>
      <c r="Y148" s="140" t="n"/>
      <c r="Z148" s="147" t="n"/>
      <c r="AA148" s="141" t="n"/>
      <c r="AB148" s="148" t="n"/>
      <c r="AC148" s="149" t="n"/>
      <c r="AD148" s="150">
        <f>IF(OR($AB148="",$Z148="",$Z148=0),"",$AB148/(1+IF(IFERROR(INDEX('03 Suppliers'!$N$5:$N$34,MATCH($Y148,'03 Suppliers'!$B$5:$B$34,0)),"Excl VAT")="Incl VAT",'01 Control'!$C$6,0))/($Z148*IFERROR(VLOOKUP($AA148,'02 Lists'!$A$5:$B$18,2,FALSE()),1)))</f>
        <v/>
      </c>
      <c r="AE148" s="140" t="n"/>
      <c r="AF148" s="147" t="n"/>
      <c r="AG148" s="141" t="n"/>
      <c r="AH148" s="148" t="n"/>
      <c r="AI148" s="149" t="n"/>
      <c r="AJ148" s="150">
        <f>IF(OR($AH148="",$AF148="",$AF148=0),"",$AH148/(1+IF(IFERROR(INDEX('03 Suppliers'!$N$5:$N$34,MATCH($AE148,'03 Suppliers'!$B$5:$B$34,0)),"Excl VAT")="Incl VAT",'01 Control'!$C$6,0))/($AF148*IFERROR(VLOOKUP($AG148,'02 Lists'!$A$5:$B$18,2,FALSE()),1)))</f>
        <v/>
      </c>
      <c r="AK148" s="151">
        <f>IF(COUNT(L148,R148,X148,AD148,AJ148)=0,"",MIN(L148,R148,X148,AD148,AJ148))</f>
        <v/>
      </c>
      <c r="AL148" s="126">
        <f>IF($AK148="","",IF(L148=$AK148,$G148,IF(R148=$AK148,$M148,IF(X148=$AK148,$S148,IF(AD148=$AK148,$Y148,IF(AJ148=$AK148,$AE148,""))))))</f>
        <v/>
      </c>
      <c r="AM148" s="151">
        <f>IF($AK148="","",$AK148/IF($E148="",1,$E148))</f>
        <v/>
      </c>
      <c r="AN148" s="152">
        <f>COUNT(L148,R148,X148,AD148,AJ148)</f>
        <v/>
      </c>
      <c r="AO148" s="150">
        <f>IF(COUNT(L148,R148,X148,AD148,AJ148)=0,"",MAX(L148,R148,X148,AD148,AJ148))</f>
        <v/>
      </c>
      <c r="AP148" s="153">
        <f>IF(OR($AK148="",$AO148="",$AO148=0),"",($AO148-$AK148)/$AO148)</f>
        <v/>
      </c>
      <c r="AQ148" s="154">
        <f>IF($AK148="","",IF(L148=$AK148,$K148,IF(R148=$AK148,$Q148,IF(X148=$AK148,$W148,IF(AD148=$AK148,$AC148,IF(AJ148=$AK148,$AI148,""))))))</f>
        <v/>
      </c>
    </row>
    <row r="149" ht="15" customHeight="1" s="106">
      <c r="A149" s="140" t="n"/>
      <c r="B149" s="140" t="n"/>
      <c r="C149" s="140" t="n"/>
      <c r="D149" s="141" t="n"/>
      <c r="E149" s="146" t="n"/>
      <c r="F149" s="140" t="n"/>
      <c r="G149" s="140" t="n"/>
      <c r="H149" s="147" t="n"/>
      <c r="I149" s="141" t="n"/>
      <c r="J149" s="148" t="n"/>
      <c r="K149" s="149" t="n"/>
      <c r="L149" s="150">
        <f>IF(OR($J149="",$H149="",$H149=0),"",$J149/(1+IF(IFERROR(INDEX('03 Suppliers'!$N$5:$N$34,MATCH($G149,'03 Suppliers'!$B$5:$B$34,0)),"Excl VAT")="Incl VAT",'01 Control'!$C$6,0))/($H149*IFERROR(VLOOKUP($I149,'02 Lists'!$A$5:$B$18,2,FALSE()),1)))</f>
        <v/>
      </c>
      <c r="M149" s="140" t="n"/>
      <c r="N149" s="147" t="n"/>
      <c r="O149" s="141" t="n"/>
      <c r="P149" s="148" t="n"/>
      <c r="Q149" s="149" t="n"/>
      <c r="R149" s="150">
        <f>IF(OR($P149="",$N149="",$N149=0),"",$P149/(1+IF(IFERROR(INDEX('03 Suppliers'!$N$5:$N$34,MATCH($M149,'03 Suppliers'!$B$5:$B$34,0)),"Excl VAT")="Incl VAT",'01 Control'!$C$6,0))/($N149*IFERROR(VLOOKUP($O149,'02 Lists'!$A$5:$B$18,2,FALSE()),1)))</f>
        <v/>
      </c>
      <c r="S149" s="140" t="n"/>
      <c r="T149" s="147" t="n"/>
      <c r="U149" s="141" t="n"/>
      <c r="V149" s="148" t="n"/>
      <c r="W149" s="149" t="n"/>
      <c r="X149" s="150">
        <f>IF(OR($V149="",$T149="",$T149=0),"",$V149/(1+IF(IFERROR(INDEX('03 Suppliers'!$N$5:$N$34,MATCH($S149,'03 Suppliers'!$B$5:$B$34,0)),"Excl VAT")="Incl VAT",'01 Control'!$C$6,0))/($T149*IFERROR(VLOOKUP($U149,'02 Lists'!$A$5:$B$18,2,FALSE()),1)))</f>
        <v/>
      </c>
      <c r="Y149" s="140" t="n"/>
      <c r="Z149" s="147" t="n"/>
      <c r="AA149" s="141" t="n"/>
      <c r="AB149" s="148" t="n"/>
      <c r="AC149" s="149" t="n"/>
      <c r="AD149" s="150">
        <f>IF(OR($AB149="",$Z149="",$Z149=0),"",$AB149/(1+IF(IFERROR(INDEX('03 Suppliers'!$N$5:$N$34,MATCH($Y149,'03 Suppliers'!$B$5:$B$34,0)),"Excl VAT")="Incl VAT",'01 Control'!$C$6,0))/($Z149*IFERROR(VLOOKUP($AA149,'02 Lists'!$A$5:$B$18,2,FALSE()),1)))</f>
        <v/>
      </c>
      <c r="AE149" s="140" t="n"/>
      <c r="AF149" s="147" t="n"/>
      <c r="AG149" s="141" t="n"/>
      <c r="AH149" s="148" t="n"/>
      <c r="AI149" s="149" t="n"/>
      <c r="AJ149" s="150">
        <f>IF(OR($AH149="",$AF149="",$AF149=0),"",$AH149/(1+IF(IFERROR(INDEX('03 Suppliers'!$N$5:$N$34,MATCH($AE149,'03 Suppliers'!$B$5:$B$34,0)),"Excl VAT")="Incl VAT",'01 Control'!$C$6,0))/($AF149*IFERROR(VLOOKUP($AG149,'02 Lists'!$A$5:$B$18,2,FALSE()),1)))</f>
        <v/>
      </c>
      <c r="AK149" s="151">
        <f>IF(COUNT(L149,R149,X149,AD149,AJ149)=0,"",MIN(L149,R149,X149,AD149,AJ149))</f>
        <v/>
      </c>
      <c r="AL149" s="126">
        <f>IF($AK149="","",IF(L149=$AK149,$G149,IF(R149=$AK149,$M149,IF(X149=$AK149,$S149,IF(AD149=$AK149,$Y149,IF(AJ149=$AK149,$AE149,""))))))</f>
        <v/>
      </c>
      <c r="AM149" s="151">
        <f>IF($AK149="","",$AK149/IF($E149="",1,$E149))</f>
        <v/>
      </c>
      <c r="AN149" s="152">
        <f>COUNT(L149,R149,X149,AD149,AJ149)</f>
        <v/>
      </c>
      <c r="AO149" s="150">
        <f>IF(COUNT(L149,R149,X149,AD149,AJ149)=0,"",MAX(L149,R149,X149,AD149,AJ149))</f>
        <v/>
      </c>
      <c r="AP149" s="153">
        <f>IF(OR($AK149="",$AO149="",$AO149=0),"",($AO149-$AK149)/$AO149)</f>
        <v/>
      </c>
      <c r="AQ149" s="154">
        <f>IF($AK149="","",IF(L149=$AK149,$K149,IF(R149=$AK149,$Q149,IF(X149=$AK149,$W149,IF(AD149=$AK149,$AC149,IF(AJ149=$AK149,$AI149,""))))))</f>
        <v/>
      </c>
    </row>
    <row r="150" ht="15" customHeight="1" s="106">
      <c r="A150" s="140" t="n"/>
      <c r="B150" s="140" t="n"/>
      <c r="C150" s="140" t="n"/>
      <c r="D150" s="141" t="n"/>
      <c r="E150" s="146" t="n"/>
      <c r="F150" s="140" t="n"/>
      <c r="G150" s="140" t="n"/>
      <c r="H150" s="147" t="n"/>
      <c r="I150" s="141" t="n"/>
      <c r="J150" s="148" t="n"/>
      <c r="K150" s="149" t="n"/>
      <c r="L150" s="150">
        <f>IF(OR($J150="",$H150="",$H150=0),"",$J150/(1+IF(IFERROR(INDEX('03 Suppliers'!$N$5:$N$34,MATCH($G150,'03 Suppliers'!$B$5:$B$34,0)),"Excl VAT")="Incl VAT",'01 Control'!$C$6,0))/($H150*IFERROR(VLOOKUP($I150,'02 Lists'!$A$5:$B$18,2,FALSE()),1)))</f>
        <v/>
      </c>
      <c r="M150" s="140" t="n"/>
      <c r="N150" s="147" t="n"/>
      <c r="O150" s="141" t="n"/>
      <c r="P150" s="148" t="n"/>
      <c r="Q150" s="149" t="n"/>
      <c r="R150" s="150">
        <f>IF(OR($P150="",$N150="",$N150=0),"",$P150/(1+IF(IFERROR(INDEX('03 Suppliers'!$N$5:$N$34,MATCH($M150,'03 Suppliers'!$B$5:$B$34,0)),"Excl VAT")="Incl VAT",'01 Control'!$C$6,0))/($N150*IFERROR(VLOOKUP($O150,'02 Lists'!$A$5:$B$18,2,FALSE()),1)))</f>
        <v/>
      </c>
      <c r="S150" s="140" t="n"/>
      <c r="T150" s="147" t="n"/>
      <c r="U150" s="141" t="n"/>
      <c r="V150" s="148" t="n"/>
      <c r="W150" s="149" t="n"/>
      <c r="X150" s="150">
        <f>IF(OR($V150="",$T150="",$T150=0),"",$V150/(1+IF(IFERROR(INDEX('03 Suppliers'!$N$5:$N$34,MATCH($S150,'03 Suppliers'!$B$5:$B$34,0)),"Excl VAT")="Incl VAT",'01 Control'!$C$6,0))/($T150*IFERROR(VLOOKUP($U150,'02 Lists'!$A$5:$B$18,2,FALSE()),1)))</f>
        <v/>
      </c>
      <c r="Y150" s="140" t="n"/>
      <c r="Z150" s="147" t="n"/>
      <c r="AA150" s="141" t="n"/>
      <c r="AB150" s="148" t="n"/>
      <c r="AC150" s="149" t="n"/>
      <c r="AD150" s="150">
        <f>IF(OR($AB150="",$Z150="",$Z150=0),"",$AB150/(1+IF(IFERROR(INDEX('03 Suppliers'!$N$5:$N$34,MATCH($Y150,'03 Suppliers'!$B$5:$B$34,0)),"Excl VAT")="Incl VAT",'01 Control'!$C$6,0))/($Z150*IFERROR(VLOOKUP($AA150,'02 Lists'!$A$5:$B$18,2,FALSE()),1)))</f>
        <v/>
      </c>
      <c r="AE150" s="140" t="n"/>
      <c r="AF150" s="147" t="n"/>
      <c r="AG150" s="141" t="n"/>
      <c r="AH150" s="148" t="n"/>
      <c r="AI150" s="149" t="n"/>
      <c r="AJ150" s="150">
        <f>IF(OR($AH150="",$AF150="",$AF150=0),"",$AH150/(1+IF(IFERROR(INDEX('03 Suppliers'!$N$5:$N$34,MATCH($AE150,'03 Suppliers'!$B$5:$B$34,0)),"Excl VAT")="Incl VAT",'01 Control'!$C$6,0))/($AF150*IFERROR(VLOOKUP($AG150,'02 Lists'!$A$5:$B$18,2,FALSE()),1)))</f>
        <v/>
      </c>
      <c r="AK150" s="151">
        <f>IF(COUNT(L150,R150,X150,AD150,AJ150)=0,"",MIN(L150,R150,X150,AD150,AJ150))</f>
        <v/>
      </c>
      <c r="AL150" s="126">
        <f>IF($AK150="","",IF(L150=$AK150,$G150,IF(R150=$AK150,$M150,IF(X150=$AK150,$S150,IF(AD150=$AK150,$Y150,IF(AJ150=$AK150,$AE150,""))))))</f>
        <v/>
      </c>
      <c r="AM150" s="151">
        <f>IF($AK150="","",$AK150/IF($E150="",1,$E150))</f>
        <v/>
      </c>
      <c r="AN150" s="152">
        <f>COUNT(L150,R150,X150,AD150,AJ150)</f>
        <v/>
      </c>
      <c r="AO150" s="150">
        <f>IF(COUNT(L150,R150,X150,AD150,AJ150)=0,"",MAX(L150,R150,X150,AD150,AJ150))</f>
        <v/>
      </c>
      <c r="AP150" s="153">
        <f>IF(OR($AK150="",$AO150="",$AO150=0),"",($AO150-$AK150)/$AO150)</f>
        <v/>
      </c>
      <c r="AQ150" s="154">
        <f>IF($AK150="","",IF(L150=$AK150,$K150,IF(R150=$AK150,$Q150,IF(X150=$AK150,$W150,IF(AD150=$AK150,$AC150,IF(AJ150=$AK150,$AI150,""))))))</f>
        <v/>
      </c>
    </row>
    <row r="151" ht="15" customHeight="1" s="106">
      <c r="A151" s="140" t="n"/>
      <c r="B151" s="140" t="n"/>
      <c r="C151" s="140" t="n"/>
      <c r="D151" s="141" t="n"/>
      <c r="E151" s="146" t="n"/>
      <c r="F151" s="140" t="n"/>
      <c r="G151" s="140" t="n"/>
      <c r="H151" s="147" t="n"/>
      <c r="I151" s="141" t="n"/>
      <c r="J151" s="148" t="n"/>
      <c r="K151" s="149" t="n"/>
      <c r="L151" s="150">
        <f>IF(OR($J151="",$H151="",$H151=0),"",$J151/(1+IF(IFERROR(INDEX('03 Suppliers'!$N$5:$N$34,MATCH($G151,'03 Suppliers'!$B$5:$B$34,0)),"Excl VAT")="Incl VAT",'01 Control'!$C$6,0))/($H151*IFERROR(VLOOKUP($I151,'02 Lists'!$A$5:$B$18,2,FALSE()),1)))</f>
        <v/>
      </c>
      <c r="M151" s="140" t="n"/>
      <c r="N151" s="147" t="n"/>
      <c r="O151" s="141" t="n"/>
      <c r="P151" s="148" t="n"/>
      <c r="Q151" s="149" t="n"/>
      <c r="R151" s="150">
        <f>IF(OR($P151="",$N151="",$N151=0),"",$P151/(1+IF(IFERROR(INDEX('03 Suppliers'!$N$5:$N$34,MATCH($M151,'03 Suppliers'!$B$5:$B$34,0)),"Excl VAT")="Incl VAT",'01 Control'!$C$6,0))/($N151*IFERROR(VLOOKUP($O151,'02 Lists'!$A$5:$B$18,2,FALSE()),1)))</f>
        <v/>
      </c>
      <c r="S151" s="140" t="n"/>
      <c r="T151" s="147" t="n"/>
      <c r="U151" s="141" t="n"/>
      <c r="V151" s="148" t="n"/>
      <c r="W151" s="149" t="n"/>
      <c r="X151" s="150">
        <f>IF(OR($V151="",$T151="",$T151=0),"",$V151/(1+IF(IFERROR(INDEX('03 Suppliers'!$N$5:$N$34,MATCH($S151,'03 Suppliers'!$B$5:$B$34,0)),"Excl VAT")="Incl VAT",'01 Control'!$C$6,0))/($T151*IFERROR(VLOOKUP($U151,'02 Lists'!$A$5:$B$18,2,FALSE()),1)))</f>
        <v/>
      </c>
      <c r="Y151" s="140" t="n"/>
      <c r="Z151" s="147" t="n"/>
      <c r="AA151" s="141" t="n"/>
      <c r="AB151" s="148" t="n"/>
      <c r="AC151" s="149" t="n"/>
      <c r="AD151" s="150">
        <f>IF(OR($AB151="",$Z151="",$Z151=0),"",$AB151/(1+IF(IFERROR(INDEX('03 Suppliers'!$N$5:$N$34,MATCH($Y151,'03 Suppliers'!$B$5:$B$34,0)),"Excl VAT")="Incl VAT",'01 Control'!$C$6,0))/($Z151*IFERROR(VLOOKUP($AA151,'02 Lists'!$A$5:$B$18,2,FALSE()),1)))</f>
        <v/>
      </c>
      <c r="AE151" s="140" t="n"/>
      <c r="AF151" s="147" t="n"/>
      <c r="AG151" s="141" t="n"/>
      <c r="AH151" s="148" t="n"/>
      <c r="AI151" s="149" t="n"/>
      <c r="AJ151" s="150">
        <f>IF(OR($AH151="",$AF151="",$AF151=0),"",$AH151/(1+IF(IFERROR(INDEX('03 Suppliers'!$N$5:$N$34,MATCH($AE151,'03 Suppliers'!$B$5:$B$34,0)),"Excl VAT")="Incl VAT",'01 Control'!$C$6,0))/($AF151*IFERROR(VLOOKUP($AG151,'02 Lists'!$A$5:$B$18,2,FALSE()),1)))</f>
        <v/>
      </c>
      <c r="AK151" s="151">
        <f>IF(COUNT(L151,R151,X151,AD151,AJ151)=0,"",MIN(L151,R151,X151,AD151,AJ151))</f>
        <v/>
      </c>
      <c r="AL151" s="126">
        <f>IF($AK151="","",IF(L151=$AK151,$G151,IF(R151=$AK151,$M151,IF(X151=$AK151,$S151,IF(AD151=$AK151,$Y151,IF(AJ151=$AK151,$AE151,""))))))</f>
        <v/>
      </c>
      <c r="AM151" s="151">
        <f>IF($AK151="","",$AK151/IF($E151="",1,$E151))</f>
        <v/>
      </c>
      <c r="AN151" s="152">
        <f>COUNT(L151,R151,X151,AD151,AJ151)</f>
        <v/>
      </c>
      <c r="AO151" s="150">
        <f>IF(COUNT(L151,R151,X151,AD151,AJ151)=0,"",MAX(L151,R151,X151,AD151,AJ151))</f>
        <v/>
      </c>
      <c r="AP151" s="153">
        <f>IF(OR($AK151="",$AO151="",$AO151=0),"",($AO151-$AK151)/$AO151)</f>
        <v/>
      </c>
      <c r="AQ151" s="154">
        <f>IF($AK151="","",IF(L151=$AK151,$K151,IF(R151=$AK151,$Q151,IF(X151=$AK151,$W151,IF(AD151=$AK151,$AC151,IF(AJ151=$AK151,$AI151,""))))))</f>
        <v/>
      </c>
    </row>
    <row r="152" ht="15" customHeight="1" s="106">
      <c r="A152" s="140" t="n"/>
      <c r="B152" s="140" t="n"/>
      <c r="C152" s="140" t="n"/>
      <c r="D152" s="141" t="n"/>
      <c r="E152" s="146" t="n"/>
      <c r="F152" s="140" t="n"/>
      <c r="G152" s="140" t="n"/>
      <c r="H152" s="147" t="n"/>
      <c r="I152" s="141" t="n"/>
      <c r="J152" s="148" t="n"/>
      <c r="K152" s="149" t="n"/>
      <c r="L152" s="150">
        <f>IF(OR($J152="",$H152="",$H152=0),"",$J152/(1+IF(IFERROR(INDEX('03 Suppliers'!$N$5:$N$34,MATCH($G152,'03 Suppliers'!$B$5:$B$34,0)),"Excl VAT")="Incl VAT",'01 Control'!$C$6,0))/($H152*IFERROR(VLOOKUP($I152,'02 Lists'!$A$5:$B$18,2,FALSE()),1)))</f>
        <v/>
      </c>
      <c r="M152" s="140" t="n"/>
      <c r="N152" s="147" t="n"/>
      <c r="O152" s="141" t="n"/>
      <c r="P152" s="148" t="n"/>
      <c r="Q152" s="149" t="n"/>
      <c r="R152" s="150">
        <f>IF(OR($P152="",$N152="",$N152=0),"",$P152/(1+IF(IFERROR(INDEX('03 Suppliers'!$N$5:$N$34,MATCH($M152,'03 Suppliers'!$B$5:$B$34,0)),"Excl VAT")="Incl VAT",'01 Control'!$C$6,0))/($N152*IFERROR(VLOOKUP($O152,'02 Lists'!$A$5:$B$18,2,FALSE()),1)))</f>
        <v/>
      </c>
      <c r="S152" s="140" t="n"/>
      <c r="T152" s="147" t="n"/>
      <c r="U152" s="141" t="n"/>
      <c r="V152" s="148" t="n"/>
      <c r="W152" s="149" t="n"/>
      <c r="X152" s="150">
        <f>IF(OR($V152="",$T152="",$T152=0),"",$V152/(1+IF(IFERROR(INDEX('03 Suppliers'!$N$5:$N$34,MATCH($S152,'03 Suppliers'!$B$5:$B$34,0)),"Excl VAT")="Incl VAT",'01 Control'!$C$6,0))/($T152*IFERROR(VLOOKUP($U152,'02 Lists'!$A$5:$B$18,2,FALSE()),1)))</f>
        <v/>
      </c>
      <c r="Y152" s="140" t="n"/>
      <c r="Z152" s="147" t="n"/>
      <c r="AA152" s="141" t="n"/>
      <c r="AB152" s="148" t="n"/>
      <c r="AC152" s="149" t="n"/>
      <c r="AD152" s="150">
        <f>IF(OR($AB152="",$Z152="",$Z152=0),"",$AB152/(1+IF(IFERROR(INDEX('03 Suppliers'!$N$5:$N$34,MATCH($Y152,'03 Suppliers'!$B$5:$B$34,0)),"Excl VAT")="Incl VAT",'01 Control'!$C$6,0))/($Z152*IFERROR(VLOOKUP($AA152,'02 Lists'!$A$5:$B$18,2,FALSE()),1)))</f>
        <v/>
      </c>
      <c r="AE152" s="140" t="n"/>
      <c r="AF152" s="147" t="n"/>
      <c r="AG152" s="141" t="n"/>
      <c r="AH152" s="148" t="n"/>
      <c r="AI152" s="149" t="n"/>
      <c r="AJ152" s="150">
        <f>IF(OR($AH152="",$AF152="",$AF152=0),"",$AH152/(1+IF(IFERROR(INDEX('03 Suppliers'!$N$5:$N$34,MATCH($AE152,'03 Suppliers'!$B$5:$B$34,0)),"Excl VAT")="Incl VAT",'01 Control'!$C$6,0))/($AF152*IFERROR(VLOOKUP($AG152,'02 Lists'!$A$5:$B$18,2,FALSE()),1)))</f>
        <v/>
      </c>
      <c r="AK152" s="151">
        <f>IF(COUNT(L152,R152,X152,AD152,AJ152)=0,"",MIN(L152,R152,X152,AD152,AJ152))</f>
        <v/>
      </c>
      <c r="AL152" s="126">
        <f>IF($AK152="","",IF(L152=$AK152,$G152,IF(R152=$AK152,$M152,IF(X152=$AK152,$S152,IF(AD152=$AK152,$Y152,IF(AJ152=$AK152,$AE152,""))))))</f>
        <v/>
      </c>
      <c r="AM152" s="151">
        <f>IF($AK152="","",$AK152/IF($E152="",1,$E152))</f>
        <v/>
      </c>
      <c r="AN152" s="152">
        <f>COUNT(L152,R152,X152,AD152,AJ152)</f>
        <v/>
      </c>
      <c r="AO152" s="150">
        <f>IF(COUNT(L152,R152,X152,AD152,AJ152)=0,"",MAX(L152,R152,X152,AD152,AJ152))</f>
        <v/>
      </c>
      <c r="AP152" s="153">
        <f>IF(OR($AK152="",$AO152="",$AO152=0),"",($AO152-$AK152)/$AO152)</f>
        <v/>
      </c>
      <c r="AQ152" s="154">
        <f>IF($AK152="","",IF(L152=$AK152,$K152,IF(R152=$AK152,$Q152,IF(X152=$AK152,$W152,IF(AD152=$AK152,$AC152,IF(AJ152=$AK152,$AI152,""))))))</f>
        <v/>
      </c>
    </row>
    <row r="153" ht="15" customHeight="1" s="106">
      <c r="A153" s="140" t="n"/>
      <c r="B153" s="140" t="n"/>
      <c r="C153" s="140" t="n"/>
      <c r="D153" s="141" t="n"/>
      <c r="E153" s="146" t="n"/>
      <c r="F153" s="140" t="n"/>
      <c r="G153" s="140" t="n"/>
      <c r="H153" s="147" t="n"/>
      <c r="I153" s="141" t="n"/>
      <c r="J153" s="148" t="n"/>
      <c r="K153" s="149" t="n"/>
      <c r="L153" s="150">
        <f>IF(OR($J153="",$H153="",$H153=0),"",$J153/(1+IF(IFERROR(INDEX('03 Suppliers'!$N$5:$N$34,MATCH($G153,'03 Suppliers'!$B$5:$B$34,0)),"Excl VAT")="Incl VAT",'01 Control'!$C$6,0))/($H153*IFERROR(VLOOKUP($I153,'02 Lists'!$A$5:$B$18,2,FALSE()),1)))</f>
        <v/>
      </c>
      <c r="M153" s="140" t="n"/>
      <c r="N153" s="147" t="n"/>
      <c r="O153" s="141" t="n"/>
      <c r="P153" s="148" t="n"/>
      <c r="Q153" s="149" t="n"/>
      <c r="R153" s="150">
        <f>IF(OR($P153="",$N153="",$N153=0),"",$P153/(1+IF(IFERROR(INDEX('03 Suppliers'!$N$5:$N$34,MATCH($M153,'03 Suppliers'!$B$5:$B$34,0)),"Excl VAT")="Incl VAT",'01 Control'!$C$6,0))/($N153*IFERROR(VLOOKUP($O153,'02 Lists'!$A$5:$B$18,2,FALSE()),1)))</f>
        <v/>
      </c>
      <c r="S153" s="140" t="n"/>
      <c r="T153" s="147" t="n"/>
      <c r="U153" s="141" t="n"/>
      <c r="V153" s="148" t="n"/>
      <c r="W153" s="149" t="n"/>
      <c r="X153" s="150">
        <f>IF(OR($V153="",$T153="",$T153=0),"",$V153/(1+IF(IFERROR(INDEX('03 Suppliers'!$N$5:$N$34,MATCH($S153,'03 Suppliers'!$B$5:$B$34,0)),"Excl VAT")="Incl VAT",'01 Control'!$C$6,0))/($T153*IFERROR(VLOOKUP($U153,'02 Lists'!$A$5:$B$18,2,FALSE()),1)))</f>
        <v/>
      </c>
      <c r="Y153" s="140" t="n"/>
      <c r="Z153" s="147" t="n"/>
      <c r="AA153" s="141" t="n"/>
      <c r="AB153" s="148" t="n"/>
      <c r="AC153" s="149" t="n"/>
      <c r="AD153" s="150">
        <f>IF(OR($AB153="",$Z153="",$Z153=0),"",$AB153/(1+IF(IFERROR(INDEX('03 Suppliers'!$N$5:$N$34,MATCH($Y153,'03 Suppliers'!$B$5:$B$34,0)),"Excl VAT")="Incl VAT",'01 Control'!$C$6,0))/($Z153*IFERROR(VLOOKUP($AA153,'02 Lists'!$A$5:$B$18,2,FALSE()),1)))</f>
        <v/>
      </c>
      <c r="AE153" s="140" t="n"/>
      <c r="AF153" s="147" t="n"/>
      <c r="AG153" s="141" t="n"/>
      <c r="AH153" s="148" t="n"/>
      <c r="AI153" s="149" t="n"/>
      <c r="AJ153" s="150">
        <f>IF(OR($AH153="",$AF153="",$AF153=0),"",$AH153/(1+IF(IFERROR(INDEX('03 Suppliers'!$N$5:$N$34,MATCH($AE153,'03 Suppliers'!$B$5:$B$34,0)),"Excl VAT")="Incl VAT",'01 Control'!$C$6,0))/($AF153*IFERROR(VLOOKUP($AG153,'02 Lists'!$A$5:$B$18,2,FALSE()),1)))</f>
        <v/>
      </c>
      <c r="AK153" s="151">
        <f>IF(COUNT(L153,R153,X153,AD153,AJ153)=0,"",MIN(L153,R153,X153,AD153,AJ153))</f>
        <v/>
      </c>
      <c r="AL153" s="126">
        <f>IF($AK153="","",IF(L153=$AK153,$G153,IF(R153=$AK153,$M153,IF(X153=$AK153,$S153,IF(AD153=$AK153,$Y153,IF(AJ153=$AK153,$AE153,""))))))</f>
        <v/>
      </c>
      <c r="AM153" s="151">
        <f>IF($AK153="","",$AK153/IF($E153="",1,$E153))</f>
        <v/>
      </c>
      <c r="AN153" s="152">
        <f>COUNT(L153,R153,X153,AD153,AJ153)</f>
        <v/>
      </c>
      <c r="AO153" s="150">
        <f>IF(COUNT(L153,R153,X153,AD153,AJ153)=0,"",MAX(L153,R153,X153,AD153,AJ153))</f>
        <v/>
      </c>
      <c r="AP153" s="153">
        <f>IF(OR($AK153="",$AO153="",$AO153=0),"",($AO153-$AK153)/$AO153)</f>
        <v/>
      </c>
      <c r="AQ153" s="154">
        <f>IF($AK153="","",IF(L153=$AK153,$K153,IF(R153=$AK153,$Q153,IF(X153=$AK153,$W153,IF(AD153=$AK153,$AC153,IF(AJ153=$AK153,$AI153,""))))))</f>
        <v/>
      </c>
    </row>
    <row r="154" ht="15" customHeight="1" s="106">
      <c r="A154" s="140" t="n"/>
      <c r="B154" s="140" t="n"/>
      <c r="C154" s="140" t="n"/>
      <c r="D154" s="141" t="n"/>
      <c r="E154" s="146" t="n"/>
      <c r="F154" s="140" t="n"/>
      <c r="G154" s="140" t="n"/>
      <c r="H154" s="147" t="n"/>
      <c r="I154" s="141" t="n"/>
      <c r="J154" s="148" t="n"/>
      <c r="K154" s="149" t="n"/>
      <c r="L154" s="150">
        <f>IF(OR($J154="",$H154="",$H154=0),"",$J154/(1+IF(IFERROR(INDEX('03 Suppliers'!$N$5:$N$34,MATCH($G154,'03 Suppliers'!$B$5:$B$34,0)),"Excl VAT")="Incl VAT",'01 Control'!$C$6,0))/($H154*IFERROR(VLOOKUP($I154,'02 Lists'!$A$5:$B$18,2,FALSE()),1)))</f>
        <v/>
      </c>
      <c r="M154" s="140" t="n"/>
      <c r="N154" s="147" t="n"/>
      <c r="O154" s="141" t="n"/>
      <c r="P154" s="148" t="n"/>
      <c r="Q154" s="149" t="n"/>
      <c r="R154" s="150">
        <f>IF(OR($P154="",$N154="",$N154=0),"",$P154/(1+IF(IFERROR(INDEX('03 Suppliers'!$N$5:$N$34,MATCH($M154,'03 Suppliers'!$B$5:$B$34,0)),"Excl VAT")="Incl VAT",'01 Control'!$C$6,0))/($N154*IFERROR(VLOOKUP($O154,'02 Lists'!$A$5:$B$18,2,FALSE()),1)))</f>
        <v/>
      </c>
      <c r="S154" s="140" t="n"/>
      <c r="T154" s="147" t="n"/>
      <c r="U154" s="141" t="n"/>
      <c r="V154" s="148" t="n"/>
      <c r="W154" s="149" t="n"/>
      <c r="X154" s="150">
        <f>IF(OR($V154="",$T154="",$T154=0),"",$V154/(1+IF(IFERROR(INDEX('03 Suppliers'!$N$5:$N$34,MATCH($S154,'03 Suppliers'!$B$5:$B$34,0)),"Excl VAT")="Incl VAT",'01 Control'!$C$6,0))/($T154*IFERROR(VLOOKUP($U154,'02 Lists'!$A$5:$B$18,2,FALSE()),1)))</f>
        <v/>
      </c>
      <c r="Y154" s="140" t="n"/>
      <c r="Z154" s="147" t="n"/>
      <c r="AA154" s="141" t="n"/>
      <c r="AB154" s="148" t="n"/>
      <c r="AC154" s="149" t="n"/>
      <c r="AD154" s="150">
        <f>IF(OR($AB154="",$Z154="",$Z154=0),"",$AB154/(1+IF(IFERROR(INDEX('03 Suppliers'!$N$5:$N$34,MATCH($Y154,'03 Suppliers'!$B$5:$B$34,0)),"Excl VAT")="Incl VAT",'01 Control'!$C$6,0))/($Z154*IFERROR(VLOOKUP($AA154,'02 Lists'!$A$5:$B$18,2,FALSE()),1)))</f>
        <v/>
      </c>
      <c r="AE154" s="140" t="n"/>
      <c r="AF154" s="147" t="n"/>
      <c r="AG154" s="141" t="n"/>
      <c r="AH154" s="148" t="n"/>
      <c r="AI154" s="149" t="n"/>
      <c r="AJ154" s="150">
        <f>IF(OR($AH154="",$AF154="",$AF154=0),"",$AH154/(1+IF(IFERROR(INDEX('03 Suppliers'!$N$5:$N$34,MATCH($AE154,'03 Suppliers'!$B$5:$B$34,0)),"Excl VAT")="Incl VAT",'01 Control'!$C$6,0))/($AF154*IFERROR(VLOOKUP($AG154,'02 Lists'!$A$5:$B$18,2,FALSE()),1)))</f>
        <v/>
      </c>
      <c r="AK154" s="151">
        <f>IF(COUNT(L154,R154,X154,AD154,AJ154)=0,"",MIN(L154,R154,X154,AD154,AJ154))</f>
        <v/>
      </c>
      <c r="AL154" s="126">
        <f>IF($AK154="","",IF(L154=$AK154,$G154,IF(R154=$AK154,$M154,IF(X154=$AK154,$S154,IF(AD154=$AK154,$Y154,IF(AJ154=$AK154,$AE154,""))))))</f>
        <v/>
      </c>
      <c r="AM154" s="151">
        <f>IF($AK154="","",$AK154/IF($E154="",1,$E154))</f>
        <v/>
      </c>
      <c r="AN154" s="152">
        <f>COUNT(L154,R154,X154,AD154,AJ154)</f>
        <v/>
      </c>
      <c r="AO154" s="150">
        <f>IF(COUNT(L154,R154,X154,AD154,AJ154)=0,"",MAX(L154,R154,X154,AD154,AJ154))</f>
        <v/>
      </c>
      <c r="AP154" s="153">
        <f>IF(OR($AK154="",$AO154="",$AO154=0),"",($AO154-$AK154)/$AO154)</f>
        <v/>
      </c>
      <c r="AQ154" s="154">
        <f>IF($AK154="","",IF(L154=$AK154,$K154,IF(R154=$AK154,$Q154,IF(X154=$AK154,$W154,IF(AD154=$AK154,$AC154,IF(AJ154=$AK154,$AI154,""))))))</f>
        <v/>
      </c>
    </row>
    <row r="155" ht="15" customHeight="1" s="106">
      <c r="A155" s="140" t="n"/>
      <c r="B155" s="140" t="n"/>
      <c r="C155" s="140" t="n"/>
      <c r="D155" s="141" t="n"/>
      <c r="E155" s="146" t="n"/>
      <c r="F155" s="140" t="n"/>
      <c r="G155" s="140" t="n"/>
      <c r="H155" s="147" t="n"/>
      <c r="I155" s="141" t="n"/>
      <c r="J155" s="148" t="n"/>
      <c r="K155" s="149" t="n"/>
      <c r="L155" s="150">
        <f>IF(OR($J155="",$H155="",$H155=0),"",$J155/(1+IF(IFERROR(INDEX('03 Suppliers'!$N$5:$N$34,MATCH($G155,'03 Suppliers'!$B$5:$B$34,0)),"Excl VAT")="Incl VAT",'01 Control'!$C$6,0))/($H155*IFERROR(VLOOKUP($I155,'02 Lists'!$A$5:$B$18,2,FALSE()),1)))</f>
        <v/>
      </c>
      <c r="M155" s="140" t="n"/>
      <c r="N155" s="147" t="n"/>
      <c r="O155" s="141" t="n"/>
      <c r="P155" s="148" t="n"/>
      <c r="Q155" s="149" t="n"/>
      <c r="R155" s="150">
        <f>IF(OR($P155="",$N155="",$N155=0),"",$P155/(1+IF(IFERROR(INDEX('03 Suppliers'!$N$5:$N$34,MATCH($M155,'03 Suppliers'!$B$5:$B$34,0)),"Excl VAT")="Incl VAT",'01 Control'!$C$6,0))/($N155*IFERROR(VLOOKUP($O155,'02 Lists'!$A$5:$B$18,2,FALSE()),1)))</f>
        <v/>
      </c>
      <c r="S155" s="140" t="n"/>
      <c r="T155" s="147" t="n"/>
      <c r="U155" s="141" t="n"/>
      <c r="V155" s="148" t="n"/>
      <c r="W155" s="149" t="n"/>
      <c r="X155" s="150">
        <f>IF(OR($V155="",$T155="",$T155=0),"",$V155/(1+IF(IFERROR(INDEX('03 Suppliers'!$N$5:$N$34,MATCH($S155,'03 Suppliers'!$B$5:$B$34,0)),"Excl VAT")="Incl VAT",'01 Control'!$C$6,0))/($T155*IFERROR(VLOOKUP($U155,'02 Lists'!$A$5:$B$18,2,FALSE()),1)))</f>
        <v/>
      </c>
      <c r="Y155" s="140" t="n"/>
      <c r="Z155" s="147" t="n"/>
      <c r="AA155" s="141" t="n"/>
      <c r="AB155" s="148" t="n"/>
      <c r="AC155" s="149" t="n"/>
      <c r="AD155" s="150">
        <f>IF(OR($AB155="",$Z155="",$Z155=0),"",$AB155/(1+IF(IFERROR(INDEX('03 Suppliers'!$N$5:$N$34,MATCH($Y155,'03 Suppliers'!$B$5:$B$34,0)),"Excl VAT")="Incl VAT",'01 Control'!$C$6,0))/($Z155*IFERROR(VLOOKUP($AA155,'02 Lists'!$A$5:$B$18,2,FALSE()),1)))</f>
        <v/>
      </c>
      <c r="AE155" s="140" t="n"/>
      <c r="AF155" s="147" t="n"/>
      <c r="AG155" s="141" t="n"/>
      <c r="AH155" s="148" t="n"/>
      <c r="AI155" s="149" t="n"/>
      <c r="AJ155" s="150">
        <f>IF(OR($AH155="",$AF155="",$AF155=0),"",$AH155/(1+IF(IFERROR(INDEX('03 Suppliers'!$N$5:$N$34,MATCH($AE155,'03 Suppliers'!$B$5:$B$34,0)),"Excl VAT")="Incl VAT",'01 Control'!$C$6,0))/($AF155*IFERROR(VLOOKUP($AG155,'02 Lists'!$A$5:$B$18,2,FALSE()),1)))</f>
        <v/>
      </c>
      <c r="AK155" s="151">
        <f>IF(COUNT(L155,R155,X155,AD155,AJ155)=0,"",MIN(L155,R155,X155,AD155,AJ155))</f>
        <v/>
      </c>
      <c r="AL155" s="126">
        <f>IF($AK155="","",IF(L155=$AK155,$G155,IF(R155=$AK155,$M155,IF(X155=$AK155,$S155,IF(AD155=$AK155,$Y155,IF(AJ155=$AK155,$AE155,""))))))</f>
        <v/>
      </c>
      <c r="AM155" s="151">
        <f>IF($AK155="","",$AK155/IF($E155="",1,$E155))</f>
        <v/>
      </c>
      <c r="AN155" s="152">
        <f>COUNT(L155,R155,X155,AD155,AJ155)</f>
        <v/>
      </c>
      <c r="AO155" s="150">
        <f>IF(COUNT(L155,R155,X155,AD155,AJ155)=0,"",MAX(L155,R155,X155,AD155,AJ155))</f>
        <v/>
      </c>
      <c r="AP155" s="153">
        <f>IF(OR($AK155="",$AO155="",$AO155=0),"",($AO155-$AK155)/$AO155)</f>
        <v/>
      </c>
      <c r="AQ155" s="154">
        <f>IF($AK155="","",IF(L155=$AK155,$K155,IF(R155=$AK155,$Q155,IF(X155=$AK155,$W155,IF(AD155=$AK155,$AC155,IF(AJ155=$AK155,$AI155,""))))))</f>
        <v/>
      </c>
    </row>
    <row r="156" ht="15" customHeight="1" s="106">
      <c r="A156" s="140" t="n"/>
      <c r="B156" s="140" t="n"/>
      <c r="C156" s="140" t="n"/>
      <c r="D156" s="141" t="n"/>
      <c r="E156" s="146" t="n"/>
      <c r="F156" s="140" t="n"/>
      <c r="G156" s="140" t="n"/>
      <c r="H156" s="147" t="n"/>
      <c r="I156" s="141" t="n"/>
      <c r="J156" s="148" t="n"/>
      <c r="K156" s="149" t="n"/>
      <c r="L156" s="150">
        <f>IF(OR($J156="",$H156="",$H156=0),"",$J156/(1+IF(IFERROR(INDEX('03 Suppliers'!$N$5:$N$34,MATCH($G156,'03 Suppliers'!$B$5:$B$34,0)),"Excl VAT")="Incl VAT",'01 Control'!$C$6,0))/($H156*IFERROR(VLOOKUP($I156,'02 Lists'!$A$5:$B$18,2,FALSE()),1)))</f>
        <v/>
      </c>
      <c r="M156" s="140" t="n"/>
      <c r="N156" s="147" t="n"/>
      <c r="O156" s="141" t="n"/>
      <c r="P156" s="148" t="n"/>
      <c r="Q156" s="149" t="n"/>
      <c r="R156" s="150">
        <f>IF(OR($P156="",$N156="",$N156=0),"",$P156/(1+IF(IFERROR(INDEX('03 Suppliers'!$N$5:$N$34,MATCH($M156,'03 Suppliers'!$B$5:$B$34,0)),"Excl VAT")="Incl VAT",'01 Control'!$C$6,0))/($N156*IFERROR(VLOOKUP($O156,'02 Lists'!$A$5:$B$18,2,FALSE()),1)))</f>
        <v/>
      </c>
      <c r="S156" s="140" t="n"/>
      <c r="T156" s="147" t="n"/>
      <c r="U156" s="141" t="n"/>
      <c r="V156" s="148" t="n"/>
      <c r="W156" s="149" t="n"/>
      <c r="X156" s="150">
        <f>IF(OR($V156="",$T156="",$T156=0),"",$V156/(1+IF(IFERROR(INDEX('03 Suppliers'!$N$5:$N$34,MATCH($S156,'03 Suppliers'!$B$5:$B$34,0)),"Excl VAT")="Incl VAT",'01 Control'!$C$6,0))/($T156*IFERROR(VLOOKUP($U156,'02 Lists'!$A$5:$B$18,2,FALSE()),1)))</f>
        <v/>
      </c>
      <c r="Y156" s="140" t="n"/>
      <c r="Z156" s="147" t="n"/>
      <c r="AA156" s="141" t="n"/>
      <c r="AB156" s="148" t="n"/>
      <c r="AC156" s="149" t="n"/>
      <c r="AD156" s="150">
        <f>IF(OR($AB156="",$Z156="",$Z156=0),"",$AB156/(1+IF(IFERROR(INDEX('03 Suppliers'!$N$5:$N$34,MATCH($Y156,'03 Suppliers'!$B$5:$B$34,0)),"Excl VAT")="Incl VAT",'01 Control'!$C$6,0))/($Z156*IFERROR(VLOOKUP($AA156,'02 Lists'!$A$5:$B$18,2,FALSE()),1)))</f>
        <v/>
      </c>
      <c r="AE156" s="140" t="n"/>
      <c r="AF156" s="147" t="n"/>
      <c r="AG156" s="141" t="n"/>
      <c r="AH156" s="148" t="n"/>
      <c r="AI156" s="149" t="n"/>
      <c r="AJ156" s="150">
        <f>IF(OR($AH156="",$AF156="",$AF156=0),"",$AH156/(1+IF(IFERROR(INDEX('03 Suppliers'!$N$5:$N$34,MATCH($AE156,'03 Suppliers'!$B$5:$B$34,0)),"Excl VAT")="Incl VAT",'01 Control'!$C$6,0))/($AF156*IFERROR(VLOOKUP($AG156,'02 Lists'!$A$5:$B$18,2,FALSE()),1)))</f>
        <v/>
      </c>
      <c r="AK156" s="151">
        <f>IF(COUNT(L156,R156,X156,AD156,AJ156)=0,"",MIN(L156,R156,X156,AD156,AJ156))</f>
        <v/>
      </c>
      <c r="AL156" s="126">
        <f>IF($AK156="","",IF(L156=$AK156,$G156,IF(R156=$AK156,$M156,IF(X156=$AK156,$S156,IF(AD156=$AK156,$Y156,IF(AJ156=$AK156,$AE156,""))))))</f>
        <v/>
      </c>
      <c r="AM156" s="151">
        <f>IF($AK156="","",$AK156/IF($E156="",1,$E156))</f>
        <v/>
      </c>
      <c r="AN156" s="152">
        <f>COUNT(L156,R156,X156,AD156,AJ156)</f>
        <v/>
      </c>
      <c r="AO156" s="150">
        <f>IF(COUNT(L156,R156,X156,AD156,AJ156)=0,"",MAX(L156,R156,X156,AD156,AJ156))</f>
        <v/>
      </c>
      <c r="AP156" s="153">
        <f>IF(OR($AK156="",$AO156="",$AO156=0),"",($AO156-$AK156)/$AO156)</f>
        <v/>
      </c>
      <c r="AQ156" s="154">
        <f>IF($AK156="","",IF(L156=$AK156,$K156,IF(R156=$AK156,$Q156,IF(X156=$AK156,$W156,IF(AD156=$AK156,$AC156,IF(AJ156=$AK156,$AI156,""))))))</f>
        <v/>
      </c>
    </row>
    <row r="157" ht="15" customHeight="1" s="106">
      <c r="A157" s="140" t="n"/>
      <c r="B157" s="140" t="n"/>
      <c r="C157" s="140" t="n"/>
      <c r="D157" s="141" t="n"/>
      <c r="E157" s="146" t="n"/>
      <c r="F157" s="140" t="n"/>
      <c r="G157" s="140" t="n"/>
      <c r="H157" s="147" t="n"/>
      <c r="I157" s="141" t="n"/>
      <c r="J157" s="148" t="n"/>
      <c r="K157" s="149" t="n"/>
      <c r="L157" s="150">
        <f>IF(OR($J157="",$H157="",$H157=0),"",$J157/(1+IF(IFERROR(INDEX('03 Suppliers'!$N$5:$N$34,MATCH($G157,'03 Suppliers'!$B$5:$B$34,0)),"Excl VAT")="Incl VAT",'01 Control'!$C$6,0))/($H157*IFERROR(VLOOKUP($I157,'02 Lists'!$A$5:$B$18,2,FALSE()),1)))</f>
        <v/>
      </c>
      <c r="M157" s="140" t="n"/>
      <c r="N157" s="147" t="n"/>
      <c r="O157" s="141" t="n"/>
      <c r="P157" s="148" t="n"/>
      <c r="Q157" s="149" t="n"/>
      <c r="R157" s="150">
        <f>IF(OR($P157="",$N157="",$N157=0),"",$P157/(1+IF(IFERROR(INDEX('03 Suppliers'!$N$5:$N$34,MATCH($M157,'03 Suppliers'!$B$5:$B$34,0)),"Excl VAT")="Incl VAT",'01 Control'!$C$6,0))/($N157*IFERROR(VLOOKUP($O157,'02 Lists'!$A$5:$B$18,2,FALSE()),1)))</f>
        <v/>
      </c>
      <c r="S157" s="140" t="n"/>
      <c r="T157" s="147" t="n"/>
      <c r="U157" s="141" t="n"/>
      <c r="V157" s="148" t="n"/>
      <c r="W157" s="149" t="n"/>
      <c r="X157" s="150">
        <f>IF(OR($V157="",$T157="",$T157=0),"",$V157/(1+IF(IFERROR(INDEX('03 Suppliers'!$N$5:$N$34,MATCH($S157,'03 Suppliers'!$B$5:$B$34,0)),"Excl VAT")="Incl VAT",'01 Control'!$C$6,0))/($T157*IFERROR(VLOOKUP($U157,'02 Lists'!$A$5:$B$18,2,FALSE()),1)))</f>
        <v/>
      </c>
      <c r="Y157" s="140" t="n"/>
      <c r="Z157" s="147" t="n"/>
      <c r="AA157" s="141" t="n"/>
      <c r="AB157" s="148" t="n"/>
      <c r="AC157" s="149" t="n"/>
      <c r="AD157" s="150">
        <f>IF(OR($AB157="",$Z157="",$Z157=0),"",$AB157/(1+IF(IFERROR(INDEX('03 Suppliers'!$N$5:$N$34,MATCH($Y157,'03 Suppliers'!$B$5:$B$34,0)),"Excl VAT")="Incl VAT",'01 Control'!$C$6,0))/($Z157*IFERROR(VLOOKUP($AA157,'02 Lists'!$A$5:$B$18,2,FALSE()),1)))</f>
        <v/>
      </c>
      <c r="AE157" s="140" t="n"/>
      <c r="AF157" s="147" t="n"/>
      <c r="AG157" s="141" t="n"/>
      <c r="AH157" s="148" t="n"/>
      <c r="AI157" s="149" t="n"/>
      <c r="AJ157" s="150">
        <f>IF(OR($AH157="",$AF157="",$AF157=0),"",$AH157/(1+IF(IFERROR(INDEX('03 Suppliers'!$N$5:$N$34,MATCH($AE157,'03 Suppliers'!$B$5:$B$34,0)),"Excl VAT")="Incl VAT",'01 Control'!$C$6,0))/($AF157*IFERROR(VLOOKUP($AG157,'02 Lists'!$A$5:$B$18,2,FALSE()),1)))</f>
        <v/>
      </c>
      <c r="AK157" s="151">
        <f>IF(COUNT(L157,R157,X157,AD157,AJ157)=0,"",MIN(L157,R157,X157,AD157,AJ157))</f>
        <v/>
      </c>
      <c r="AL157" s="126">
        <f>IF($AK157="","",IF(L157=$AK157,$G157,IF(R157=$AK157,$M157,IF(X157=$AK157,$S157,IF(AD157=$AK157,$Y157,IF(AJ157=$AK157,$AE157,""))))))</f>
        <v/>
      </c>
      <c r="AM157" s="151">
        <f>IF($AK157="","",$AK157/IF($E157="",1,$E157))</f>
        <v/>
      </c>
      <c r="AN157" s="152">
        <f>COUNT(L157,R157,X157,AD157,AJ157)</f>
        <v/>
      </c>
      <c r="AO157" s="150">
        <f>IF(COUNT(L157,R157,X157,AD157,AJ157)=0,"",MAX(L157,R157,X157,AD157,AJ157))</f>
        <v/>
      </c>
      <c r="AP157" s="153">
        <f>IF(OR($AK157="",$AO157="",$AO157=0),"",($AO157-$AK157)/$AO157)</f>
        <v/>
      </c>
      <c r="AQ157" s="154">
        <f>IF($AK157="","",IF(L157=$AK157,$K157,IF(R157=$AK157,$Q157,IF(X157=$AK157,$W157,IF(AD157=$AK157,$AC157,IF(AJ157=$AK157,$AI157,""))))))</f>
        <v/>
      </c>
    </row>
    <row r="158" ht="15" customHeight="1" s="106">
      <c r="A158" s="140" t="n"/>
      <c r="B158" s="140" t="n"/>
      <c r="C158" s="140" t="n"/>
      <c r="D158" s="141" t="n"/>
      <c r="E158" s="146" t="n"/>
      <c r="F158" s="140" t="n"/>
      <c r="G158" s="140" t="n"/>
      <c r="H158" s="147" t="n"/>
      <c r="I158" s="141" t="n"/>
      <c r="J158" s="148" t="n"/>
      <c r="K158" s="149" t="n"/>
      <c r="L158" s="150">
        <f>IF(OR($J158="",$H158="",$H158=0),"",$J158/(1+IF(IFERROR(INDEX('03 Suppliers'!$N$5:$N$34,MATCH($G158,'03 Suppliers'!$B$5:$B$34,0)),"Excl VAT")="Incl VAT",'01 Control'!$C$6,0))/($H158*IFERROR(VLOOKUP($I158,'02 Lists'!$A$5:$B$18,2,FALSE()),1)))</f>
        <v/>
      </c>
      <c r="M158" s="140" t="n"/>
      <c r="N158" s="147" t="n"/>
      <c r="O158" s="141" t="n"/>
      <c r="P158" s="148" t="n"/>
      <c r="Q158" s="149" t="n"/>
      <c r="R158" s="150">
        <f>IF(OR($P158="",$N158="",$N158=0),"",$P158/(1+IF(IFERROR(INDEX('03 Suppliers'!$N$5:$N$34,MATCH($M158,'03 Suppliers'!$B$5:$B$34,0)),"Excl VAT")="Incl VAT",'01 Control'!$C$6,0))/($N158*IFERROR(VLOOKUP($O158,'02 Lists'!$A$5:$B$18,2,FALSE()),1)))</f>
        <v/>
      </c>
      <c r="S158" s="140" t="n"/>
      <c r="T158" s="147" t="n"/>
      <c r="U158" s="141" t="n"/>
      <c r="V158" s="148" t="n"/>
      <c r="W158" s="149" t="n"/>
      <c r="X158" s="150">
        <f>IF(OR($V158="",$T158="",$T158=0),"",$V158/(1+IF(IFERROR(INDEX('03 Suppliers'!$N$5:$N$34,MATCH($S158,'03 Suppliers'!$B$5:$B$34,0)),"Excl VAT")="Incl VAT",'01 Control'!$C$6,0))/($T158*IFERROR(VLOOKUP($U158,'02 Lists'!$A$5:$B$18,2,FALSE()),1)))</f>
        <v/>
      </c>
      <c r="Y158" s="140" t="n"/>
      <c r="Z158" s="147" t="n"/>
      <c r="AA158" s="141" t="n"/>
      <c r="AB158" s="148" t="n"/>
      <c r="AC158" s="149" t="n"/>
      <c r="AD158" s="150">
        <f>IF(OR($AB158="",$Z158="",$Z158=0),"",$AB158/(1+IF(IFERROR(INDEX('03 Suppliers'!$N$5:$N$34,MATCH($Y158,'03 Suppliers'!$B$5:$B$34,0)),"Excl VAT")="Incl VAT",'01 Control'!$C$6,0))/($Z158*IFERROR(VLOOKUP($AA158,'02 Lists'!$A$5:$B$18,2,FALSE()),1)))</f>
        <v/>
      </c>
      <c r="AE158" s="140" t="n"/>
      <c r="AF158" s="147" t="n"/>
      <c r="AG158" s="141" t="n"/>
      <c r="AH158" s="148" t="n"/>
      <c r="AI158" s="149" t="n"/>
      <c r="AJ158" s="150">
        <f>IF(OR($AH158="",$AF158="",$AF158=0),"",$AH158/(1+IF(IFERROR(INDEX('03 Suppliers'!$N$5:$N$34,MATCH($AE158,'03 Suppliers'!$B$5:$B$34,0)),"Excl VAT")="Incl VAT",'01 Control'!$C$6,0))/($AF158*IFERROR(VLOOKUP($AG158,'02 Lists'!$A$5:$B$18,2,FALSE()),1)))</f>
        <v/>
      </c>
      <c r="AK158" s="151">
        <f>IF(COUNT(L158,R158,X158,AD158,AJ158)=0,"",MIN(L158,R158,X158,AD158,AJ158))</f>
        <v/>
      </c>
      <c r="AL158" s="126">
        <f>IF($AK158="","",IF(L158=$AK158,$G158,IF(R158=$AK158,$M158,IF(X158=$AK158,$S158,IF(AD158=$AK158,$Y158,IF(AJ158=$AK158,$AE158,""))))))</f>
        <v/>
      </c>
      <c r="AM158" s="151">
        <f>IF($AK158="","",$AK158/IF($E158="",1,$E158))</f>
        <v/>
      </c>
      <c r="AN158" s="152">
        <f>COUNT(L158,R158,X158,AD158,AJ158)</f>
        <v/>
      </c>
      <c r="AO158" s="150">
        <f>IF(COUNT(L158,R158,X158,AD158,AJ158)=0,"",MAX(L158,R158,X158,AD158,AJ158))</f>
        <v/>
      </c>
      <c r="AP158" s="153">
        <f>IF(OR($AK158="",$AO158="",$AO158=0),"",($AO158-$AK158)/$AO158)</f>
        <v/>
      </c>
      <c r="AQ158" s="154">
        <f>IF($AK158="","",IF(L158=$AK158,$K158,IF(R158=$AK158,$Q158,IF(X158=$AK158,$W158,IF(AD158=$AK158,$AC158,IF(AJ158=$AK158,$AI158,""))))))</f>
        <v/>
      </c>
    </row>
    <row r="159" ht="15" customHeight="1" s="106">
      <c r="A159" s="140" t="n"/>
      <c r="B159" s="140" t="n"/>
      <c r="C159" s="140" t="n"/>
      <c r="D159" s="141" t="n"/>
      <c r="E159" s="146" t="n"/>
      <c r="F159" s="140" t="n"/>
      <c r="G159" s="140" t="n"/>
      <c r="H159" s="147" t="n"/>
      <c r="I159" s="141" t="n"/>
      <c r="J159" s="148" t="n"/>
      <c r="K159" s="149" t="n"/>
      <c r="L159" s="150">
        <f>IF(OR($J159="",$H159="",$H159=0),"",$J159/(1+IF(IFERROR(INDEX('03 Suppliers'!$N$5:$N$34,MATCH($G159,'03 Suppliers'!$B$5:$B$34,0)),"Excl VAT")="Incl VAT",'01 Control'!$C$6,0))/($H159*IFERROR(VLOOKUP($I159,'02 Lists'!$A$5:$B$18,2,FALSE()),1)))</f>
        <v/>
      </c>
      <c r="M159" s="140" t="n"/>
      <c r="N159" s="147" t="n"/>
      <c r="O159" s="141" t="n"/>
      <c r="P159" s="148" t="n"/>
      <c r="Q159" s="149" t="n"/>
      <c r="R159" s="150">
        <f>IF(OR($P159="",$N159="",$N159=0),"",$P159/(1+IF(IFERROR(INDEX('03 Suppliers'!$N$5:$N$34,MATCH($M159,'03 Suppliers'!$B$5:$B$34,0)),"Excl VAT")="Incl VAT",'01 Control'!$C$6,0))/($N159*IFERROR(VLOOKUP($O159,'02 Lists'!$A$5:$B$18,2,FALSE()),1)))</f>
        <v/>
      </c>
      <c r="S159" s="140" t="n"/>
      <c r="T159" s="147" t="n"/>
      <c r="U159" s="141" t="n"/>
      <c r="V159" s="148" t="n"/>
      <c r="W159" s="149" t="n"/>
      <c r="X159" s="150">
        <f>IF(OR($V159="",$T159="",$T159=0),"",$V159/(1+IF(IFERROR(INDEX('03 Suppliers'!$N$5:$N$34,MATCH($S159,'03 Suppliers'!$B$5:$B$34,0)),"Excl VAT")="Incl VAT",'01 Control'!$C$6,0))/($T159*IFERROR(VLOOKUP($U159,'02 Lists'!$A$5:$B$18,2,FALSE()),1)))</f>
        <v/>
      </c>
      <c r="Y159" s="140" t="n"/>
      <c r="Z159" s="147" t="n"/>
      <c r="AA159" s="141" t="n"/>
      <c r="AB159" s="148" t="n"/>
      <c r="AC159" s="149" t="n"/>
      <c r="AD159" s="150">
        <f>IF(OR($AB159="",$Z159="",$Z159=0),"",$AB159/(1+IF(IFERROR(INDEX('03 Suppliers'!$N$5:$N$34,MATCH($Y159,'03 Suppliers'!$B$5:$B$34,0)),"Excl VAT")="Incl VAT",'01 Control'!$C$6,0))/($Z159*IFERROR(VLOOKUP($AA159,'02 Lists'!$A$5:$B$18,2,FALSE()),1)))</f>
        <v/>
      </c>
      <c r="AE159" s="140" t="n"/>
      <c r="AF159" s="147" t="n"/>
      <c r="AG159" s="141" t="n"/>
      <c r="AH159" s="148" t="n"/>
      <c r="AI159" s="149" t="n"/>
      <c r="AJ159" s="150">
        <f>IF(OR($AH159="",$AF159="",$AF159=0),"",$AH159/(1+IF(IFERROR(INDEX('03 Suppliers'!$N$5:$N$34,MATCH($AE159,'03 Suppliers'!$B$5:$B$34,0)),"Excl VAT")="Incl VAT",'01 Control'!$C$6,0))/($AF159*IFERROR(VLOOKUP($AG159,'02 Lists'!$A$5:$B$18,2,FALSE()),1)))</f>
        <v/>
      </c>
      <c r="AK159" s="151">
        <f>IF(COUNT(L159,R159,X159,AD159,AJ159)=0,"",MIN(L159,R159,X159,AD159,AJ159))</f>
        <v/>
      </c>
      <c r="AL159" s="126">
        <f>IF($AK159="","",IF(L159=$AK159,$G159,IF(R159=$AK159,$M159,IF(X159=$AK159,$S159,IF(AD159=$AK159,$Y159,IF(AJ159=$AK159,$AE159,""))))))</f>
        <v/>
      </c>
      <c r="AM159" s="151">
        <f>IF($AK159="","",$AK159/IF($E159="",1,$E159))</f>
        <v/>
      </c>
      <c r="AN159" s="152">
        <f>COUNT(L159,R159,X159,AD159,AJ159)</f>
        <v/>
      </c>
      <c r="AO159" s="150">
        <f>IF(COUNT(L159,R159,X159,AD159,AJ159)=0,"",MAX(L159,R159,X159,AD159,AJ159))</f>
        <v/>
      </c>
      <c r="AP159" s="153">
        <f>IF(OR($AK159="",$AO159="",$AO159=0),"",($AO159-$AK159)/$AO159)</f>
        <v/>
      </c>
      <c r="AQ159" s="154">
        <f>IF($AK159="","",IF(L159=$AK159,$K159,IF(R159=$AK159,$Q159,IF(X159=$AK159,$W159,IF(AD159=$AK159,$AC159,IF(AJ159=$AK159,$AI159,""))))))</f>
        <v/>
      </c>
    </row>
    <row r="160" ht="15" customHeight="1" s="106">
      <c r="A160" s="140" t="n"/>
      <c r="B160" s="140" t="n"/>
      <c r="C160" s="140" t="n"/>
      <c r="D160" s="141" t="n"/>
      <c r="E160" s="146" t="n"/>
      <c r="F160" s="140" t="n"/>
      <c r="G160" s="140" t="n"/>
      <c r="H160" s="147" t="n"/>
      <c r="I160" s="141" t="n"/>
      <c r="J160" s="148" t="n"/>
      <c r="K160" s="149" t="n"/>
      <c r="L160" s="150">
        <f>IF(OR($J160="",$H160="",$H160=0),"",$J160/(1+IF(IFERROR(INDEX('03 Suppliers'!$N$5:$N$34,MATCH($G160,'03 Suppliers'!$B$5:$B$34,0)),"Excl VAT")="Incl VAT",'01 Control'!$C$6,0))/($H160*IFERROR(VLOOKUP($I160,'02 Lists'!$A$5:$B$18,2,FALSE()),1)))</f>
        <v/>
      </c>
      <c r="M160" s="140" t="n"/>
      <c r="N160" s="147" t="n"/>
      <c r="O160" s="141" t="n"/>
      <c r="P160" s="148" t="n"/>
      <c r="Q160" s="149" t="n"/>
      <c r="R160" s="150">
        <f>IF(OR($P160="",$N160="",$N160=0),"",$P160/(1+IF(IFERROR(INDEX('03 Suppliers'!$N$5:$N$34,MATCH($M160,'03 Suppliers'!$B$5:$B$34,0)),"Excl VAT")="Incl VAT",'01 Control'!$C$6,0))/($N160*IFERROR(VLOOKUP($O160,'02 Lists'!$A$5:$B$18,2,FALSE()),1)))</f>
        <v/>
      </c>
      <c r="S160" s="140" t="n"/>
      <c r="T160" s="147" t="n"/>
      <c r="U160" s="141" t="n"/>
      <c r="V160" s="148" t="n"/>
      <c r="W160" s="149" t="n"/>
      <c r="X160" s="150">
        <f>IF(OR($V160="",$T160="",$T160=0),"",$V160/(1+IF(IFERROR(INDEX('03 Suppliers'!$N$5:$N$34,MATCH($S160,'03 Suppliers'!$B$5:$B$34,0)),"Excl VAT")="Incl VAT",'01 Control'!$C$6,0))/($T160*IFERROR(VLOOKUP($U160,'02 Lists'!$A$5:$B$18,2,FALSE()),1)))</f>
        <v/>
      </c>
      <c r="Y160" s="140" t="n"/>
      <c r="Z160" s="147" t="n"/>
      <c r="AA160" s="141" t="n"/>
      <c r="AB160" s="148" t="n"/>
      <c r="AC160" s="149" t="n"/>
      <c r="AD160" s="150">
        <f>IF(OR($AB160="",$Z160="",$Z160=0),"",$AB160/(1+IF(IFERROR(INDEX('03 Suppliers'!$N$5:$N$34,MATCH($Y160,'03 Suppliers'!$B$5:$B$34,0)),"Excl VAT")="Incl VAT",'01 Control'!$C$6,0))/($Z160*IFERROR(VLOOKUP($AA160,'02 Lists'!$A$5:$B$18,2,FALSE()),1)))</f>
        <v/>
      </c>
      <c r="AE160" s="140" t="n"/>
      <c r="AF160" s="147" t="n"/>
      <c r="AG160" s="141" t="n"/>
      <c r="AH160" s="148" t="n"/>
      <c r="AI160" s="149" t="n"/>
      <c r="AJ160" s="150">
        <f>IF(OR($AH160="",$AF160="",$AF160=0),"",$AH160/(1+IF(IFERROR(INDEX('03 Suppliers'!$N$5:$N$34,MATCH($AE160,'03 Suppliers'!$B$5:$B$34,0)),"Excl VAT")="Incl VAT",'01 Control'!$C$6,0))/($AF160*IFERROR(VLOOKUP($AG160,'02 Lists'!$A$5:$B$18,2,FALSE()),1)))</f>
        <v/>
      </c>
      <c r="AK160" s="151">
        <f>IF(COUNT(L160,R160,X160,AD160,AJ160)=0,"",MIN(L160,R160,X160,AD160,AJ160))</f>
        <v/>
      </c>
      <c r="AL160" s="126">
        <f>IF($AK160="","",IF(L160=$AK160,$G160,IF(R160=$AK160,$M160,IF(X160=$AK160,$S160,IF(AD160=$AK160,$Y160,IF(AJ160=$AK160,$AE160,""))))))</f>
        <v/>
      </c>
      <c r="AM160" s="151">
        <f>IF($AK160="","",$AK160/IF($E160="",1,$E160))</f>
        <v/>
      </c>
      <c r="AN160" s="152">
        <f>COUNT(L160,R160,X160,AD160,AJ160)</f>
        <v/>
      </c>
      <c r="AO160" s="150">
        <f>IF(COUNT(L160,R160,X160,AD160,AJ160)=0,"",MAX(L160,R160,X160,AD160,AJ160))</f>
        <v/>
      </c>
      <c r="AP160" s="153">
        <f>IF(OR($AK160="",$AO160="",$AO160=0),"",($AO160-$AK160)/$AO160)</f>
        <v/>
      </c>
      <c r="AQ160" s="154">
        <f>IF($AK160="","",IF(L160=$AK160,$K160,IF(R160=$AK160,$Q160,IF(X160=$AK160,$W160,IF(AD160=$AK160,$AC160,IF(AJ160=$AK160,$AI160,""))))))</f>
        <v/>
      </c>
    </row>
    <row r="161" ht="15" customHeight="1" s="106">
      <c r="A161" s="140" t="n"/>
      <c r="B161" s="140" t="n"/>
      <c r="C161" s="140" t="n"/>
      <c r="D161" s="141" t="n"/>
      <c r="E161" s="146" t="n"/>
      <c r="F161" s="140" t="n"/>
      <c r="G161" s="140" t="n"/>
      <c r="H161" s="147" t="n"/>
      <c r="I161" s="141" t="n"/>
      <c r="J161" s="148" t="n"/>
      <c r="K161" s="149" t="n"/>
      <c r="L161" s="150">
        <f>IF(OR($J161="",$H161="",$H161=0),"",$J161/(1+IF(IFERROR(INDEX('03 Suppliers'!$N$5:$N$34,MATCH($G161,'03 Suppliers'!$B$5:$B$34,0)),"Excl VAT")="Incl VAT",'01 Control'!$C$6,0))/($H161*IFERROR(VLOOKUP($I161,'02 Lists'!$A$5:$B$18,2,FALSE()),1)))</f>
        <v/>
      </c>
      <c r="M161" s="140" t="n"/>
      <c r="N161" s="147" t="n"/>
      <c r="O161" s="141" t="n"/>
      <c r="P161" s="148" t="n"/>
      <c r="Q161" s="149" t="n"/>
      <c r="R161" s="150">
        <f>IF(OR($P161="",$N161="",$N161=0),"",$P161/(1+IF(IFERROR(INDEX('03 Suppliers'!$N$5:$N$34,MATCH($M161,'03 Suppliers'!$B$5:$B$34,0)),"Excl VAT")="Incl VAT",'01 Control'!$C$6,0))/($N161*IFERROR(VLOOKUP($O161,'02 Lists'!$A$5:$B$18,2,FALSE()),1)))</f>
        <v/>
      </c>
      <c r="S161" s="140" t="n"/>
      <c r="T161" s="147" t="n"/>
      <c r="U161" s="141" t="n"/>
      <c r="V161" s="148" t="n"/>
      <c r="W161" s="149" t="n"/>
      <c r="X161" s="150">
        <f>IF(OR($V161="",$T161="",$T161=0),"",$V161/(1+IF(IFERROR(INDEX('03 Suppliers'!$N$5:$N$34,MATCH($S161,'03 Suppliers'!$B$5:$B$34,0)),"Excl VAT")="Incl VAT",'01 Control'!$C$6,0))/($T161*IFERROR(VLOOKUP($U161,'02 Lists'!$A$5:$B$18,2,FALSE()),1)))</f>
        <v/>
      </c>
      <c r="Y161" s="140" t="n"/>
      <c r="Z161" s="147" t="n"/>
      <c r="AA161" s="141" t="n"/>
      <c r="AB161" s="148" t="n"/>
      <c r="AC161" s="149" t="n"/>
      <c r="AD161" s="150">
        <f>IF(OR($AB161="",$Z161="",$Z161=0),"",$AB161/(1+IF(IFERROR(INDEX('03 Suppliers'!$N$5:$N$34,MATCH($Y161,'03 Suppliers'!$B$5:$B$34,0)),"Excl VAT")="Incl VAT",'01 Control'!$C$6,0))/($Z161*IFERROR(VLOOKUP($AA161,'02 Lists'!$A$5:$B$18,2,FALSE()),1)))</f>
        <v/>
      </c>
      <c r="AE161" s="140" t="n"/>
      <c r="AF161" s="147" t="n"/>
      <c r="AG161" s="141" t="n"/>
      <c r="AH161" s="148" t="n"/>
      <c r="AI161" s="149" t="n"/>
      <c r="AJ161" s="150">
        <f>IF(OR($AH161="",$AF161="",$AF161=0),"",$AH161/(1+IF(IFERROR(INDEX('03 Suppliers'!$N$5:$N$34,MATCH($AE161,'03 Suppliers'!$B$5:$B$34,0)),"Excl VAT")="Incl VAT",'01 Control'!$C$6,0))/($AF161*IFERROR(VLOOKUP($AG161,'02 Lists'!$A$5:$B$18,2,FALSE()),1)))</f>
        <v/>
      </c>
      <c r="AK161" s="151">
        <f>IF(COUNT(L161,R161,X161,AD161,AJ161)=0,"",MIN(L161,R161,X161,AD161,AJ161))</f>
        <v/>
      </c>
      <c r="AL161" s="126">
        <f>IF($AK161="","",IF(L161=$AK161,$G161,IF(R161=$AK161,$M161,IF(X161=$AK161,$S161,IF(AD161=$AK161,$Y161,IF(AJ161=$AK161,$AE161,""))))))</f>
        <v/>
      </c>
      <c r="AM161" s="151">
        <f>IF($AK161="","",$AK161/IF($E161="",1,$E161))</f>
        <v/>
      </c>
      <c r="AN161" s="152">
        <f>COUNT(L161,R161,X161,AD161,AJ161)</f>
        <v/>
      </c>
      <c r="AO161" s="150">
        <f>IF(COUNT(L161,R161,X161,AD161,AJ161)=0,"",MAX(L161,R161,X161,AD161,AJ161))</f>
        <v/>
      </c>
      <c r="AP161" s="153">
        <f>IF(OR($AK161="",$AO161="",$AO161=0),"",($AO161-$AK161)/$AO161)</f>
        <v/>
      </c>
      <c r="AQ161" s="154">
        <f>IF($AK161="","",IF(L161=$AK161,$K161,IF(R161=$AK161,$Q161,IF(X161=$AK161,$W161,IF(AD161=$AK161,$AC161,IF(AJ161=$AK161,$AI161,""))))))</f>
        <v/>
      </c>
    </row>
    <row r="162" ht="15" customHeight="1" s="106">
      <c r="A162" s="140" t="n"/>
      <c r="B162" s="140" t="n"/>
      <c r="C162" s="140" t="n"/>
      <c r="D162" s="141" t="n"/>
      <c r="E162" s="146" t="n"/>
      <c r="F162" s="140" t="n"/>
      <c r="G162" s="140" t="n"/>
      <c r="H162" s="147" t="n"/>
      <c r="I162" s="141" t="n"/>
      <c r="J162" s="148" t="n"/>
      <c r="K162" s="149" t="n"/>
      <c r="L162" s="150">
        <f>IF(OR($J162="",$H162="",$H162=0),"",$J162/(1+IF(IFERROR(INDEX('03 Suppliers'!$N$5:$N$34,MATCH($G162,'03 Suppliers'!$B$5:$B$34,0)),"Excl VAT")="Incl VAT",'01 Control'!$C$6,0))/($H162*IFERROR(VLOOKUP($I162,'02 Lists'!$A$5:$B$18,2,FALSE()),1)))</f>
        <v/>
      </c>
      <c r="M162" s="140" t="n"/>
      <c r="N162" s="147" t="n"/>
      <c r="O162" s="141" t="n"/>
      <c r="P162" s="148" t="n"/>
      <c r="Q162" s="149" t="n"/>
      <c r="R162" s="150">
        <f>IF(OR($P162="",$N162="",$N162=0),"",$P162/(1+IF(IFERROR(INDEX('03 Suppliers'!$N$5:$N$34,MATCH($M162,'03 Suppliers'!$B$5:$B$34,0)),"Excl VAT")="Incl VAT",'01 Control'!$C$6,0))/($N162*IFERROR(VLOOKUP($O162,'02 Lists'!$A$5:$B$18,2,FALSE()),1)))</f>
        <v/>
      </c>
      <c r="S162" s="140" t="n"/>
      <c r="T162" s="147" t="n"/>
      <c r="U162" s="141" t="n"/>
      <c r="V162" s="148" t="n"/>
      <c r="W162" s="149" t="n"/>
      <c r="X162" s="150">
        <f>IF(OR($V162="",$T162="",$T162=0),"",$V162/(1+IF(IFERROR(INDEX('03 Suppliers'!$N$5:$N$34,MATCH($S162,'03 Suppliers'!$B$5:$B$34,0)),"Excl VAT")="Incl VAT",'01 Control'!$C$6,0))/($T162*IFERROR(VLOOKUP($U162,'02 Lists'!$A$5:$B$18,2,FALSE()),1)))</f>
        <v/>
      </c>
      <c r="Y162" s="140" t="n"/>
      <c r="Z162" s="147" t="n"/>
      <c r="AA162" s="141" t="n"/>
      <c r="AB162" s="148" t="n"/>
      <c r="AC162" s="149" t="n"/>
      <c r="AD162" s="150">
        <f>IF(OR($AB162="",$Z162="",$Z162=0),"",$AB162/(1+IF(IFERROR(INDEX('03 Suppliers'!$N$5:$N$34,MATCH($Y162,'03 Suppliers'!$B$5:$B$34,0)),"Excl VAT")="Incl VAT",'01 Control'!$C$6,0))/($Z162*IFERROR(VLOOKUP($AA162,'02 Lists'!$A$5:$B$18,2,FALSE()),1)))</f>
        <v/>
      </c>
      <c r="AE162" s="140" t="n"/>
      <c r="AF162" s="147" t="n"/>
      <c r="AG162" s="141" t="n"/>
      <c r="AH162" s="148" t="n"/>
      <c r="AI162" s="149" t="n"/>
      <c r="AJ162" s="150">
        <f>IF(OR($AH162="",$AF162="",$AF162=0),"",$AH162/(1+IF(IFERROR(INDEX('03 Suppliers'!$N$5:$N$34,MATCH($AE162,'03 Suppliers'!$B$5:$B$34,0)),"Excl VAT")="Incl VAT",'01 Control'!$C$6,0))/($AF162*IFERROR(VLOOKUP($AG162,'02 Lists'!$A$5:$B$18,2,FALSE()),1)))</f>
        <v/>
      </c>
      <c r="AK162" s="151">
        <f>IF(COUNT(L162,R162,X162,AD162,AJ162)=0,"",MIN(L162,R162,X162,AD162,AJ162))</f>
        <v/>
      </c>
      <c r="AL162" s="126">
        <f>IF($AK162="","",IF(L162=$AK162,$G162,IF(R162=$AK162,$M162,IF(X162=$AK162,$S162,IF(AD162=$AK162,$Y162,IF(AJ162=$AK162,$AE162,""))))))</f>
        <v/>
      </c>
      <c r="AM162" s="151">
        <f>IF($AK162="","",$AK162/IF($E162="",1,$E162))</f>
        <v/>
      </c>
      <c r="AN162" s="152">
        <f>COUNT(L162,R162,X162,AD162,AJ162)</f>
        <v/>
      </c>
      <c r="AO162" s="150">
        <f>IF(COUNT(L162,R162,X162,AD162,AJ162)=0,"",MAX(L162,R162,X162,AD162,AJ162))</f>
        <v/>
      </c>
      <c r="AP162" s="153">
        <f>IF(OR($AK162="",$AO162="",$AO162=0),"",($AO162-$AK162)/$AO162)</f>
        <v/>
      </c>
      <c r="AQ162" s="154">
        <f>IF($AK162="","",IF(L162=$AK162,$K162,IF(R162=$AK162,$Q162,IF(X162=$AK162,$W162,IF(AD162=$AK162,$AC162,IF(AJ162=$AK162,$AI162,""))))))</f>
        <v/>
      </c>
    </row>
    <row r="163" ht="15" customHeight="1" s="106">
      <c r="A163" s="140" t="n"/>
      <c r="B163" s="140" t="n"/>
      <c r="C163" s="140" t="n"/>
      <c r="D163" s="141" t="n"/>
      <c r="E163" s="146" t="n"/>
      <c r="F163" s="140" t="n"/>
      <c r="G163" s="140" t="n"/>
      <c r="H163" s="147" t="n"/>
      <c r="I163" s="141" t="n"/>
      <c r="J163" s="148" t="n"/>
      <c r="K163" s="149" t="n"/>
      <c r="L163" s="150">
        <f>IF(OR($J163="",$H163="",$H163=0),"",$J163/(1+IF(IFERROR(INDEX('03 Suppliers'!$N$5:$N$34,MATCH($G163,'03 Suppliers'!$B$5:$B$34,0)),"Excl VAT")="Incl VAT",'01 Control'!$C$6,0))/($H163*IFERROR(VLOOKUP($I163,'02 Lists'!$A$5:$B$18,2,FALSE()),1)))</f>
        <v/>
      </c>
      <c r="M163" s="140" t="n"/>
      <c r="N163" s="147" t="n"/>
      <c r="O163" s="141" t="n"/>
      <c r="P163" s="148" t="n"/>
      <c r="Q163" s="149" t="n"/>
      <c r="R163" s="150">
        <f>IF(OR($P163="",$N163="",$N163=0),"",$P163/(1+IF(IFERROR(INDEX('03 Suppliers'!$N$5:$N$34,MATCH($M163,'03 Suppliers'!$B$5:$B$34,0)),"Excl VAT")="Incl VAT",'01 Control'!$C$6,0))/($N163*IFERROR(VLOOKUP($O163,'02 Lists'!$A$5:$B$18,2,FALSE()),1)))</f>
        <v/>
      </c>
      <c r="S163" s="140" t="n"/>
      <c r="T163" s="147" t="n"/>
      <c r="U163" s="141" t="n"/>
      <c r="V163" s="148" t="n"/>
      <c r="W163" s="149" t="n"/>
      <c r="X163" s="150">
        <f>IF(OR($V163="",$T163="",$T163=0),"",$V163/(1+IF(IFERROR(INDEX('03 Suppliers'!$N$5:$N$34,MATCH($S163,'03 Suppliers'!$B$5:$B$34,0)),"Excl VAT")="Incl VAT",'01 Control'!$C$6,0))/($T163*IFERROR(VLOOKUP($U163,'02 Lists'!$A$5:$B$18,2,FALSE()),1)))</f>
        <v/>
      </c>
      <c r="Y163" s="140" t="n"/>
      <c r="Z163" s="147" t="n"/>
      <c r="AA163" s="141" t="n"/>
      <c r="AB163" s="148" t="n"/>
      <c r="AC163" s="149" t="n"/>
      <c r="AD163" s="150">
        <f>IF(OR($AB163="",$Z163="",$Z163=0),"",$AB163/(1+IF(IFERROR(INDEX('03 Suppliers'!$N$5:$N$34,MATCH($Y163,'03 Suppliers'!$B$5:$B$34,0)),"Excl VAT")="Incl VAT",'01 Control'!$C$6,0))/($Z163*IFERROR(VLOOKUP($AA163,'02 Lists'!$A$5:$B$18,2,FALSE()),1)))</f>
        <v/>
      </c>
      <c r="AE163" s="140" t="n"/>
      <c r="AF163" s="147" t="n"/>
      <c r="AG163" s="141" t="n"/>
      <c r="AH163" s="148" t="n"/>
      <c r="AI163" s="149" t="n"/>
      <c r="AJ163" s="150">
        <f>IF(OR($AH163="",$AF163="",$AF163=0),"",$AH163/(1+IF(IFERROR(INDEX('03 Suppliers'!$N$5:$N$34,MATCH($AE163,'03 Suppliers'!$B$5:$B$34,0)),"Excl VAT")="Incl VAT",'01 Control'!$C$6,0))/($AF163*IFERROR(VLOOKUP($AG163,'02 Lists'!$A$5:$B$18,2,FALSE()),1)))</f>
        <v/>
      </c>
      <c r="AK163" s="151">
        <f>IF(COUNT(L163,R163,X163,AD163,AJ163)=0,"",MIN(L163,R163,X163,AD163,AJ163))</f>
        <v/>
      </c>
      <c r="AL163" s="126">
        <f>IF($AK163="","",IF(L163=$AK163,$G163,IF(R163=$AK163,$M163,IF(X163=$AK163,$S163,IF(AD163=$AK163,$Y163,IF(AJ163=$AK163,$AE163,""))))))</f>
        <v/>
      </c>
      <c r="AM163" s="151">
        <f>IF($AK163="","",$AK163/IF($E163="",1,$E163))</f>
        <v/>
      </c>
      <c r="AN163" s="152">
        <f>COUNT(L163,R163,X163,AD163,AJ163)</f>
        <v/>
      </c>
      <c r="AO163" s="150">
        <f>IF(COUNT(L163,R163,X163,AD163,AJ163)=0,"",MAX(L163,R163,X163,AD163,AJ163))</f>
        <v/>
      </c>
      <c r="AP163" s="153">
        <f>IF(OR($AK163="",$AO163="",$AO163=0),"",($AO163-$AK163)/$AO163)</f>
        <v/>
      </c>
      <c r="AQ163" s="154">
        <f>IF($AK163="","",IF(L163=$AK163,$K163,IF(R163=$AK163,$Q163,IF(X163=$AK163,$W163,IF(AD163=$AK163,$AC163,IF(AJ163=$AK163,$AI163,""))))))</f>
        <v/>
      </c>
    </row>
    <row r="164" ht="15" customHeight="1" s="106">
      <c r="A164" s="140" t="n"/>
      <c r="B164" s="140" t="n"/>
      <c r="C164" s="140" t="n"/>
      <c r="D164" s="141" t="n"/>
      <c r="E164" s="146" t="n"/>
      <c r="F164" s="140" t="n"/>
      <c r="G164" s="140" t="n"/>
      <c r="H164" s="147" t="n"/>
      <c r="I164" s="141" t="n"/>
      <c r="J164" s="148" t="n"/>
      <c r="K164" s="149" t="n"/>
      <c r="L164" s="150">
        <f>IF(OR($J164="",$H164="",$H164=0),"",$J164/(1+IF(IFERROR(INDEX('03 Suppliers'!$N$5:$N$34,MATCH($G164,'03 Suppliers'!$B$5:$B$34,0)),"Excl VAT")="Incl VAT",'01 Control'!$C$6,0))/($H164*IFERROR(VLOOKUP($I164,'02 Lists'!$A$5:$B$18,2,FALSE()),1)))</f>
        <v/>
      </c>
      <c r="M164" s="140" t="n"/>
      <c r="N164" s="147" t="n"/>
      <c r="O164" s="141" t="n"/>
      <c r="P164" s="148" t="n"/>
      <c r="Q164" s="149" t="n"/>
      <c r="R164" s="150">
        <f>IF(OR($P164="",$N164="",$N164=0),"",$P164/(1+IF(IFERROR(INDEX('03 Suppliers'!$N$5:$N$34,MATCH($M164,'03 Suppliers'!$B$5:$B$34,0)),"Excl VAT")="Incl VAT",'01 Control'!$C$6,0))/($N164*IFERROR(VLOOKUP($O164,'02 Lists'!$A$5:$B$18,2,FALSE()),1)))</f>
        <v/>
      </c>
      <c r="S164" s="140" t="n"/>
      <c r="T164" s="147" t="n"/>
      <c r="U164" s="141" t="n"/>
      <c r="V164" s="148" t="n"/>
      <c r="W164" s="149" t="n"/>
      <c r="X164" s="150">
        <f>IF(OR($V164="",$T164="",$T164=0),"",$V164/(1+IF(IFERROR(INDEX('03 Suppliers'!$N$5:$N$34,MATCH($S164,'03 Suppliers'!$B$5:$B$34,0)),"Excl VAT")="Incl VAT",'01 Control'!$C$6,0))/($T164*IFERROR(VLOOKUP($U164,'02 Lists'!$A$5:$B$18,2,FALSE()),1)))</f>
        <v/>
      </c>
      <c r="Y164" s="140" t="n"/>
      <c r="Z164" s="147" t="n"/>
      <c r="AA164" s="141" t="n"/>
      <c r="AB164" s="148" t="n"/>
      <c r="AC164" s="149" t="n"/>
      <c r="AD164" s="150">
        <f>IF(OR($AB164="",$Z164="",$Z164=0),"",$AB164/(1+IF(IFERROR(INDEX('03 Suppliers'!$N$5:$N$34,MATCH($Y164,'03 Suppliers'!$B$5:$B$34,0)),"Excl VAT")="Incl VAT",'01 Control'!$C$6,0))/($Z164*IFERROR(VLOOKUP($AA164,'02 Lists'!$A$5:$B$18,2,FALSE()),1)))</f>
        <v/>
      </c>
      <c r="AE164" s="140" t="n"/>
      <c r="AF164" s="147" t="n"/>
      <c r="AG164" s="141" t="n"/>
      <c r="AH164" s="148" t="n"/>
      <c r="AI164" s="149" t="n"/>
      <c r="AJ164" s="150">
        <f>IF(OR($AH164="",$AF164="",$AF164=0),"",$AH164/(1+IF(IFERROR(INDEX('03 Suppliers'!$N$5:$N$34,MATCH($AE164,'03 Suppliers'!$B$5:$B$34,0)),"Excl VAT")="Incl VAT",'01 Control'!$C$6,0))/($AF164*IFERROR(VLOOKUP($AG164,'02 Lists'!$A$5:$B$18,2,FALSE()),1)))</f>
        <v/>
      </c>
      <c r="AK164" s="151">
        <f>IF(COUNT(L164,R164,X164,AD164,AJ164)=0,"",MIN(L164,R164,X164,AD164,AJ164))</f>
        <v/>
      </c>
      <c r="AL164" s="126">
        <f>IF($AK164="","",IF(L164=$AK164,$G164,IF(R164=$AK164,$M164,IF(X164=$AK164,$S164,IF(AD164=$AK164,$Y164,IF(AJ164=$AK164,$AE164,""))))))</f>
        <v/>
      </c>
      <c r="AM164" s="151">
        <f>IF($AK164="","",$AK164/IF($E164="",1,$E164))</f>
        <v/>
      </c>
      <c r="AN164" s="152">
        <f>COUNT(L164,R164,X164,AD164,AJ164)</f>
        <v/>
      </c>
      <c r="AO164" s="150">
        <f>IF(COUNT(L164,R164,X164,AD164,AJ164)=0,"",MAX(L164,R164,X164,AD164,AJ164))</f>
        <v/>
      </c>
      <c r="AP164" s="153">
        <f>IF(OR($AK164="",$AO164="",$AO164=0),"",($AO164-$AK164)/$AO164)</f>
        <v/>
      </c>
      <c r="AQ164" s="154">
        <f>IF($AK164="","",IF(L164=$AK164,$K164,IF(R164=$AK164,$Q164,IF(X164=$AK164,$W164,IF(AD164=$AK164,$AC164,IF(AJ164=$AK164,$AI164,""))))))</f>
        <v/>
      </c>
    </row>
    <row r="165" ht="15" customHeight="1" s="106">
      <c r="A165" s="140" t="n"/>
      <c r="B165" s="140" t="n"/>
      <c r="C165" s="140" t="n"/>
      <c r="D165" s="141" t="n"/>
      <c r="E165" s="146" t="n"/>
      <c r="F165" s="140" t="n"/>
      <c r="G165" s="140" t="n"/>
      <c r="H165" s="147" t="n"/>
      <c r="I165" s="141" t="n"/>
      <c r="J165" s="148" t="n"/>
      <c r="K165" s="149" t="n"/>
      <c r="L165" s="150">
        <f>IF(OR($J165="",$H165="",$H165=0),"",$J165/(1+IF(IFERROR(INDEX('03 Suppliers'!$N$5:$N$34,MATCH($G165,'03 Suppliers'!$B$5:$B$34,0)),"Excl VAT")="Incl VAT",'01 Control'!$C$6,0))/($H165*IFERROR(VLOOKUP($I165,'02 Lists'!$A$5:$B$18,2,FALSE()),1)))</f>
        <v/>
      </c>
      <c r="M165" s="140" t="n"/>
      <c r="N165" s="147" t="n"/>
      <c r="O165" s="141" t="n"/>
      <c r="P165" s="148" t="n"/>
      <c r="Q165" s="149" t="n"/>
      <c r="R165" s="150">
        <f>IF(OR($P165="",$N165="",$N165=0),"",$P165/(1+IF(IFERROR(INDEX('03 Suppliers'!$N$5:$N$34,MATCH($M165,'03 Suppliers'!$B$5:$B$34,0)),"Excl VAT")="Incl VAT",'01 Control'!$C$6,0))/($N165*IFERROR(VLOOKUP($O165,'02 Lists'!$A$5:$B$18,2,FALSE()),1)))</f>
        <v/>
      </c>
      <c r="S165" s="140" t="n"/>
      <c r="T165" s="147" t="n"/>
      <c r="U165" s="141" t="n"/>
      <c r="V165" s="148" t="n"/>
      <c r="W165" s="149" t="n"/>
      <c r="X165" s="150">
        <f>IF(OR($V165="",$T165="",$T165=0),"",$V165/(1+IF(IFERROR(INDEX('03 Suppliers'!$N$5:$N$34,MATCH($S165,'03 Suppliers'!$B$5:$B$34,0)),"Excl VAT")="Incl VAT",'01 Control'!$C$6,0))/($T165*IFERROR(VLOOKUP($U165,'02 Lists'!$A$5:$B$18,2,FALSE()),1)))</f>
        <v/>
      </c>
      <c r="Y165" s="140" t="n"/>
      <c r="Z165" s="147" t="n"/>
      <c r="AA165" s="141" t="n"/>
      <c r="AB165" s="148" t="n"/>
      <c r="AC165" s="149" t="n"/>
      <c r="AD165" s="150">
        <f>IF(OR($AB165="",$Z165="",$Z165=0),"",$AB165/(1+IF(IFERROR(INDEX('03 Suppliers'!$N$5:$N$34,MATCH($Y165,'03 Suppliers'!$B$5:$B$34,0)),"Excl VAT")="Incl VAT",'01 Control'!$C$6,0))/($Z165*IFERROR(VLOOKUP($AA165,'02 Lists'!$A$5:$B$18,2,FALSE()),1)))</f>
        <v/>
      </c>
      <c r="AE165" s="140" t="n"/>
      <c r="AF165" s="147" t="n"/>
      <c r="AG165" s="141" t="n"/>
      <c r="AH165" s="148" t="n"/>
      <c r="AI165" s="149" t="n"/>
      <c r="AJ165" s="150">
        <f>IF(OR($AH165="",$AF165="",$AF165=0),"",$AH165/(1+IF(IFERROR(INDEX('03 Suppliers'!$N$5:$N$34,MATCH($AE165,'03 Suppliers'!$B$5:$B$34,0)),"Excl VAT")="Incl VAT",'01 Control'!$C$6,0))/($AF165*IFERROR(VLOOKUP($AG165,'02 Lists'!$A$5:$B$18,2,FALSE()),1)))</f>
        <v/>
      </c>
      <c r="AK165" s="151">
        <f>IF(COUNT(L165,R165,X165,AD165,AJ165)=0,"",MIN(L165,R165,X165,AD165,AJ165))</f>
        <v/>
      </c>
      <c r="AL165" s="126">
        <f>IF($AK165="","",IF(L165=$AK165,$G165,IF(R165=$AK165,$M165,IF(X165=$AK165,$S165,IF(AD165=$AK165,$Y165,IF(AJ165=$AK165,$AE165,""))))))</f>
        <v/>
      </c>
      <c r="AM165" s="151">
        <f>IF($AK165="","",$AK165/IF($E165="",1,$E165))</f>
        <v/>
      </c>
      <c r="AN165" s="152">
        <f>COUNT(L165,R165,X165,AD165,AJ165)</f>
        <v/>
      </c>
      <c r="AO165" s="150">
        <f>IF(COUNT(L165,R165,X165,AD165,AJ165)=0,"",MAX(L165,R165,X165,AD165,AJ165))</f>
        <v/>
      </c>
      <c r="AP165" s="153">
        <f>IF(OR($AK165="",$AO165="",$AO165=0),"",($AO165-$AK165)/$AO165)</f>
        <v/>
      </c>
      <c r="AQ165" s="154">
        <f>IF($AK165="","",IF(L165=$AK165,$K165,IF(R165=$AK165,$Q165,IF(X165=$AK165,$W165,IF(AD165=$AK165,$AC165,IF(AJ165=$AK165,$AI165,""))))))</f>
        <v/>
      </c>
    </row>
    <row r="167" ht="19.4" customHeight="1" s="106">
      <c r="A167" s="135" t="inlineStr">
        <is>
          <t>Example row format - Supplier Name: Ferreira Fresh  |  Pack Qty: 5  |  Pack Unit: kg  |  Pack Cost (excl VAT): R 320.00  |  Quote Date: 2026-09-01. That resolves to R 0.0640 per gram. Set Pack Qty in the pack's own unit and the conversion table on 02 Lists does the rest. Slot 6 and beyond: capture in 12 Quote Log, then move the winner into one of the five slots.</t>
        </is>
      </c>
    </row>
  </sheetData>
  <sheetProtection selectLockedCells="0" selectUnlockedCells="0" sheet="1" objects="0" insertRows="1" insertHyperlinks="1" autoFilter="0" scenarios="0" formatColumns="0" deleteColumns="1" insertColumns="1" pivotTables="1" deleteRows="1" formatCells="0" formatRows="0" sort="0"/>
  <autoFilter ref="A4:AQ165"/>
  <mergeCells count="10">
    <mergeCell ref="Y3:AD3"/>
    <mergeCell ref="A3:F3"/>
    <mergeCell ref="A167:J167"/>
    <mergeCell ref="A2:AQ2"/>
    <mergeCell ref="G3:L3"/>
    <mergeCell ref="M3:R3"/>
    <mergeCell ref="AK3:AQ3"/>
    <mergeCell ref="S3:X3"/>
    <mergeCell ref="A1:AQ1"/>
    <mergeCell ref="AE3:AJ3"/>
  </mergeCells>
  <conditionalFormatting sqref="A5:C165">
    <cfRule type="expression" rank="0" priority="2" equalAverage="0" aboveAverage="0" dxfId="12" text="" percent="0" bottom="0">
      <formula>$AN5=0</formula>
    </cfRule>
    <cfRule type="expression" rank="0" priority="3" equalAverage="0" aboveAverage="0" dxfId="13" text="" percent="0" bottom="0">
      <formula>($AN5&gt;0)*($AN5&lt;3)</formula>
    </cfRule>
    <cfRule type="expression" rank="0" priority="4" equalAverage="0" aboveAverage="0" dxfId="14" text="" percent="0" bottom="0">
      <formula>$AN5&gt;=3</formula>
    </cfRule>
  </conditionalFormatting>
  <conditionalFormatting sqref="K5:K165">
    <cfRule type="expression" rank="0" priority="5" equalAverage="0" aboveAverage="0" dxfId="13" text="" percent="0" bottom="0">
      <formula>(K5&lt;&gt;"")*(TODAY()-K5&gt;90)</formula>
    </cfRule>
  </conditionalFormatting>
  <conditionalFormatting sqref="Q5:Q165">
    <cfRule type="expression" rank="0" priority="6" equalAverage="0" aboveAverage="0" dxfId="13" text="" percent="0" bottom="0">
      <formula>(Q5&lt;&gt;"")*(TODAY()-Q5&gt;90)</formula>
    </cfRule>
  </conditionalFormatting>
  <conditionalFormatting sqref="W5:W165">
    <cfRule type="expression" rank="0" priority="7" equalAverage="0" aboveAverage="0" dxfId="13" text="" percent="0" bottom="0">
      <formula>(W5&lt;&gt;"")*(TODAY()-W5&gt;90)</formula>
    </cfRule>
  </conditionalFormatting>
  <conditionalFormatting sqref="AC5:AC165">
    <cfRule type="expression" rank="0" priority="8" equalAverage="0" aboveAverage="0" dxfId="13" text="" percent="0" bottom="0">
      <formula>(AC5&lt;&gt;"")*(TODAY()-AC5&gt;90)</formula>
    </cfRule>
  </conditionalFormatting>
  <conditionalFormatting sqref="AI5:AI165">
    <cfRule type="expression" rank="0" priority="9" equalAverage="0" aboveAverage="0" dxfId="13" text="" percent="0" bottom="0">
      <formula>(AI5&lt;&gt;"")*(TODAY()-AI5&gt;90)</formula>
    </cfRule>
  </conditionalFormatting>
  <dataValidations count="3">
    <dataValidation sqref="I5:I165 O5:O165 U5:U165 AA5:AA165 AG5:AG165" showDropDown="0" showInputMessage="0" showErrorMessage="1" allowBlank="1" errorTitle="Pack unit" error="Pick a unit from 02 Lists. A unit that is not on that list cannot be converted." type="list" errorStyle="stop" operator="between">
      <formula1>$AS$5:$AS$21</formula1>
      <formula2>0</formula2>
    </dataValidation>
    <dataValidation sqref="D5:D165" showDropDown="0" showInputMessage="0" showErrorMessage="1" allowBlank="1" type="list" errorStyle="stop" operator="between">
      <formula1>"g,ml,ea"</formula1>
      <formula2>0</formula2>
    </dataValidation>
    <dataValidation sqref="G5:G165 M5:M165 S5:S165 Y5:Y165 AE5:AE165" showDropDown="0" showInputMessage="0" showErrorMessage="0" allowBlank="1" type="list" errorStyle="stop" operator="between">
      <formula1>$AT$5:$AT$34</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5.xml><?xml version="1.0" encoding="utf-8"?>
<worksheet xmlns="http://schemas.openxmlformats.org/spreadsheetml/2006/main">
  <sheetPr filterMode="0">
    <outlinePr summaryBelow="1" summaryRight="1"/>
    <pageSetUpPr fitToPage="0"/>
  </sheetPr>
  <dimension ref="A1:AT52"/>
  <sheetViews>
    <sheetView showFormulas="0" showGridLines="0" showRowColHeaders="1" showZeros="1" rightToLeft="0" tabSelected="0" showOutlineSymbols="1" defaultGridColor="1"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baseColWidth="8" defaultColWidth="8.6796875" defaultRowHeight="15" zeroHeight="0" outlineLevelRow="0"/>
  <cols>
    <col width="22" customWidth="1" style="105" min="1" max="1"/>
    <col width="18" customWidth="1" style="105" min="2" max="2"/>
    <col width="42" customWidth="1" style="105" min="3" max="3"/>
    <col width="10" customWidth="1" style="105" min="4" max="4"/>
    <col width="11" customWidth="1" style="105" min="5" max="5"/>
    <col width="40" customWidth="1" style="105" min="6" max="6"/>
    <col width="22" customWidth="1" style="105" min="7" max="7"/>
    <col width="10" customWidth="1" style="105" min="8" max="8"/>
    <col width="11" customWidth="1" style="105" min="9" max="9"/>
    <col width="14" customWidth="1" style="105" min="10" max="10"/>
    <col width="13" customWidth="1" style="105" min="11" max="11"/>
    <col width="15" customWidth="1" style="105" min="12" max="12"/>
    <col width="22" customWidth="1" style="105" min="13" max="13"/>
    <col width="10" customWidth="1" style="105" min="14" max="14"/>
    <col width="11" customWidth="1" style="105" min="15" max="15"/>
    <col width="14" customWidth="1" style="105" min="16" max="16"/>
    <col width="13" customWidth="1" style="105" min="17" max="17"/>
    <col width="15" customWidth="1" style="105" min="18" max="18"/>
    <col width="22" customWidth="1" style="105" min="19" max="19"/>
    <col width="10" customWidth="1" style="105" min="20" max="20"/>
    <col width="11" customWidth="1" style="105" min="21" max="21"/>
    <col width="14" customWidth="1" style="105" min="22" max="22"/>
    <col width="13" customWidth="1" style="105" min="23" max="23"/>
    <col width="15" customWidth="1" style="105" min="24" max="24"/>
    <col width="22" customWidth="1" style="105" min="25" max="25"/>
    <col width="10" customWidth="1" style="105" min="26" max="26"/>
    <col width="11" customWidth="1" style="105" min="27" max="27"/>
    <col width="14" customWidth="1" style="105" min="28" max="28"/>
    <col width="13" customWidth="1" style="105" min="29" max="29"/>
    <col width="15" customWidth="1" style="105" min="30" max="30"/>
    <col width="22" customWidth="1" style="105" min="31" max="31"/>
    <col width="10" customWidth="1" style="105" min="32" max="32"/>
    <col width="11" customWidth="1" style="105" min="33" max="33"/>
    <col width="14" customWidth="1" style="105" min="34" max="34"/>
    <col width="13" customWidth="1" style="105" min="35" max="35"/>
    <col width="15" customWidth="1" style="105" min="36" max="36"/>
    <col width="16" customWidth="1" style="105" min="37" max="37"/>
    <col width="24" customWidth="1" style="105" min="38" max="38"/>
    <col width="17" customWidth="1" style="105" min="39" max="39"/>
    <col width="9" customWidth="1" style="105" min="40" max="40"/>
    <col width="16" customWidth="1" style="105" min="41" max="41"/>
    <col width="11" customWidth="1" style="105" min="42" max="42"/>
    <col width="14" customWidth="1" style="105" min="43" max="43"/>
    <col hidden="1" width="20" customWidth="1" style="105" min="45" max="46"/>
  </cols>
  <sheetData>
    <row r="1" ht="30" customHeight="1" s="106">
      <c r="A1" s="107" t="inlineStr">
        <is>
          <t>PACKAGING SKU MASTER  -  5 SUPPLIER PRICE SLOTS</t>
        </is>
      </c>
    </row>
    <row r="2" ht="18" customHeight="1" s="106">
      <c r="A2" s="108" t="inlineStr">
        <is>
          <t>Same engine as the ingredient master. Store, Central Kitchen and Retail packaging in one place. Column AM is the usable cost per unit that the menu BOMs read.</t>
        </is>
      </c>
    </row>
    <row r="3" ht="15" customHeight="1" s="106">
      <c r="A3" s="109" t="inlineStr">
        <is>
          <t>THE ITEM</t>
        </is>
      </c>
      <c r="B3" s="110" t="n"/>
      <c r="C3" s="110" t="n"/>
      <c r="D3" s="110" t="n"/>
      <c r="E3" s="110" t="n"/>
      <c r="F3" s="111" t="n"/>
      <c r="G3" s="144" t="inlineStr">
        <is>
          <t>SUPPLIER 1</t>
        </is>
      </c>
      <c r="H3" s="110" t="n"/>
      <c r="I3" s="110" t="n"/>
      <c r="J3" s="110" t="n"/>
      <c r="K3" s="110" t="n"/>
      <c r="L3" s="111" t="n"/>
      <c r="M3" s="145" t="inlineStr">
        <is>
          <t>SUPPLIER 2</t>
        </is>
      </c>
      <c r="N3" s="110" t="n"/>
      <c r="O3" s="110" t="n"/>
      <c r="P3" s="110" t="n"/>
      <c r="Q3" s="110" t="n"/>
      <c r="R3" s="111" t="n"/>
      <c r="S3" s="144" t="inlineStr">
        <is>
          <t>SUPPLIER 3</t>
        </is>
      </c>
      <c r="T3" s="110" t="n"/>
      <c r="U3" s="110" t="n"/>
      <c r="V3" s="110" t="n"/>
      <c r="W3" s="110" t="n"/>
      <c r="X3" s="111" t="n"/>
      <c r="Y3" s="145" t="inlineStr">
        <is>
          <t>SUPPLIER 4</t>
        </is>
      </c>
      <c r="Z3" s="110" t="n"/>
      <c r="AA3" s="110" t="n"/>
      <c r="AB3" s="110" t="n"/>
      <c r="AC3" s="110" t="n"/>
      <c r="AD3" s="111" t="n"/>
      <c r="AE3" s="144" t="inlineStr">
        <is>
          <t>SUPPLIER 5</t>
        </is>
      </c>
      <c r="AF3" s="110" t="n"/>
      <c r="AG3" s="110" t="n"/>
      <c r="AH3" s="110" t="n"/>
      <c r="AI3" s="110" t="n"/>
      <c r="AJ3" s="111" t="n"/>
      <c r="AK3" s="128" t="inlineStr">
        <is>
          <t>LOWEST PRICE  -  CALCULATED, DO NOT TYPE HERE</t>
        </is>
      </c>
      <c r="AL3" s="110" t="n"/>
      <c r="AM3" s="110" t="n"/>
      <c r="AN3" s="110" t="n"/>
      <c r="AO3" s="110" t="n"/>
      <c r="AP3" s="110" t="n"/>
      <c r="AQ3" s="111" t="n"/>
    </row>
    <row r="4" ht="43.5" customHeight="1" s="106">
      <c r="A4" s="112" t="inlineStr">
        <is>
          <t>Packaging SKU</t>
        </is>
      </c>
      <c r="B4" s="112" t="inlineStr">
        <is>
          <t>Category</t>
        </is>
      </c>
      <c r="C4" s="112" t="inlineStr">
        <is>
          <t>Item Description</t>
        </is>
      </c>
      <c r="D4" s="112" t="inlineStr">
        <is>
          <t>Base Unit</t>
        </is>
      </c>
      <c r="E4" s="112" t="inlineStr">
        <is>
          <t>Usable %</t>
        </is>
      </c>
      <c r="F4" s="112" t="inlineStr">
        <is>
          <t>Spec / Notes</t>
        </is>
      </c>
      <c r="G4" s="112" t="inlineStr">
        <is>
          <t>Supplier Name</t>
        </is>
      </c>
      <c r="H4" s="112" t="inlineStr">
        <is>
          <t>Pack Qty</t>
        </is>
      </c>
      <c r="I4" s="112" t="inlineStr">
        <is>
          <t>Pack Unit</t>
        </is>
      </c>
      <c r="J4" s="112" t="inlineStr">
        <is>
          <t>Pack Cost
(as quoted)</t>
        </is>
      </c>
      <c r="K4" s="112" t="inlineStr">
        <is>
          <t>Quote Date</t>
        </is>
      </c>
      <c r="L4" s="112" t="inlineStr">
        <is>
          <t>Cost per
Base Unit</t>
        </is>
      </c>
      <c r="M4" s="112" t="inlineStr">
        <is>
          <t>Supplier Name</t>
        </is>
      </c>
      <c r="N4" s="112" t="inlineStr">
        <is>
          <t>Pack Qty</t>
        </is>
      </c>
      <c r="O4" s="112" t="inlineStr">
        <is>
          <t>Pack Unit</t>
        </is>
      </c>
      <c r="P4" s="112" t="inlineStr">
        <is>
          <t>Pack Cost
(as quoted)</t>
        </is>
      </c>
      <c r="Q4" s="112" t="inlineStr">
        <is>
          <t>Quote Date</t>
        </is>
      </c>
      <c r="R4" s="112" t="inlineStr">
        <is>
          <t>Cost per
Base Unit</t>
        </is>
      </c>
      <c r="S4" s="112" t="inlineStr">
        <is>
          <t>Supplier Name</t>
        </is>
      </c>
      <c r="T4" s="112" t="inlineStr">
        <is>
          <t>Pack Qty</t>
        </is>
      </c>
      <c r="U4" s="112" t="inlineStr">
        <is>
          <t>Pack Unit</t>
        </is>
      </c>
      <c r="V4" s="112" t="inlineStr">
        <is>
          <t>Pack Cost
(as quoted)</t>
        </is>
      </c>
      <c r="W4" s="112" t="inlineStr">
        <is>
          <t>Quote Date</t>
        </is>
      </c>
      <c r="X4" s="112" t="inlineStr">
        <is>
          <t>Cost per
Base Unit</t>
        </is>
      </c>
      <c r="Y4" s="112" t="inlineStr">
        <is>
          <t>Supplier Name</t>
        </is>
      </c>
      <c r="Z4" s="112" t="inlineStr">
        <is>
          <t>Pack Qty</t>
        </is>
      </c>
      <c r="AA4" s="112" t="inlineStr">
        <is>
          <t>Pack Unit</t>
        </is>
      </c>
      <c r="AB4" s="112" t="inlineStr">
        <is>
          <t>Pack Cost
(as quoted)</t>
        </is>
      </c>
      <c r="AC4" s="112" t="inlineStr">
        <is>
          <t>Quote Date</t>
        </is>
      </c>
      <c r="AD4" s="112" t="inlineStr">
        <is>
          <t>Cost per
Base Unit</t>
        </is>
      </c>
      <c r="AE4" s="112" t="inlineStr">
        <is>
          <t>Supplier Name</t>
        </is>
      </c>
      <c r="AF4" s="112" t="inlineStr">
        <is>
          <t>Pack Qty</t>
        </is>
      </c>
      <c r="AG4" s="112" t="inlineStr">
        <is>
          <t>Pack Unit</t>
        </is>
      </c>
      <c r="AH4" s="112" t="inlineStr">
        <is>
          <t>Pack Cost
(as quoted)</t>
        </is>
      </c>
      <c r="AI4" s="112" t="inlineStr">
        <is>
          <t>Quote Date</t>
        </is>
      </c>
      <c r="AJ4" s="112" t="inlineStr">
        <is>
          <t>Cost per
Base Unit</t>
        </is>
      </c>
      <c r="AK4" s="112" t="inlineStr">
        <is>
          <t>LOWEST Cost
per Base Unit</t>
        </is>
      </c>
      <c r="AL4" s="112" t="inlineStr">
        <is>
          <t>CHEAPEST Supplier</t>
        </is>
      </c>
      <c r="AM4" s="112" t="inlineStr">
        <is>
          <t>USABLE Cost
per Base Unit
(after yield)</t>
        </is>
      </c>
      <c r="AN4" s="112" t="inlineStr">
        <is>
          <t>Quotes
Held</t>
        </is>
      </c>
      <c r="AO4" s="112" t="inlineStr">
        <is>
          <t>Highest Cost
per Base Unit</t>
        </is>
      </c>
      <c r="AP4" s="112" t="inlineStr">
        <is>
          <t>Price
Spread</t>
        </is>
      </c>
      <c r="AQ4" s="112" t="inlineStr">
        <is>
          <t>Best Quote
Date</t>
        </is>
      </c>
    </row>
    <row r="5" ht="15" customHeight="1" s="106">
      <c r="A5" s="134" t="inlineStr">
        <is>
          <t>PP-PACK-TUB</t>
        </is>
      </c>
      <c r="B5" s="138" t="inlineStr">
        <is>
          <t>Store / Takeaway</t>
        </is>
      </c>
      <c r="C5" s="113" t="inlineStr">
        <is>
          <t>Takeaway pasta tub (750 ml)</t>
        </is>
      </c>
      <c r="D5" s="139" t="inlineStr">
        <is>
          <t>ea</t>
        </is>
      </c>
      <c r="E5" s="146" t="n">
        <v>1</v>
      </c>
      <c r="F5" s="116" t="inlineStr">
        <is>
          <t>Primary hot bowl container</t>
        </is>
      </c>
      <c r="G5" s="140" t="n"/>
      <c r="H5" s="147" t="n"/>
      <c r="I5" s="141" t="n"/>
      <c r="J5" s="148" t="n"/>
      <c r="K5" s="149" t="n"/>
      <c r="L5" s="150">
        <f>IF(OR($J5="",$H5="",$H5=0),"",$J5/(1+IF(IFERROR(INDEX('03 Suppliers'!$N$5:$N$34,MATCH($G5,'03 Suppliers'!$B$5:$B$34,0)),"Excl VAT")="Incl VAT",'01 Control'!$C$6,0))/($H5*IFERROR(VLOOKUP($I5,'02 Lists'!$A$5:$B$18,2,FALSE()),1)))</f>
        <v/>
      </c>
      <c r="M5" s="140" t="n"/>
      <c r="N5" s="147" t="n"/>
      <c r="O5" s="141" t="n"/>
      <c r="P5" s="148" t="n"/>
      <c r="Q5" s="149" t="n"/>
      <c r="R5" s="150">
        <f>IF(OR($P5="",$N5="",$N5=0),"",$P5/(1+IF(IFERROR(INDEX('03 Suppliers'!$N$5:$N$34,MATCH($M5,'03 Suppliers'!$B$5:$B$34,0)),"Excl VAT")="Incl VAT",'01 Control'!$C$6,0))/($N5*IFERROR(VLOOKUP($O5,'02 Lists'!$A$5:$B$18,2,FALSE()),1)))</f>
        <v/>
      </c>
      <c r="S5" s="140" t="n"/>
      <c r="T5" s="147" t="n"/>
      <c r="U5" s="141" t="n"/>
      <c r="V5" s="148" t="n"/>
      <c r="W5" s="149" t="n"/>
      <c r="X5" s="150">
        <f>IF(OR($V5="",$T5="",$T5=0),"",$V5/(1+IF(IFERROR(INDEX('03 Suppliers'!$N$5:$N$34,MATCH($S5,'03 Suppliers'!$B$5:$B$34,0)),"Excl VAT")="Incl VAT",'01 Control'!$C$6,0))/($T5*IFERROR(VLOOKUP($U5,'02 Lists'!$A$5:$B$18,2,FALSE()),1)))</f>
        <v/>
      </c>
      <c r="Y5" s="140" t="n"/>
      <c r="Z5" s="147" t="n"/>
      <c r="AA5" s="141" t="n"/>
      <c r="AB5" s="148" t="n"/>
      <c r="AC5" s="149" t="n"/>
      <c r="AD5" s="150">
        <f>IF(OR($AB5="",$Z5="",$Z5=0),"",$AB5/(1+IF(IFERROR(INDEX('03 Suppliers'!$N$5:$N$34,MATCH($Y5,'03 Suppliers'!$B$5:$B$34,0)),"Excl VAT")="Incl VAT",'01 Control'!$C$6,0))/($Z5*IFERROR(VLOOKUP($AA5,'02 Lists'!$A$5:$B$18,2,FALSE()),1)))</f>
        <v/>
      </c>
      <c r="AE5" s="140" t="n"/>
      <c r="AF5" s="147" t="n"/>
      <c r="AG5" s="141" t="n"/>
      <c r="AH5" s="148" t="n"/>
      <c r="AI5" s="149" t="n"/>
      <c r="AJ5" s="150">
        <f>IF(OR($AH5="",$AF5="",$AF5=0),"",$AH5/(1+IF(IFERROR(INDEX('03 Suppliers'!$N$5:$N$34,MATCH($AE5,'03 Suppliers'!$B$5:$B$34,0)),"Excl VAT")="Incl VAT",'01 Control'!$C$6,0))/($AF5*IFERROR(VLOOKUP($AG5,'02 Lists'!$A$5:$B$18,2,FALSE()),1)))</f>
        <v/>
      </c>
      <c r="AK5" s="151">
        <f>IF(COUNT(L5,R5,X5,AD5,AJ5)=0,"",MIN(L5,R5,X5,AD5,AJ5))</f>
        <v/>
      </c>
      <c r="AL5" s="126">
        <f>IF($AK5="","",IF(L5=$AK5,$G5,IF(R5=$AK5,$M5,IF(X5=$AK5,$S5,IF(AD5=$AK5,$Y5,IF(AJ5=$AK5,$AE5,""))))))</f>
        <v/>
      </c>
      <c r="AM5" s="151">
        <f>IF($AK5="","",$AK5/IF($E5="",1,$E5))</f>
        <v/>
      </c>
      <c r="AN5" s="152">
        <f>COUNT(L5,R5,X5,AD5,AJ5)</f>
        <v/>
      </c>
      <c r="AO5" s="150">
        <f>IF(COUNT(L5,R5,X5,AD5,AJ5)=0,"",MAX(L5,R5,X5,AD5,AJ5))</f>
        <v/>
      </c>
      <c r="AP5" s="153">
        <f>IF(OR($AK5="",$AO5="",$AO5=0),"",($AO5-$AK5)/$AO5)</f>
        <v/>
      </c>
      <c r="AQ5" s="154">
        <f>IF($AK5="","",IF(L5=$AK5,$K5,IF(R5=$AK5,$Q5,IF(X5=$AK5,$W5,IF(AD5=$AK5,$AC5,IF(AJ5=$AK5,$AI5,""))))))</f>
        <v/>
      </c>
      <c r="AS5" s="142">
        <f>'02 Lists'!$A$5&amp;""</f>
        <v/>
      </c>
      <c r="AT5" s="142">
        <f>'03 Suppliers'!$B$5&amp;""</f>
        <v/>
      </c>
    </row>
    <row r="6" ht="15" customHeight="1" s="106">
      <c r="A6" s="134" t="inlineStr">
        <is>
          <t>PP-PACK-LID</t>
        </is>
      </c>
      <c r="B6" s="138" t="inlineStr">
        <is>
          <t>Store / Takeaway</t>
        </is>
      </c>
      <c r="C6" s="113" t="inlineStr">
        <is>
          <t>Takeaway bowl lid</t>
        </is>
      </c>
      <c r="D6" s="139" t="inlineStr">
        <is>
          <t>ea</t>
        </is>
      </c>
      <c r="E6" s="146" t="n">
        <v>1</v>
      </c>
      <c r="F6" s="116" t="inlineStr">
        <is>
          <t>Vented for hot pasta</t>
        </is>
      </c>
      <c r="G6" s="140" t="n"/>
      <c r="H6" s="147" t="n"/>
      <c r="I6" s="141" t="n"/>
      <c r="J6" s="148" t="n"/>
      <c r="K6" s="149" t="n"/>
      <c r="L6" s="150">
        <f>IF(OR($J6="",$H6="",$H6=0),"",$J6/(1+IF(IFERROR(INDEX('03 Suppliers'!$N$5:$N$34,MATCH($G6,'03 Suppliers'!$B$5:$B$34,0)),"Excl VAT")="Incl VAT",'01 Control'!$C$6,0))/($H6*IFERROR(VLOOKUP($I6,'02 Lists'!$A$5:$B$18,2,FALSE()),1)))</f>
        <v/>
      </c>
      <c r="M6" s="140" t="n"/>
      <c r="N6" s="147" t="n"/>
      <c r="O6" s="141" t="n"/>
      <c r="P6" s="148" t="n"/>
      <c r="Q6" s="149" t="n"/>
      <c r="R6" s="150">
        <f>IF(OR($P6="",$N6="",$N6=0),"",$P6/(1+IF(IFERROR(INDEX('03 Suppliers'!$N$5:$N$34,MATCH($M6,'03 Suppliers'!$B$5:$B$34,0)),"Excl VAT")="Incl VAT",'01 Control'!$C$6,0))/($N6*IFERROR(VLOOKUP($O6,'02 Lists'!$A$5:$B$18,2,FALSE()),1)))</f>
        <v/>
      </c>
      <c r="S6" s="140" t="n"/>
      <c r="T6" s="147" t="n"/>
      <c r="U6" s="141" t="n"/>
      <c r="V6" s="148" t="n"/>
      <c r="W6" s="149" t="n"/>
      <c r="X6" s="150">
        <f>IF(OR($V6="",$T6="",$T6=0),"",$V6/(1+IF(IFERROR(INDEX('03 Suppliers'!$N$5:$N$34,MATCH($S6,'03 Suppliers'!$B$5:$B$34,0)),"Excl VAT")="Incl VAT",'01 Control'!$C$6,0))/($T6*IFERROR(VLOOKUP($U6,'02 Lists'!$A$5:$B$18,2,FALSE()),1)))</f>
        <v/>
      </c>
      <c r="Y6" s="140" t="n"/>
      <c r="Z6" s="147" t="n"/>
      <c r="AA6" s="141" t="n"/>
      <c r="AB6" s="148" t="n"/>
      <c r="AC6" s="149" t="n"/>
      <c r="AD6" s="150">
        <f>IF(OR($AB6="",$Z6="",$Z6=0),"",$AB6/(1+IF(IFERROR(INDEX('03 Suppliers'!$N$5:$N$34,MATCH($Y6,'03 Suppliers'!$B$5:$B$34,0)),"Excl VAT")="Incl VAT",'01 Control'!$C$6,0))/($Z6*IFERROR(VLOOKUP($AA6,'02 Lists'!$A$5:$B$18,2,FALSE()),1)))</f>
        <v/>
      </c>
      <c r="AE6" s="140" t="n"/>
      <c r="AF6" s="147" t="n"/>
      <c r="AG6" s="141" t="n"/>
      <c r="AH6" s="148" t="n"/>
      <c r="AI6" s="149" t="n"/>
      <c r="AJ6" s="150">
        <f>IF(OR($AH6="",$AF6="",$AF6=0),"",$AH6/(1+IF(IFERROR(INDEX('03 Suppliers'!$N$5:$N$34,MATCH($AE6,'03 Suppliers'!$B$5:$B$34,0)),"Excl VAT")="Incl VAT",'01 Control'!$C$6,0))/($AF6*IFERROR(VLOOKUP($AG6,'02 Lists'!$A$5:$B$18,2,FALSE()),1)))</f>
        <v/>
      </c>
      <c r="AK6" s="151">
        <f>IF(COUNT(L6,R6,X6,AD6,AJ6)=0,"",MIN(L6,R6,X6,AD6,AJ6))</f>
        <v/>
      </c>
      <c r="AL6" s="126">
        <f>IF($AK6="","",IF(L6=$AK6,$G6,IF(R6=$AK6,$M6,IF(X6=$AK6,$S6,IF(AD6=$AK6,$Y6,IF(AJ6=$AK6,$AE6,""))))))</f>
        <v/>
      </c>
      <c r="AM6" s="151">
        <f>IF($AK6="","",$AK6/IF($E6="",1,$E6))</f>
        <v/>
      </c>
      <c r="AN6" s="152">
        <f>COUNT(L6,R6,X6,AD6,AJ6)</f>
        <v/>
      </c>
      <c r="AO6" s="150">
        <f>IF(COUNT(L6,R6,X6,AD6,AJ6)=0,"",MAX(L6,R6,X6,AD6,AJ6))</f>
        <v/>
      </c>
      <c r="AP6" s="153">
        <f>IF(OR($AK6="",$AO6="",$AO6=0),"",($AO6-$AK6)/$AO6)</f>
        <v/>
      </c>
      <c r="AQ6" s="154">
        <f>IF($AK6="","",IF(L6=$AK6,$K6,IF(R6=$AK6,$Q6,IF(X6=$AK6,$W6,IF(AD6=$AK6,$AC6,IF(AJ6=$AK6,$AI6,""))))))</f>
        <v/>
      </c>
      <c r="AS6" s="142">
        <f>'02 Lists'!$A$6&amp;""</f>
        <v/>
      </c>
      <c r="AT6" s="142">
        <f>'03 Suppliers'!$B$6&amp;""</f>
        <v/>
      </c>
    </row>
    <row r="7" ht="15" customHeight="1" s="106">
      <c r="A7" s="134" t="inlineStr">
        <is>
          <t>PP-PACK-BAKE-TRAY</t>
        </is>
      </c>
      <c r="B7" s="138" t="inlineStr">
        <is>
          <t>Store / Takeaway</t>
        </is>
      </c>
      <c r="C7" s="113" t="inlineStr">
        <is>
          <t>Al forno bake tray + lid</t>
        </is>
      </c>
      <c r="D7" s="139" t="inlineStr">
        <is>
          <t>ea</t>
        </is>
      </c>
      <c r="E7" s="146" t="n">
        <v>1</v>
      </c>
      <c r="F7" s="116" t="inlineStr">
        <is>
          <t>Quattro Formaggi baked format</t>
        </is>
      </c>
      <c r="G7" s="140" t="n"/>
      <c r="H7" s="147" t="n"/>
      <c r="I7" s="141" t="n"/>
      <c r="J7" s="148" t="n"/>
      <c r="K7" s="149" t="n"/>
      <c r="L7" s="150">
        <f>IF(OR($J7="",$H7="",$H7=0),"",$J7/(1+IF(IFERROR(INDEX('03 Suppliers'!$N$5:$N$34,MATCH($G7,'03 Suppliers'!$B$5:$B$34,0)),"Excl VAT")="Incl VAT",'01 Control'!$C$6,0))/($H7*IFERROR(VLOOKUP($I7,'02 Lists'!$A$5:$B$18,2,FALSE()),1)))</f>
        <v/>
      </c>
      <c r="M7" s="140" t="n"/>
      <c r="N7" s="147" t="n"/>
      <c r="O7" s="141" t="n"/>
      <c r="P7" s="148" t="n"/>
      <c r="Q7" s="149" t="n"/>
      <c r="R7" s="150">
        <f>IF(OR($P7="",$N7="",$N7=0),"",$P7/(1+IF(IFERROR(INDEX('03 Suppliers'!$N$5:$N$34,MATCH($M7,'03 Suppliers'!$B$5:$B$34,0)),"Excl VAT")="Incl VAT",'01 Control'!$C$6,0))/($N7*IFERROR(VLOOKUP($O7,'02 Lists'!$A$5:$B$18,2,FALSE()),1)))</f>
        <v/>
      </c>
      <c r="S7" s="140" t="n"/>
      <c r="T7" s="147" t="n"/>
      <c r="U7" s="141" t="n"/>
      <c r="V7" s="148" t="n"/>
      <c r="W7" s="149" t="n"/>
      <c r="X7" s="150">
        <f>IF(OR($V7="",$T7="",$T7=0),"",$V7/(1+IF(IFERROR(INDEX('03 Suppliers'!$N$5:$N$34,MATCH($S7,'03 Suppliers'!$B$5:$B$34,0)),"Excl VAT")="Incl VAT",'01 Control'!$C$6,0))/($T7*IFERROR(VLOOKUP($U7,'02 Lists'!$A$5:$B$18,2,FALSE()),1)))</f>
        <v/>
      </c>
      <c r="Y7" s="140" t="n"/>
      <c r="Z7" s="147" t="n"/>
      <c r="AA7" s="141" t="n"/>
      <c r="AB7" s="148" t="n"/>
      <c r="AC7" s="149" t="n"/>
      <c r="AD7" s="150">
        <f>IF(OR($AB7="",$Z7="",$Z7=0),"",$AB7/(1+IF(IFERROR(INDEX('03 Suppliers'!$N$5:$N$34,MATCH($Y7,'03 Suppliers'!$B$5:$B$34,0)),"Excl VAT")="Incl VAT",'01 Control'!$C$6,0))/($Z7*IFERROR(VLOOKUP($AA7,'02 Lists'!$A$5:$B$18,2,FALSE()),1)))</f>
        <v/>
      </c>
      <c r="AE7" s="140" t="n"/>
      <c r="AF7" s="147" t="n"/>
      <c r="AG7" s="141" t="n"/>
      <c r="AH7" s="148" t="n"/>
      <c r="AI7" s="149" t="n"/>
      <c r="AJ7" s="150">
        <f>IF(OR($AH7="",$AF7="",$AF7=0),"",$AH7/(1+IF(IFERROR(INDEX('03 Suppliers'!$N$5:$N$34,MATCH($AE7,'03 Suppliers'!$B$5:$B$34,0)),"Excl VAT")="Incl VAT",'01 Control'!$C$6,0))/($AF7*IFERROR(VLOOKUP($AG7,'02 Lists'!$A$5:$B$18,2,FALSE()),1)))</f>
        <v/>
      </c>
      <c r="AK7" s="151">
        <f>IF(COUNT(L7,R7,X7,AD7,AJ7)=0,"",MIN(L7,R7,X7,AD7,AJ7))</f>
        <v/>
      </c>
      <c r="AL7" s="126">
        <f>IF($AK7="","",IF(L7=$AK7,$G7,IF(R7=$AK7,$M7,IF(X7=$AK7,$S7,IF(AD7=$AK7,$Y7,IF(AJ7=$AK7,$AE7,""))))))</f>
        <v/>
      </c>
      <c r="AM7" s="151">
        <f>IF($AK7="","",$AK7/IF($E7="",1,$E7))</f>
        <v/>
      </c>
      <c r="AN7" s="152">
        <f>COUNT(L7,R7,X7,AD7,AJ7)</f>
        <v/>
      </c>
      <c r="AO7" s="150">
        <f>IF(COUNT(L7,R7,X7,AD7,AJ7)=0,"",MAX(L7,R7,X7,AD7,AJ7))</f>
        <v/>
      </c>
      <c r="AP7" s="153">
        <f>IF(OR($AK7="",$AO7="",$AO7=0),"",($AO7-$AK7)/$AO7)</f>
        <v/>
      </c>
      <c r="AQ7" s="154">
        <f>IF($AK7="","",IF(L7=$AK7,$K7,IF(R7=$AK7,$Q7,IF(X7=$AK7,$W7,IF(AD7=$AK7,$AC7,IF(AJ7=$AK7,$AI7,""))))))</f>
        <v/>
      </c>
      <c r="AS7" s="142">
        <f>'02 Lists'!$A$7&amp;""</f>
        <v/>
      </c>
      <c r="AT7" s="142">
        <f>'03 Suppliers'!$B$7&amp;""</f>
        <v/>
      </c>
    </row>
    <row r="8" ht="15" customHeight="1" s="106">
      <c r="A8" s="134" t="inlineStr">
        <is>
          <t>PP-PACK-SALAD-BOWL</t>
        </is>
      </c>
      <c r="B8" s="138" t="inlineStr">
        <is>
          <t>Store / Takeaway</t>
        </is>
      </c>
      <c r="C8" s="113" t="inlineStr">
        <is>
          <t>Salad bowl (500 ml)</t>
        </is>
      </c>
      <c r="D8" s="139" t="inlineStr">
        <is>
          <t>ea</t>
        </is>
      </c>
      <c r="E8" s="146" t="n">
        <v>1</v>
      </c>
      <c r="F8" s="116" t="inlineStr">
        <is>
          <t>Cold salad line</t>
        </is>
      </c>
      <c r="G8" s="140" t="n"/>
      <c r="H8" s="147" t="n"/>
      <c r="I8" s="141" t="n"/>
      <c r="J8" s="148" t="n"/>
      <c r="K8" s="149" t="n"/>
      <c r="L8" s="150">
        <f>IF(OR($J8="",$H8="",$H8=0),"",$J8/(1+IF(IFERROR(INDEX('03 Suppliers'!$N$5:$N$34,MATCH($G8,'03 Suppliers'!$B$5:$B$34,0)),"Excl VAT")="Incl VAT",'01 Control'!$C$6,0))/($H8*IFERROR(VLOOKUP($I8,'02 Lists'!$A$5:$B$18,2,FALSE()),1)))</f>
        <v/>
      </c>
      <c r="M8" s="140" t="n"/>
      <c r="N8" s="147" t="n"/>
      <c r="O8" s="141" t="n"/>
      <c r="P8" s="148" t="n"/>
      <c r="Q8" s="149" t="n"/>
      <c r="R8" s="150">
        <f>IF(OR($P8="",$N8="",$N8=0),"",$P8/(1+IF(IFERROR(INDEX('03 Suppliers'!$N$5:$N$34,MATCH($M8,'03 Suppliers'!$B$5:$B$34,0)),"Excl VAT")="Incl VAT",'01 Control'!$C$6,0))/($N8*IFERROR(VLOOKUP($O8,'02 Lists'!$A$5:$B$18,2,FALSE()),1)))</f>
        <v/>
      </c>
      <c r="S8" s="140" t="n"/>
      <c r="T8" s="147" t="n"/>
      <c r="U8" s="141" t="n"/>
      <c r="V8" s="148" t="n"/>
      <c r="W8" s="149" t="n"/>
      <c r="X8" s="150">
        <f>IF(OR($V8="",$T8="",$T8=0),"",$V8/(1+IF(IFERROR(INDEX('03 Suppliers'!$N$5:$N$34,MATCH($S8,'03 Suppliers'!$B$5:$B$34,0)),"Excl VAT")="Incl VAT",'01 Control'!$C$6,0))/($T8*IFERROR(VLOOKUP($U8,'02 Lists'!$A$5:$B$18,2,FALSE()),1)))</f>
        <v/>
      </c>
      <c r="Y8" s="140" t="n"/>
      <c r="Z8" s="147" t="n"/>
      <c r="AA8" s="141" t="n"/>
      <c r="AB8" s="148" t="n"/>
      <c r="AC8" s="149" t="n"/>
      <c r="AD8" s="150">
        <f>IF(OR($AB8="",$Z8="",$Z8=0),"",$AB8/(1+IF(IFERROR(INDEX('03 Suppliers'!$N$5:$N$34,MATCH($Y8,'03 Suppliers'!$B$5:$B$34,0)),"Excl VAT")="Incl VAT",'01 Control'!$C$6,0))/($Z8*IFERROR(VLOOKUP($AA8,'02 Lists'!$A$5:$B$18,2,FALSE()),1)))</f>
        <v/>
      </c>
      <c r="AE8" s="140" t="n"/>
      <c r="AF8" s="147" t="n"/>
      <c r="AG8" s="141" t="n"/>
      <c r="AH8" s="148" t="n"/>
      <c r="AI8" s="149" t="n"/>
      <c r="AJ8" s="150">
        <f>IF(OR($AH8="",$AF8="",$AF8=0),"",$AH8/(1+IF(IFERROR(INDEX('03 Suppliers'!$N$5:$N$34,MATCH($AE8,'03 Suppliers'!$B$5:$B$34,0)),"Excl VAT")="Incl VAT",'01 Control'!$C$6,0))/($AF8*IFERROR(VLOOKUP($AG8,'02 Lists'!$A$5:$B$18,2,FALSE()),1)))</f>
        <v/>
      </c>
      <c r="AK8" s="151">
        <f>IF(COUNT(L8,R8,X8,AD8,AJ8)=0,"",MIN(L8,R8,X8,AD8,AJ8))</f>
        <v/>
      </c>
      <c r="AL8" s="126">
        <f>IF($AK8="","",IF(L8=$AK8,$G8,IF(R8=$AK8,$M8,IF(X8=$AK8,$S8,IF(AD8=$AK8,$Y8,IF(AJ8=$AK8,$AE8,""))))))</f>
        <v/>
      </c>
      <c r="AM8" s="151">
        <f>IF($AK8="","",$AK8/IF($E8="",1,$E8))</f>
        <v/>
      </c>
      <c r="AN8" s="152">
        <f>COUNT(L8,R8,X8,AD8,AJ8)</f>
        <v/>
      </c>
      <c r="AO8" s="150">
        <f>IF(COUNT(L8,R8,X8,AD8,AJ8)=0,"",MAX(L8,R8,X8,AD8,AJ8))</f>
        <v/>
      </c>
      <c r="AP8" s="153">
        <f>IF(OR($AK8="",$AO8="",$AO8=0),"",($AO8-$AK8)/$AO8)</f>
        <v/>
      </c>
      <c r="AQ8" s="154">
        <f>IF($AK8="","",IF(L8=$AK8,$K8,IF(R8=$AK8,$Q8,IF(X8=$AK8,$W8,IF(AD8=$AK8,$AC8,IF(AJ8=$AK8,$AI8,""))))))</f>
        <v/>
      </c>
      <c r="AS8" s="142">
        <f>'02 Lists'!$A$8&amp;""</f>
        <v/>
      </c>
      <c r="AT8" s="142">
        <f>'03 Suppliers'!$B$8&amp;""</f>
        <v/>
      </c>
    </row>
    <row r="9" ht="15" customHeight="1" s="106">
      <c r="A9" s="134" t="inlineStr">
        <is>
          <t>PP-PACK-SALAD-LID</t>
        </is>
      </c>
      <c r="B9" s="138" t="inlineStr">
        <is>
          <t>Store / Takeaway</t>
        </is>
      </c>
      <c r="C9" s="113" t="inlineStr">
        <is>
          <t>Salad bowl lid</t>
        </is>
      </c>
      <c r="D9" s="139" t="inlineStr">
        <is>
          <t>ea</t>
        </is>
      </c>
      <c r="E9" s="146" t="n">
        <v>1</v>
      </c>
      <c r="F9" s="116" t="n"/>
      <c r="G9" s="140" t="n"/>
      <c r="H9" s="147" t="n"/>
      <c r="I9" s="141" t="n"/>
      <c r="J9" s="148" t="n"/>
      <c r="K9" s="149" t="n"/>
      <c r="L9" s="150">
        <f>IF(OR($J9="",$H9="",$H9=0),"",$J9/(1+IF(IFERROR(INDEX('03 Suppliers'!$N$5:$N$34,MATCH($G9,'03 Suppliers'!$B$5:$B$34,0)),"Excl VAT")="Incl VAT",'01 Control'!$C$6,0))/($H9*IFERROR(VLOOKUP($I9,'02 Lists'!$A$5:$B$18,2,FALSE()),1)))</f>
        <v/>
      </c>
      <c r="M9" s="140" t="n"/>
      <c r="N9" s="147" t="n"/>
      <c r="O9" s="141" t="n"/>
      <c r="P9" s="148" t="n"/>
      <c r="Q9" s="149" t="n"/>
      <c r="R9" s="150">
        <f>IF(OR($P9="",$N9="",$N9=0),"",$P9/(1+IF(IFERROR(INDEX('03 Suppliers'!$N$5:$N$34,MATCH($M9,'03 Suppliers'!$B$5:$B$34,0)),"Excl VAT")="Incl VAT",'01 Control'!$C$6,0))/($N9*IFERROR(VLOOKUP($O9,'02 Lists'!$A$5:$B$18,2,FALSE()),1)))</f>
        <v/>
      </c>
      <c r="S9" s="140" t="n"/>
      <c r="T9" s="147" t="n"/>
      <c r="U9" s="141" t="n"/>
      <c r="V9" s="148" t="n"/>
      <c r="W9" s="149" t="n"/>
      <c r="X9" s="150">
        <f>IF(OR($V9="",$T9="",$T9=0),"",$V9/(1+IF(IFERROR(INDEX('03 Suppliers'!$N$5:$N$34,MATCH($S9,'03 Suppliers'!$B$5:$B$34,0)),"Excl VAT")="Incl VAT",'01 Control'!$C$6,0))/($T9*IFERROR(VLOOKUP($U9,'02 Lists'!$A$5:$B$18,2,FALSE()),1)))</f>
        <v/>
      </c>
      <c r="Y9" s="140" t="n"/>
      <c r="Z9" s="147" t="n"/>
      <c r="AA9" s="141" t="n"/>
      <c r="AB9" s="148" t="n"/>
      <c r="AC9" s="149" t="n"/>
      <c r="AD9" s="150">
        <f>IF(OR($AB9="",$Z9="",$Z9=0),"",$AB9/(1+IF(IFERROR(INDEX('03 Suppliers'!$N$5:$N$34,MATCH($Y9,'03 Suppliers'!$B$5:$B$34,0)),"Excl VAT")="Incl VAT",'01 Control'!$C$6,0))/($Z9*IFERROR(VLOOKUP($AA9,'02 Lists'!$A$5:$B$18,2,FALSE()),1)))</f>
        <v/>
      </c>
      <c r="AE9" s="140" t="n"/>
      <c r="AF9" s="147" t="n"/>
      <c r="AG9" s="141" t="n"/>
      <c r="AH9" s="148" t="n"/>
      <c r="AI9" s="149" t="n"/>
      <c r="AJ9" s="150">
        <f>IF(OR($AH9="",$AF9="",$AF9=0),"",$AH9/(1+IF(IFERROR(INDEX('03 Suppliers'!$N$5:$N$34,MATCH($AE9,'03 Suppliers'!$B$5:$B$34,0)),"Excl VAT")="Incl VAT",'01 Control'!$C$6,0))/($AF9*IFERROR(VLOOKUP($AG9,'02 Lists'!$A$5:$B$18,2,FALSE()),1)))</f>
        <v/>
      </c>
      <c r="AK9" s="151">
        <f>IF(COUNT(L9,R9,X9,AD9,AJ9)=0,"",MIN(L9,R9,X9,AD9,AJ9))</f>
        <v/>
      </c>
      <c r="AL9" s="126">
        <f>IF($AK9="","",IF(L9=$AK9,$G9,IF(R9=$AK9,$M9,IF(X9=$AK9,$S9,IF(AD9=$AK9,$Y9,IF(AJ9=$AK9,$AE9,""))))))</f>
        <v/>
      </c>
      <c r="AM9" s="151">
        <f>IF($AK9="","",$AK9/IF($E9="",1,$E9))</f>
        <v/>
      </c>
      <c r="AN9" s="152">
        <f>COUNT(L9,R9,X9,AD9,AJ9)</f>
        <v/>
      </c>
      <c r="AO9" s="150">
        <f>IF(COUNT(L9,R9,X9,AD9,AJ9)=0,"",MAX(L9,R9,X9,AD9,AJ9))</f>
        <v/>
      </c>
      <c r="AP9" s="153">
        <f>IF(OR($AK9="",$AO9="",$AO9=0),"",($AO9-$AK9)/$AO9)</f>
        <v/>
      </c>
      <c r="AQ9" s="154">
        <f>IF($AK9="","",IF(L9=$AK9,$K9,IF(R9=$AK9,$Q9,IF(X9=$AK9,$W9,IF(AD9=$AK9,$AC9,IF(AJ9=$AK9,$AI9,""))))))</f>
        <v/>
      </c>
      <c r="AS9" s="142">
        <f>'02 Lists'!$A$9&amp;""</f>
        <v/>
      </c>
      <c r="AT9" s="142">
        <f>'03 Suppliers'!$B$9&amp;""</f>
        <v/>
      </c>
    </row>
    <row r="10" ht="15" customHeight="1" s="106">
      <c r="A10" s="134" t="inlineStr">
        <is>
          <t>PP-PACK-SAUCE-POT</t>
        </is>
      </c>
      <c r="B10" s="138" t="inlineStr">
        <is>
          <t>Store / Takeaway</t>
        </is>
      </c>
      <c r="C10" s="113" t="inlineStr">
        <is>
          <t>Sauce / dressing pot 30 ml + lid</t>
        </is>
      </c>
      <c r="D10" s="139" t="inlineStr">
        <is>
          <t>ea</t>
        </is>
      </c>
      <c r="E10" s="146" t="n">
        <v>1</v>
      </c>
      <c r="F10" s="116" t="inlineStr">
        <is>
          <t>Dressings, chilli oil, extras</t>
        </is>
      </c>
      <c r="G10" s="140" t="n"/>
      <c r="H10" s="147" t="n"/>
      <c r="I10" s="141" t="n"/>
      <c r="J10" s="148" t="n"/>
      <c r="K10" s="149" t="n"/>
      <c r="L10" s="150">
        <f>IF(OR($J10="",$H10="",$H10=0),"",$J10/(1+IF(IFERROR(INDEX('03 Suppliers'!$N$5:$N$34,MATCH($G10,'03 Suppliers'!$B$5:$B$34,0)),"Excl VAT")="Incl VAT",'01 Control'!$C$6,0))/($H10*IFERROR(VLOOKUP($I10,'02 Lists'!$A$5:$B$18,2,FALSE()),1)))</f>
        <v/>
      </c>
      <c r="M10" s="140" t="n"/>
      <c r="N10" s="147" t="n"/>
      <c r="O10" s="141" t="n"/>
      <c r="P10" s="148" t="n"/>
      <c r="Q10" s="149" t="n"/>
      <c r="R10" s="150">
        <f>IF(OR($P10="",$N10="",$N10=0),"",$P10/(1+IF(IFERROR(INDEX('03 Suppliers'!$N$5:$N$34,MATCH($M10,'03 Suppliers'!$B$5:$B$34,0)),"Excl VAT")="Incl VAT",'01 Control'!$C$6,0))/($N10*IFERROR(VLOOKUP($O10,'02 Lists'!$A$5:$B$18,2,FALSE()),1)))</f>
        <v/>
      </c>
      <c r="S10" s="140" t="n"/>
      <c r="T10" s="147" t="n"/>
      <c r="U10" s="141" t="n"/>
      <c r="V10" s="148" t="n"/>
      <c r="W10" s="149" t="n"/>
      <c r="X10" s="150">
        <f>IF(OR($V10="",$T10="",$T10=0),"",$V10/(1+IF(IFERROR(INDEX('03 Suppliers'!$N$5:$N$34,MATCH($S10,'03 Suppliers'!$B$5:$B$34,0)),"Excl VAT")="Incl VAT",'01 Control'!$C$6,0))/($T10*IFERROR(VLOOKUP($U10,'02 Lists'!$A$5:$B$18,2,FALSE()),1)))</f>
        <v/>
      </c>
      <c r="Y10" s="140" t="n"/>
      <c r="Z10" s="147" t="n"/>
      <c r="AA10" s="141" t="n"/>
      <c r="AB10" s="148" t="n"/>
      <c r="AC10" s="149" t="n"/>
      <c r="AD10" s="150">
        <f>IF(OR($AB10="",$Z10="",$Z10=0),"",$AB10/(1+IF(IFERROR(INDEX('03 Suppliers'!$N$5:$N$34,MATCH($Y10,'03 Suppliers'!$B$5:$B$34,0)),"Excl VAT")="Incl VAT",'01 Control'!$C$6,0))/($Z10*IFERROR(VLOOKUP($AA10,'02 Lists'!$A$5:$B$18,2,FALSE()),1)))</f>
        <v/>
      </c>
      <c r="AE10" s="140" t="n"/>
      <c r="AF10" s="147" t="n"/>
      <c r="AG10" s="141" t="n"/>
      <c r="AH10" s="148" t="n"/>
      <c r="AI10" s="149" t="n"/>
      <c r="AJ10" s="150">
        <f>IF(OR($AH10="",$AF10="",$AF10=0),"",$AH10/(1+IF(IFERROR(INDEX('03 Suppliers'!$N$5:$N$34,MATCH($AE10,'03 Suppliers'!$B$5:$B$34,0)),"Excl VAT")="Incl VAT",'01 Control'!$C$6,0))/($AF10*IFERROR(VLOOKUP($AG10,'02 Lists'!$A$5:$B$18,2,FALSE()),1)))</f>
        <v/>
      </c>
      <c r="AK10" s="151">
        <f>IF(COUNT(L10,R10,X10,AD10,AJ10)=0,"",MIN(L10,R10,X10,AD10,AJ10))</f>
        <v/>
      </c>
      <c r="AL10" s="126">
        <f>IF($AK10="","",IF(L10=$AK10,$G10,IF(R10=$AK10,$M10,IF(X10=$AK10,$S10,IF(AD10=$AK10,$Y10,IF(AJ10=$AK10,$AE10,""))))))</f>
        <v/>
      </c>
      <c r="AM10" s="151">
        <f>IF($AK10="","",$AK10/IF($E10="",1,$E10))</f>
        <v/>
      </c>
      <c r="AN10" s="152">
        <f>COUNT(L10,R10,X10,AD10,AJ10)</f>
        <v/>
      </c>
      <c r="AO10" s="150">
        <f>IF(COUNT(L10,R10,X10,AD10,AJ10)=0,"",MAX(L10,R10,X10,AD10,AJ10))</f>
        <v/>
      </c>
      <c r="AP10" s="153">
        <f>IF(OR($AK10="",$AO10="",$AO10=0),"",($AO10-$AK10)/$AO10)</f>
        <v/>
      </c>
      <c r="AQ10" s="154">
        <f>IF($AK10="","",IF(L10=$AK10,$K10,IF(R10=$AK10,$Q10,IF(X10=$AK10,$W10,IF(AD10=$AK10,$AC10,IF(AJ10=$AK10,$AI10,""))))))</f>
        <v/>
      </c>
      <c r="AS10" s="142">
        <f>'02 Lists'!$A$10&amp;""</f>
        <v/>
      </c>
      <c r="AT10" s="142">
        <f>'03 Suppliers'!$B$10&amp;""</f>
        <v/>
      </c>
    </row>
    <row r="11" ht="15" customHeight="1" s="106">
      <c r="A11" s="134" t="inlineStr">
        <is>
          <t>PP-PACK-CUTLERY</t>
        </is>
      </c>
      <c r="B11" s="138" t="inlineStr">
        <is>
          <t>Store / Takeaway</t>
        </is>
      </c>
      <c r="C11" s="113" t="inlineStr">
        <is>
          <t>Cutlery set (fork + napkin, wrapped)</t>
        </is>
      </c>
      <c r="D11" s="139" t="inlineStr">
        <is>
          <t>ea</t>
        </is>
      </c>
      <c r="E11" s="146" t="n">
        <v>1</v>
      </c>
      <c r="F11" s="116" t="n"/>
      <c r="G11" s="140" t="n"/>
      <c r="H11" s="147" t="n"/>
      <c r="I11" s="141" t="n"/>
      <c r="J11" s="148" t="n"/>
      <c r="K11" s="149" t="n"/>
      <c r="L11" s="150">
        <f>IF(OR($J11="",$H11="",$H11=0),"",$J11/(1+IF(IFERROR(INDEX('03 Suppliers'!$N$5:$N$34,MATCH($G11,'03 Suppliers'!$B$5:$B$34,0)),"Excl VAT")="Incl VAT",'01 Control'!$C$6,0))/($H11*IFERROR(VLOOKUP($I11,'02 Lists'!$A$5:$B$18,2,FALSE()),1)))</f>
        <v/>
      </c>
      <c r="M11" s="140" t="n"/>
      <c r="N11" s="147" t="n"/>
      <c r="O11" s="141" t="n"/>
      <c r="P11" s="148" t="n"/>
      <c r="Q11" s="149" t="n"/>
      <c r="R11" s="150">
        <f>IF(OR($P11="",$N11="",$N11=0),"",$P11/(1+IF(IFERROR(INDEX('03 Suppliers'!$N$5:$N$34,MATCH($M11,'03 Suppliers'!$B$5:$B$34,0)),"Excl VAT")="Incl VAT",'01 Control'!$C$6,0))/($N11*IFERROR(VLOOKUP($O11,'02 Lists'!$A$5:$B$18,2,FALSE()),1)))</f>
        <v/>
      </c>
      <c r="S11" s="140" t="n"/>
      <c r="T11" s="147" t="n"/>
      <c r="U11" s="141" t="n"/>
      <c r="V11" s="148" t="n"/>
      <c r="W11" s="149" t="n"/>
      <c r="X11" s="150">
        <f>IF(OR($V11="",$T11="",$T11=0),"",$V11/(1+IF(IFERROR(INDEX('03 Suppliers'!$N$5:$N$34,MATCH($S11,'03 Suppliers'!$B$5:$B$34,0)),"Excl VAT")="Incl VAT",'01 Control'!$C$6,0))/($T11*IFERROR(VLOOKUP($U11,'02 Lists'!$A$5:$B$18,2,FALSE()),1)))</f>
        <v/>
      </c>
      <c r="Y11" s="140" t="n"/>
      <c r="Z11" s="147" t="n"/>
      <c r="AA11" s="141" t="n"/>
      <c r="AB11" s="148" t="n"/>
      <c r="AC11" s="149" t="n"/>
      <c r="AD11" s="150">
        <f>IF(OR($AB11="",$Z11="",$Z11=0),"",$AB11/(1+IF(IFERROR(INDEX('03 Suppliers'!$N$5:$N$34,MATCH($Y11,'03 Suppliers'!$B$5:$B$34,0)),"Excl VAT")="Incl VAT",'01 Control'!$C$6,0))/($Z11*IFERROR(VLOOKUP($AA11,'02 Lists'!$A$5:$B$18,2,FALSE()),1)))</f>
        <v/>
      </c>
      <c r="AE11" s="140" t="n"/>
      <c r="AF11" s="147" t="n"/>
      <c r="AG11" s="141" t="n"/>
      <c r="AH11" s="148" t="n"/>
      <c r="AI11" s="149" t="n"/>
      <c r="AJ11" s="150">
        <f>IF(OR($AH11="",$AF11="",$AF11=0),"",$AH11/(1+IF(IFERROR(INDEX('03 Suppliers'!$N$5:$N$34,MATCH($AE11,'03 Suppliers'!$B$5:$B$34,0)),"Excl VAT")="Incl VAT",'01 Control'!$C$6,0))/($AF11*IFERROR(VLOOKUP($AG11,'02 Lists'!$A$5:$B$18,2,FALSE()),1)))</f>
        <v/>
      </c>
      <c r="AK11" s="151">
        <f>IF(COUNT(L11,R11,X11,AD11,AJ11)=0,"",MIN(L11,R11,X11,AD11,AJ11))</f>
        <v/>
      </c>
      <c r="AL11" s="126">
        <f>IF($AK11="","",IF(L11=$AK11,$G11,IF(R11=$AK11,$M11,IF(X11=$AK11,$S11,IF(AD11=$AK11,$Y11,IF(AJ11=$AK11,$AE11,""))))))</f>
        <v/>
      </c>
      <c r="AM11" s="151">
        <f>IF($AK11="","",$AK11/IF($E11="",1,$E11))</f>
        <v/>
      </c>
      <c r="AN11" s="152">
        <f>COUNT(L11,R11,X11,AD11,AJ11)</f>
        <v/>
      </c>
      <c r="AO11" s="150">
        <f>IF(COUNT(L11,R11,X11,AD11,AJ11)=0,"",MAX(L11,R11,X11,AD11,AJ11))</f>
        <v/>
      </c>
      <c r="AP11" s="153">
        <f>IF(OR($AK11="",$AO11="",$AO11=0),"",($AO11-$AK11)/$AO11)</f>
        <v/>
      </c>
      <c r="AQ11" s="154">
        <f>IF($AK11="","",IF(L11=$AK11,$K11,IF(R11=$AK11,$Q11,IF(X11=$AK11,$W11,IF(AD11=$AK11,$AC11,IF(AJ11=$AK11,$AI11,""))))))</f>
        <v/>
      </c>
      <c r="AS11" s="142">
        <f>'02 Lists'!$A$11&amp;""</f>
        <v/>
      </c>
      <c r="AT11" s="142">
        <f>'03 Suppliers'!$B$11&amp;""</f>
        <v/>
      </c>
    </row>
    <row r="12" ht="15" customHeight="1" s="106">
      <c r="A12" s="134" t="inlineStr">
        <is>
          <t>PP-PACK-NAPKIN</t>
        </is>
      </c>
      <c r="B12" s="138" t="inlineStr">
        <is>
          <t>Store / Takeaway</t>
        </is>
      </c>
      <c r="C12" s="113" t="inlineStr">
        <is>
          <t>Branded napkin</t>
        </is>
      </c>
      <c r="D12" s="139" t="inlineStr">
        <is>
          <t>ea</t>
        </is>
      </c>
      <c r="E12" s="146" t="n">
        <v>1</v>
      </c>
      <c r="F12" s="116" t="n"/>
      <c r="G12" s="140" t="n"/>
      <c r="H12" s="147" t="n"/>
      <c r="I12" s="141" t="n"/>
      <c r="J12" s="148" t="n"/>
      <c r="K12" s="149" t="n"/>
      <c r="L12" s="150">
        <f>IF(OR($J12="",$H12="",$H12=0),"",$J12/(1+IF(IFERROR(INDEX('03 Suppliers'!$N$5:$N$34,MATCH($G12,'03 Suppliers'!$B$5:$B$34,0)),"Excl VAT")="Incl VAT",'01 Control'!$C$6,0))/($H12*IFERROR(VLOOKUP($I12,'02 Lists'!$A$5:$B$18,2,FALSE()),1)))</f>
        <v/>
      </c>
      <c r="M12" s="140" t="n"/>
      <c r="N12" s="147" t="n"/>
      <c r="O12" s="141" t="n"/>
      <c r="P12" s="148" t="n"/>
      <c r="Q12" s="149" t="n"/>
      <c r="R12" s="150">
        <f>IF(OR($P12="",$N12="",$N12=0),"",$P12/(1+IF(IFERROR(INDEX('03 Suppliers'!$N$5:$N$34,MATCH($M12,'03 Suppliers'!$B$5:$B$34,0)),"Excl VAT")="Incl VAT",'01 Control'!$C$6,0))/($N12*IFERROR(VLOOKUP($O12,'02 Lists'!$A$5:$B$18,2,FALSE()),1)))</f>
        <v/>
      </c>
      <c r="S12" s="140" t="n"/>
      <c r="T12" s="147" t="n"/>
      <c r="U12" s="141" t="n"/>
      <c r="V12" s="148" t="n"/>
      <c r="W12" s="149" t="n"/>
      <c r="X12" s="150">
        <f>IF(OR($V12="",$T12="",$T12=0),"",$V12/(1+IF(IFERROR(INDEX('03 Suppliers'!$N$5:$N$34,MATCH($S12,'03 Suppliers'!$B$5:$B$34,0)),"Excl VAT")="Incl VAT",'01 Control'!$C$6,0))/($T12*IFERROR(VLOOKUP($U12,'02 Lists'!$A$5:$B$18,2,FALSE()),1)))</f>
        <v/>
      </c>
      <c r="Y12" s="140" t="n"/>
      <c r="Z12" s="147" t="n"/>
      <c r="AA12" s="141" t="n"/>
      <c r="AB12" s="148" t="n"/>
      <c r="AC12" s="149" t="n"/>
      <c r="AD12" s="150">
        <f>IF(OR($AB12="",$Z12="",$Z12=0),"",$AB12/(1+IF(IFERROR(INDEX('03 Suppliers'!$N$5:$N$34,MATCH($Y12,'03 Suppliers'!$B$5:$B$34,0)),"Excl VAT")="Incl VAT",'01 Control'!$C$6,0))/($Z12*IFERROR(VLOOKUP($AA12,'02 Lists'!$A$5:$B$18,2,FALSE()),1)))</f>
        <v/>
      </c>
      <c r="AE12" s="140" t="n"/>
      <c r="AF12" s="147" t="n"/>
      <c r="AG12" s="141" t="n"/>
      <c r="AH12" s="148" t="n"/>
      <c r="AI12" s="149" t="n"/>
      <c r="AJ12" s="150">
        <f>IF(OR($AH12="",$AF12="",$AF12=0),"",$AH12/(1+IF(IFERROR(INDEX('03 Suppliers'!$N$5:$N$34,MATCH($AE12,'03 Suppliers'!$B$5:$B$34,0)),"Excl VAT")="Incl VAT",'01 Control'!$C$6,0))/($AF12*IFERROR(VLOOKUP($AG12,'02 Lists'!$A$5:$B$18,2,FALSE()),1)))</f>
        <v/>
      </c>
      <c r="AK12" s="151">
        <f>IF(COUNT(L12,R12,X12,AD12,AJ12)=0,"",MIN(L12,R12,X12,AD12,AJ12))</f>
        <v/>
      </c>
      <c r="AL12" s="126">
        <f>IF($AK12="","",IF(L12=$AK12,$G12,IF(R12=$AK12,$M12,IF(X12=$AK12,$S12,IF(AD12=$AK12,$Y12,IF(AJ12=$AK12,$AE12,""))))))</f>
        <v/>
      </c>
      <c r="AM12" s="151">
        <f>IF($AK12="","",$AK12/IF($E12="",1,$E12))</f>
        <v/>
      </c>
      <c r="AN12" s="152">
        <f>COUNT(L12,R12,X12,AD12,AJ12)</f>
        <v/>
      </c>
      <c r="AO12" s="150">
        <f>IF(COUNT(L12,R12,X12,AD12,AJ12)=0,"",MAX(L12,R12,X12,AD12,AJ12))</f>
        <v/>
      </c>
      <c r="AP12" s="153">
        <f>IF(OR($AK12="",$AO12="",$AO12=0),"",($AO12-$AK12)/$AO12)</f>
        <v/>
      </c>
      <c r="AQ12" s="154">
        <f>IF($AK12="","",IF(L12=$AK12,$K12,IF(R12=$AK12,$Q12,IF(X12=$AK12,$W12,IF(AD12=$AK12,$AC12,IF(AJ12=$AK12,$AI12,""))))))</f>
        <v/>
      </c>
      <c r="AS12" s="142">
        <f>'02 Lists'!$A$12&amp;""</f>
        <v/>
      </c>
      <c r="AT12" s="142">
        <f>'03 Suppliers'!$B$12&amp;""</f>
        <v/>
      </c>
    </row>
    <row r="13" ht="15" customHeight="1" s="106">
      <c r="A13" s="134" t="inlineStr">
        <is>
          <t>PP-PACK-BAG</t>
        </is>
      </c>
      <c r="B13" s="138" t="inlineStr">
        <is>
          <t>Store / Takeaway</t>
        </is>
      </c>
      <c r="C13" s="113" t="inlineStr">
        <is>
          <t>Takeaway bag, branded</t>
        </is>
      </c>
      <c r="D13" s="139" t="inlineStr">
        <is>
          <t>ea</t>
        </is>
      </c>
      <c r="E13" s="146" t="n">
        <v>1</v>
      </c>
      <c r="F13" s="116" t="n"/>
      <c r="G13" s="140" t="n"/>
      <c r="H13" s="147" t="n"/>
      <c r="I13" s="141" t="n"/>
      <c r="J13" s="148" t="n"/>
      <c r="K13" s="149" t="n"/>
      <c r="L13" s="150">
        <f>IF(OR($J13="",$H13="",$H13=0),"",$J13/(1+IF(IFERROR(INDEX('03 Suppliers'!$N$5:$N$34,MATCH($G13,'03 Suppliers'!$B$5:$B$34,0)),"Excl VAT")="Incl VAT",'01 Control'!$C$6,0))/($H13*IFERROR(VLOOKUP($I13,'02 Lists'!$A$5:$B$18,2,FALSE()),1)))</f>
        <v/>
      </c>
      <c r="M13" s="140" t="n"/>
      <c r="N13" s="147" t="n"/>
      <c r="O13" s="141" t="n"/>
      <c r="P13" s="148" t="n"/>
      <c r="Q13" s="149" t="n"/>
      <c r="R13" s="150">
        <f>IF(OR($P13="",$N13="",$N13=0),"",$P13/(1+IF(IFERROR(INDEX('03 Suppliers'!$N$5:$N$34,MATCH($M13,'03 Suppliers'!$B$5:$B$34,0)),"Excl VAT")="Incl VAT",'01 Control'!$C$6,0))/($N13*IFERROR(VLOOKUP($O13,'02 Lists'!$A$5:$B$18,2,FALSE()),1)))</f>
        <v/>
      </c>
      <c r="S13" s="140" t="n"/>
      <c r="T13" s="147" t="n"/>
      <c r="U13" s="141" t="n"/>
      <c r="V13" s="148" t="n"/>
      <c r="W13" s="149" t="n"/>
      <c r="X13" s="150">
        <f>IF(OR($V13="",$T13="",$T13=0),"",$V13/(1+IF(IFERROR(INDEX('03 Suppliers'!$N$5:$N$34,MATCH($S13,'03 Suppliers'!$B$5:$B$34,0)),"Excl VAT")="Incl VAT",'01 Control'!$C$6,0))/($T13*IFERROR(VLOOKUP($U13,'02 Lists'!$A$5:$B$18,2,FALSE()),1)))</f>
        <v/>
      </c>
      <c r="Y13" s="140" t="n"/>
      <c r="Z13" s="147" t="n"/>
      <c r="AA13" s="141" t="n"/>
      <c r="AB13" s="148" t="n"/>
      <c r="AC13" s="149" t="n"/>
      <c r="AD13" s="150">
        <f>IF(OR($AB13="",$Z13="",$Z13=0),"",$AB13/(1+IF(IFERROR(INDEX('03 Suppliers'!$N$5:$N$34,MATCH($Y13,'03 Suppliers'!$B$5:$B$34,0)),"Excl VAT")="Incl VAT",'01 Control'!$C$6,0))/($Z13*IFERROR(VLOOKUP($AA13,'02 Lists'!$A$5:$B$18,2,FALSE()),1)))</f>
        <v/>
      </c>
      <c r="AE13" s="140" t="n"/>
      <c r="AF13" s="147" t="n"/>
      <c r="AG13" s="141" t="n"/>
      <c r="AH13" s="148" t="n"/>
      <c r="AI13" s="149" t="n"/>
      <c r="AJ13" s="150">
        <f>IF(OR($AH13="",$AF13="",$AF13=0),"",$AH13/(1+IF(IFERROR(INDEX('03 Suppliers'!$N$5:$N$34,MATCH($AE13,'03 Suppliers'!$B$5:$B$34,0)),"Excl VAT")="Incl VAT",'01 Control'!$C$6,0))/($AF13*IFERROR(VLOOKUP($AG13,'02 Lists'!$A$5:$B$18,2,FALSE()),1)))</f>
        <v/>
      </c>
      <c r="AK13" s="151">
        <f>IF(COUNT(L13,R13,X13,AD13,AJ13)=0,"",MIN(L13,R13,X13,AD13,AJ13))</f>
        <v/>
      </c>
      <c r="AL13" s="126">
        <f>IF($AK13="","",IF(L13=$AK13,$G13,IF(R13=$AK13,$M13,IF(X13=$AK13,$S13,IF(AD13=$AK13,$Y13,IF(AJ13=$AK13,$AE13,""))))))</f>
        <v/>
      </c>
      <c r="AM13" s="151">
        <f>IF($AK13="","",$AK13/IF($E13="",1,$E13))</f>
        <v/>
      </c>
      <c r="AN13" s="152">
        <f>COUNT(L13,R13,X13,AD13,AJ13)</f>
        <v/>
      </c>
      <c r="AO13" s="150">
        <f>IF(COUNT(L13,R13,X13,AD13,AJ13)=0,"",MAX(L13,R13,X13,AD13,AJ13))</f>
        <v/>
      </c>
      <c r="AP13" s="153">
        <f>IF(OR($AK13="",$AO13="",$AO13=0),"",($AO13-$AK13)/$AO13)</f>
        <v/>
      </c>
      <c r="AQ13" s="154">
        <f>IF($AK13="","",IF(L13=$AK13,$K13,IF(R13=$AK13,$Q13,IF(X13=$AK13,$W13,IF(AD13=$AK13,$AC13,IF(AJ13=$AK13,$AI13,""))))))</f>
        <v/>
      </c>
      <c r="AS13" s="142">
        <f>'02 Lists'!$A$13&amp;""</f>
        <v/>
      </c>
      <c r="AT13" s="142">
        <f>'03 Suppliers'!$B$13&amp;""</f>
        <v/>
      </c>
    </row>
    <row r="14" ht="15" customHeight="1" s="106">
      <c r="A14" s="134" t="inlineStr">
        <is>
          <t>PP-PACK-STICKER</t>
        </is>
      </c>
      <c r="B14" s="138" t="inlineStr">
        <is>
          <t>Store / Takeaway</t>
        </is>
      </c>
      <c r="C14" s="113" t="inlineStr">
        <is>
          <t>Tamper-evident seal sticker</t>
        </is>
      </c>
      <c r="D14" s="139" t="inlineStr">
        <is>
          <t>ea</t>
        </is>
      </c>
      <c r="E14" s="146" t="n">
        <v>1</v>
      </c>
      <c r="F14" s="116" t="inlineStr">
        <is>
          <t>Delivery compliance</t>
        </is>
      </c>
      <c r="G14" s="140" t="n"/>
      <c r="H14" s="147" t="n"/>
      <c r="I14" s="141" t="n"/>
      <c r="J14" s="148" t="n"/>
      <c r="K14" s="149" t="n"/>
      <c r="L14" s="150">
        <f>IF(OR($J14="",$H14="",$H14=0),"",$J14/(1+IF(IFERROR(INDEX('03 Suppliers'!$N$5:$N$34,MATCH($G14,'03 Suppliers'!$B$5:$B$34,0)),"Excl VAT")="Incl VAT",'01 Control'!$C$6,0))/($H14*IFERROR(VLOOKUP($I14,'02 Lists'!$A$5:$B$18,2,FALSE()),1)))</f>
        <v/>
      </c>
      <c r="M14" s="140" t="n"/>
      <c r="N14" s="147" t="n"/>
      <c r="O14" s="141" t="n"/>
      <c r="P14" s="148" t="n"/>
      <c r="Q14" s="149" t="n"/>
      <c r="R14" s="150">
        <f>IF(OR($P14="",$N14="",$N14=0),"",$P14/(1+IF(IFERROR(INDEX('03 Suppliers'!$N$5:$N$34,MATCH($M14,'03 Suppliers'!$B$5:$B$34,0)),"Excl VAT")="Incl VAT",'01 Control'!$C$6,0))/($N14*IFERROR(VLOOKUP($O14,'02 Lists'!$A$5:$B$18,2,FALSE()),1)))</f>
        <v/>
      </c>
      <c r="S14" s="140" t="n"/>
      <c r="T14" s="147" t="n"/>
      <c r="U14" s="141" t="n"/>
      <c r="V14" s="148" t="n"/>
      <c r="W14" s="149" t="n"/>
      <c r="X14" s="150">
        <f>IF(OR($V14="",$T14="",$T14=0),"",$V14/(1+IF(IFERROR(INDEX('03 Suppliers'!$N$5:$N$34,MATCH($S14,'03 Suppliers'!$B$5:$B$34,0)),"Excl VAT")="Incl VAT",'01 Control'!$C$6,0))/($T14*IFERROR(VLOOKUP($U14,'02 Lists'!$A$5:$B$18,2,FALSE()),1)))</f>
        <v/>
      </c>
      <c r="Y14" s="140" t="n"/>
      <c r="Z14" s="147" t="n"/>
      <c r="AA14" s="141" t="n"/>
      <c r="AB14" s="148" t="n"/>
      <c r="AC14" s="149" t="n"/>
      <c r="AD14" s="150">
        <f>IF(OR($AB14="",$Z14="",$Z14=0),"",$AB14/(1+IF(IFERROR(INDEX('03 Suppliers'!$N$5:$N$34,MATCH($Y14,'03 Suppliers'!$B$5:$B$34,0)),"Excl VAT")="Incl VAT",'01 Control'!$C$6,0))/($Z14*IFERROR(VLOOKUP($AA14,'02 Lists'!$A$5:$B$18,2,FALSE()),1)))</f>
        <v/>
      </c>
      <c r="AE14" s="140" t="n"/>
      <c r="AF14" s="147" t="n"/>
      <c r="AG14" s="141" t="n"/>
      <c r="AH14" s="148" t="n"/>
      <c r="AI14" s="149" t="n"/>
      <c r="AJ14" s="150">
        <f>IF(OR($AH14="",$AF14="",$AF14=0),"",$AH14/(1+IF(IFERROR(INDEX('03 Suppliers'!$N$5:$N$34,MATCH($AE14,'03 Suppliers'!$B$5:$B$34,0)),"Excl VAT")="Incl VAT",'01 Control'!$C$6,0))/($AF14*IFERROR(VLOOKUP($AG14,'02 Lists'!$A$5:$B$18,2,FALSE()),1)))</f>
        <v/>
      </c>
      <c r="AK14" s="151">
        <f>IF(COUNT(L14,R14,X14,AD14,AJ14)=0,"",MIN(L14,R14,X14,AD14,AJ14))</f>
        <v/>
      </c>
      <c r="AL14" s="126">
        <f>IF($AK14="","",IF(L14=$AK14,$G14,IF(R14=$AK14,$M14,IF(X14=$AK14,$S14,IF(AD14=$AK14,$Y14,IF(AJ14=$AK14,$AE14,""))))))</f>
        <v/>
      </c>
      <c r="AM14" s="151">
        <f>IF($AK14="","",$AK14/IF($E14="",1,$E14))</f>
        <v/>
      </c>
      <c r="AN14" s="152">
        <f>COUNT(L14,R14,X14,AD14,AJ14)</f>
        <v/>
      </c>
      <c r="AO14" s="150">
        <f>IF(COUNT(L14,R14,X14,AD14,AJ14)=0,"",MAX(L14,R14,X14,AD14,AJ14))</f>
        <v/>
      </c>
      <c r="AP14" s="153">
        <f>IF(OR($AK14="",$AO14="",$AO14=0),"",($AO14-$AK14)/$AO14)</f>
        <v/>
      </c>
      <c r="AQ14" s="154">
        <f>IF($AK14="","",IF(L14=$AK14,$K14,IF(R14=$AK14,$Q14,IF(X14=$AK14,$W14,IF(AD14=$AK14,$AC14,IF(AJ14=$AK14,$AI14,""))))))</f>
        <v/>
      </c>
      <c r="AS14" s="142">
        <f>'02 Lists'!$A$14&amp;""</f>
        <v/>
      </c>
      <c r="AT14" s="142">
        <f>'03 Suppliers'!$B$14&amp;""</f>
        <v/>
      </c>
    </row>
    <row r="15" ht="15" customHeight="1" s="106">
      <c r="A15" s="134" t="inlineStr">
        <is>
          <t>PP-PACK-DELIVERY-SLV</t>
        </is>
      </c>
      <c r="B15" s="138" t="inlineStr">
        <is>
          <t>Store / Takeaway</t>
        </is>
      </c>
      <c r="C15" s="113" t="inlineStr">
        <is>
          <t>Delivery insulation sleeve</t>
        </is>
      </c>
      <c r="D15" s="139" t="inlineStr">
        <is>
          <t>ea</t>
        </is>
      </c>
      <c r="E15" s="146" t="n">
        <v>1</v>
      </c>
      <c r="F15" s="116" t="inlineStr">
        <is>
          <t>Delivery orders only</t>
        </is>
      </c>
      <c r="G15" s="140" t="n"/>
      <c r="H15" s="147" t="n"/>
      <c r="I15" s="141" t="n"/>
      <c r="J15" s="148" t="n"/>
      <c r="K15" s="149" t="n"/>
      <c r="L15" s="150">
        <f>IF(OR($J15="",$H15="",$H15=0),"",$J15/(1+IF(IFERROR(INDEX('03 Suppliers'!$N$5:$N$34,MATCH($G15,'03 Suppliers'!$B$5:$B$34,0)),"Excl VAT")="Incl VAT",'01 Control'!$C$6,0))/($H15*IFERROR(VLOOKUP($I15,'02 Lists'!$A$5:$B$18,2,FALSE()),1)))</f>
        <v/>
      </c>
      <c r="M15" s="140" t="n"/>
      <c r="N15" s="147" t="n"/>
      <c r="O15" s="141" t="n"/>
      <c r="P15" s="148" t="n"/>
      <c r="Q15" s="149" t="n"/>
      <c r="R15" s="150">
        <f>IF(OR($P15="",$N15="",$N15=0),"",$P15/(1+IF(IFERROR(INDEX('03 Suppliers'!$N$5:$N$34,MATCH($M15,'03 Suppliers'!$B$5:$B$34,0)),"Excl VAT")="Incl VAT",'01 Control'!$C$6,0))/($N15*IFERROR(VLOOKUP($O15,'02 Lists'!$A$5:$B$18,2,FALSE()),1)))</f>
        <v/>
      </c>
      <c r="S15" s="140" t="n"/>
      <c r="T15" s="147" t="n"/>
      <c r="U15" s="141" t="n"/>
      <c r="V15" s="148" t="n"/>
      <c r="W15" s="149" t="n"/>
      <c r="X15" s="150">
        <f>IF(OR($V15="",$T15="",$T15=0),"",$V15/(1+IF(IFERROR(INDEX('03 Suppliers'!$N$5:$N$34,MATCH($S15,'03 Suppliers'!$B$5:$B$34,0)),"Excl VAT")="Incl VAT",'01 Control'!$C$6,0))/($T15*IFERROR(VLOOKUP($U15,'02 Lists'!$A$5:$B$18,2,FALSE()),1)))</f>
        <v/>
      </c>
      <c r="Y15" s="140" t="n"/>
      <c r="Z15" s="147" t="n"/>
      <c r="AA15" s="141" t="n"/>
      <c r="AB15" s="148" t="n"/>
      <c r="AC15" s="149" t="n"/>
      <c r="AD15" s="150">
        <f>IF(OR($AB15="",$Z15="",$Z15=0),"",$AB15/(1+IF(IFERROR(INDEX('03 Suppliers'!$N$5:$N$34,MATCH($Y15,'03 Suppliers'!$B$5:$B$34,0)),"Excl VAT")="Incl VAT",'01 Control'!$C$6,0))/($Z15*IFERROR(VLOOKUP($AA15,'02 Lists'!$A$5:$B$18,2,FALSE()),1)))</f>
        <v/>
      </c>
      <c r="AE15" s="140" t="n"/>
      <c r="AF15" s="147" t="n"/>
      <c r="AG15" s="141" t="n"/>
      <c r="AH15" s="148" t="n"/>
      <c r="AI15" s="149" t="n"/>
      <c r="AJ15" s="150">
        <f>IF(OR($AH15="",$AF15="",$AF15=0),"",$AH15/(1+IF(IFERROR(INDEX('03 Suppliers'!$N$5:$N$34,MATCH($AE15,'03 Suppliers'!$B$5:$B$34,0)),"Excl VAT")="Incl VAT",'01 Control'!$C$6,0))/($AF15*IFERROR(VLOOKUP($AG15,'02 Lists'!$A$5:$B$18,2,FALSE()),1)))</f>
        <v/>
      </c>
      <c r="AK15" s="151">
        <f>IF(COUNT(L15,R15,X15,AD15,AJ15)=0,"",MIN(L15,R15,X15,AD15,AJ15))</f>
        <v/>
      </c>
      <c r="AL15" s="126">
        <f>IF($AK15="","",IF(L15=$AK15,$G15,IF(R15=$AK15,$M15,IF(X15=$AK15,$S15,IF(AD15=$AK15,$Y15,IF(AJ15=$AK15,$AE15,""))))))</f>
        <v/>
      </c>
      <c r="AM15" s="151">
        <f>IF($AK15="","",$AK15/IF($E15="",1,$E15))</f>
        <v/>
      </c>
      <c r="AN15" s="152">
        <f>COUNT(L15,R15,X15,AD15,AJ15)</f>
        <v/>
      </c>
      <c r="AO15" s="150">
        <f>IF(COUNT(L15,R15,X15,AD15,AJ15)=0,"",MAX(L15,R15,X15,AD15,AJ15))</f>
        <v/>
      </c>
      <c r="AP15" s="153">
        <f>IF(OR($AK15="",$AO15="",$AO15=0),"",($AO15-$AK15)/$AO15)</f>
        <v/>
      </c>
      <c r="AQ15" s="154">
        <f>IF($AK15="","",IF(L15=$AK15,$K15,IF(R15=$AK15,$Q15,IF(X15=$AK15,$W15,IF(AD15=$AK15,$AC15,IF(AJ15=$AK15,$AI15,""))))))</f>
        <v/>
      </c>
      <c r="AS15" s="142">
        <f>'02 Lists'!$A$15&amp;""</f>
        <v/>
      </c>
      <c r="AT15" s="142">
        <f>'03 Suppliers'!$B$15&amp;""</f>
        <v/>
      </c>
    </row>
    <row r="16" ht="15" customHeight="1" s="106">
      <c r="A16" s="134" t="inlineStr">
        <is>
          <t>PP-PACK-CK-POUCH</t>
        </is>
      </c>
      <c r="B16" s="138" t="inlineStr">
        <is>
          <t>Central Kitchen</t>
        </is>
      </c>
      <c r="C16" s="113" t="inlineStr">
        <is>
          <t>Vacuum sauce pouch, 2 kg (freeze-grade)</t>
        </is>
      </c>
      <c r="D16" s="139" t="inlineStr">
        <is>
          <t>ea</t>
        </is>
      </c>
      <c r="E16" s="146" t="n">
        <v>1</v>
      </c>
      <c r="F16" s="116" t="inlineStr">
        <is>
          <t>One pouch = one store day-part</t>
        </is>
      </c>
      <c r="G16" s="140" t="n"/>
      <c r="H16" s="147" t="n"/>
      <c r="I16" s="141" t="n"/>
      <c r="J16" s="148" t="n"/>
      <c r="K16" s="149" t="n"/>
      <c r="L16" s="150">
        <f>IF(OR($J16="",$H16="",$H16=0),"",$J16/(1+IF(IFERROR(INDEX('03 Suppliers'!$N$5:$N$34,MATCH($G16,'03 Suppliers'!$B$5:$B$34,0)),"Excl VAT")="Incl VAT",'01 Control'!$C$6,0))/($H16*IFERROR(VLOOKUP($I16,'02 Lists'!$A$5:$B$18,2,FALSE()),1)))</f>
        <v/>
      </c>
      <c r="M16" s="140" t="n"/>
      <c r="N16" s="147" t="n"/>
      <c r="O16" s="141" t="n"/>
      <c r="P16" s="148" t="n"/>
      <c r="Q16" s="149" t="n"/>
      <c r="R16" s="150">
        <f>IF(OR($P16="",$N16="",$N16=0),"",$P16/(1+IF(IFERROR(INDEX('03 Suppliers'!$N$5:$N$34,MATCH($M16,'03 Suppliers'!$B$5:$B$34,0)),"Excl VAT")="Incl VAT",'01 Control'!$C$6,0))/($N16*IFERROR(VLOOKUP($O16,'02 Lists'!$A$5:$B$18,2,FALSE()),1)))</f>
        <v/>
      </c>
      <c r="S16" s="140" t="n"/>
      <c r="T16" s="147" t="n"/>
      <c r="U16" s="141" t="n"/>
      <c r="V16" s="148" t="n"/>
      <c r="W16" s="149" t="n"/>
      <c r="X16" s="150">
        <f>IF(OR($V16="",$T16="",$T16=0),"",$V16/(1+IF(IFERROR(INDEX('03 Suppliers'!$N$5:$N$34,MATCH($S16,'03 Suppliers'!$B$5:$B$34,0)),"Excl VAT")="Incl VAT",'01 Control'!$C$6,0))/($T16*IFERROR(VLOOKUP($U16,'02 Lists'!$A$5:$B$18,2,FALSE()),1)))</f>
        <v/>
      </c>
      <c r="Y16" s="140" t="n"/>
      <c r="Z16" s="147" t="n"/>
      <c r="AA16" s="141" t="n"/>
      <c r="AB16" s="148" t="n"/>
      <c r="AC16" s="149" t="n"/>
      <c r="AD16" s="150">
        <f>IF(OR($AB16="",$Z16="",$Z16=0),"",$AB16/(1+IF(IFERROR(INDEX('03 Suppliers'!$N$5:$N$34,MATCH($Y16,'03 Suppliers'!$B$5:$B$34,0)),"Excl VAT")="Incl VAT",'01 Control'!$C$6,0))/($Z16*IFERROR(VLOOKUP($AA16,'02 Lists'!$A$5:$B$18,2,FALSE()),1)))</f>
        <v/>
      </c>
      <c r="AE16" s="140" t="n"/>
      <c r="AF16" s="147" t="n"/>
      <c r="AG16" s="141" t="n"/>
      <c r="AH16" s="148" t="n"/>
      <c r="AI16" s="149" t="n"/>
      <c r="AJ16" s="150">
        <f>IF(OR($AH16="",$AF16="",$AF16=0),"",$AH16/(1+IF(IFERROR(INDEX('03 Suppliers'!$N$5:$N$34,MATCH($AE16,'03 Suppliers'!$B$5:$B$34,0)),"Excl VAT")="Incl VAT",'01 Control'!$C$6,0))/($AF16*IFERROR(VLOOKUP($AG16,'02 Lists'!$A$5:$B$18,2,FALSE()),1)))</f>
        <v/>
      </c>
      <c r="AK16" s="151">
        <f>IF(COUNT(L16,R16,X16,AD16,AJ16)=0,"",MIN(L16,R16,X16,AD16,AJ16))</f>
        <v/>
      </c>
      <c r="AL16" s="126">
        <f>IF($AK16="","",IF(L16=$AK16,$G16,IF(R16=$AK16,$M16,IF(X16=$AK16,$S16,IF(AD16=$AK16,$Y16,IF(AJ16=$AK16,$AE16,""))))))</f>
        <v/>
      </c>
      <c r="AM16" s="151">
        <f>IF($AK16="","",$AK16/IF($E16="",1,$E16))</f>
        <v/>
      </c>
      <c r="AN16" s="152">
        <f>COUNT(L16,R16,X16,AD16,AJ16)</f>
        <v/>
      </c>
      <c r="AO16" s="150">
        <f>IF(COUNT(L16,R16,X16,AD16,AJ16)=0,"",MAX(L16,R16,X16,AD16,AJ16))</f>
        <v/>
      </c>
      <c r="AP16" s="153">
        <f>IF(OR($AK16="",$AO16="",$AO16=0),"",($AO16-$AK16)/$AO16)</f>
        <v/>
      </c>
      <c r="AQ16" s="154">
        <f>IF($AK16="","",IF(L16=$AK16,$K16,IF(R16=$AK16,$Q16,IF(X16=$AK16,$W16,IF(AD16=$AK16,$AC16,IF(AJ16=$AK16,$AI16,""))))))</f>
        <v/>
      </c>
      <c r="AS16" s="142">
        <f>'02 Lists'!$A$16&amp;""</f>
        <v/>
      </c>
      <c r="AT16" s="142">
        <f>'03 Suppliers'!$B$16&amp;""</f>
        <v/>
      </c>
    </row>
    <row r="17" ht="15" customHeight="1" s="106">
      <c r="A17" s="134" t="inlineStr">
        <is>
          <t>PP-PACK-CK-LABEL</t>
        </is>
      </c>
      <c r="B17" s="138" t="inlineStr">
        <is>
          <t>Central Kitchen</t>
        </is>
      </c>
      <c r="C17" s="113" t="inlineStr">
        <is>
          <t>Batch-code label (sauce pouch)</t>
        </is>
      </c>
      <c r="D17" s="139" t="inlineStr">
        <is>
          <t>ea</t>
        </is>
      </c>
      <c r="E17" s="146" t="n">
        <v>1</v>
      </c>
      <c r="F17" s="116" t="inlineStr">
        <is>
          <t>Batch code + use-by + thaw rule</t>
        </is>
      </c>
      <c r="G17" s="140" t="n"/>
      <c r="H17" s="147" t="n"/>
      <c r="I17" s="141" t="n"/>
      <c r="J17" s="148" t="n"/>
      <c r="K17" s="149" t="n"/>
      <c r="L17" s="150">
        <f>IF(OR($J17="",$H17="",$H17=0),"",$J17/(1+IF(IFERROR(INDEX('03 Suppliers'!$N$5:$N$34,MATCH($G17,'03 Suppliers'!$B$5:$B$34,0)),"Excl VAT")="Incl VAT",'01 Control'!$C$6,0))/($H17*IFERROR(VLOOKUP($I17,'02 Lists'!$A$5:$B$18,2,FALSE()),1)))</f>
        <v/>
      </c>
      <c r="M17" s="140" t="n"/>
      <c r="N17" s="147" t="n"/>
      <c r="O17" s="141" t="n"/>
      <c r="P17" s="148" t="n"/>
      <c r="Q17" s="149" t="n"/>
      <c r="R17" s="150">
        <f>IF(OR($P17="",$N17="",$N17=0),"",$P17/(1+IF(IFERROR(INDEX('03 Suppliers'!$N$5:$N$34,MATCH($M17,'03 Suppliers'!$B$5:$B$34,0)),"Excl VAT")="Incl VAT",'01 Control'!$C$6,0))/($N17*IFERROR(VLOOKUP($O17,'02 Lists'!$A$5:$B$18,2,FALSE()),1)))</f>
        <v/>
      </c>
      <c r="S17" s="140" t="n"/>
      <c r="T17" s="147" t="n"/>
      <c r="U17" s="141" t="n"/>
      <c r="V17" s="148" t="n"/>
      <c r="W17" s="149" t="n"/>
      <c r="X17" s="150">
        <f>IF(OR($V17="",$T17="",$T17=0),"",$V17/(1+IF(IFERROR(INDEX('03 Suppliers'!$N$5:$N$34,MATCH($S17,'03 Suppliers'!$B$5:$B$34,0)),"Excl VAT")="Incl VAT",'01 Control'!$C$6,0))/($T17*IFERROR(VLOOKUP($U17,'02 Lists'!$A$5:$B$18,2,FALSE()),1)))</f>
        <v/>
      </c>
      <c r="Y17" s="140" t="n"/>
      <c r="Z17" s="147" t="n"/>
      <c r="AA17" s="141" t="n"/>
      <c r="AB17" s="148" t="n"/>
      <c r="AC17" s="149" t="n"/>
      <c r="AD17" s="150">
        <f>IF(OR($AB17="",$Z17="",$Z17=0),"",$AB17/(1+IF(IFERROR(INDEX('03 Suppliers'!$N$5:$N$34,MATCH($Y17,'03 Suppliers'!$B$5:$B$34,0)),"Excl VAT")="Incl VAT",'01 Control'!$C$6,0))/($Z17*IFERROR(VLOOKUP($AA17,'02 Lists'!$A$5:$B$18,2,FALSE()),1)))</f>
        <v/>
      </c>
      <c r="AE17" s="140" t="n"/>
      <c r="AF17" s="147" t="n"/>
      <c r="AG17" s="141" t="n"/>
      <c r="AH17" s="148" t="n"/>
      <c r="AI17" s="149" t="n"/>
      <c r="AJ17" s="150">
        <f>IF(OR($AH17="",$AF17="",$AF17=0),"",$AH17/(1+IF(IFERROR(INDEX('03 Suppliers'!$N$5:$N$34,MATCH($AE17,'03 Suppliers'!$B$5:$B$34,0)),"Excl VAT")="Incl VAT",'01 Control'!$C$6,0))/($AF17*IFERROR(VLOOKUP($AG17,'02 Lists'!$A$5:$B$18,2,FALSE()),1)))</f>
        <v/>
      </c>
      <c r="AK17" s="151">
        <f>IF(COUNT(L17,R17,X17,AD17,AJ17)=0,"",MIN(L17,R17,X17,AD17,AJ17))</f>
        <v/>
      </c>
      <c r="AL17" s="126">
        <f>IF($AK17="","",IF(L17=$AK17,$G17,IF(R17=$AK17,$M17,IF(X17=$AK17,$S17,IF(AD17=$AK17,$Y17,IF(AJ17=$AK17,$AE17,""))))))</f>
        <v/>
      </c>
      <c r="AM17" s="151">
        <f>IF($AK17="","",$AK17/IF($E17="",1,$E17))</f>
        <v/>
      </c>
      <c r="AN17" s="152">
        <f>COUNT(L17,R17,X17,AD17,AJ17)</f>
        <v/>
      </c>
      <c r="AO17" s="150">
        <f>IF(COUNT(L17,R17,X17,AD17,AJ17)=0,"",MAX(L17,R17,X17,AD17,AJ17))</f>
        <v/>
      </c>
      <c r="AP17" s="153">
        <f>IF(OR($AK17="",$AO17="",$AO17=0),"",($AO17-$AK17)/$AO17)</f>
        <v/>
      </c>
      <c r="AQ17" s="154">
        <f>IF($AK17="","",IF(L17=$AK17,$K17,IF(R17=$AK17,$Q17,IF(X17=$AK17,$W17,IF(AD17=$AK17,$AC17,IF(AJ17=$AK17,$AI17,""))))))</f>
        <v/>
      </c>
      <c r="AS17" s="142">
        <f>'02 Lists'!$A$17&amp;""</f>
        <v/>
      </c>
      <c r="AT17" s="142">
        <f>'03 Suppliers'!$B$17&amp;""</f>
        <v/>
      </c>
    </row>
    <row r="18" ht="15" customHeight="1" s="106">
      <c r="A18" s="134" t="inlineStr">
        <is>
          <t>PP-PACK-CK-CARTON</t>
        </is>
      </c>
      <c r="B18" s="138" t="inlineStr">
        <is>
          <t>Central Kitchen</t>
        </is>
      </c>
      <c r="C18" s="113" t="inlineStr">
        <is>
          <t>Distribution carton (holds 6 x 2 kg pouches)</t>
        </is>
      </c>
      <c r="D18" s="139" t="inlineStr">
        <is>
          <t>ea</t>
        </is>
      </c>
      <c r="E18" s="146" t="n">
        <v>1</v>
      </c>
      <c r="F18" s="116" t="inlineStr">
        <is>
          <t>Frozen distribution to franchisee</t>
        </is>
      </c>
      <c r="G18" s="140" t="n"/>
      <c r="H18" s="147" t="n"/>
      <c r="I18" s="141" t="n"/>
      <c r="J18" s="148" t="n"/>
      <c r="K18" s="149" t="n"/>
      <c r="L18" s="150">
        <f>IF(OR($J18="",$H18="",$H18=0),"",$J18/(1+IF(IFERROR(INDEX('03 Suppliers'!$N$5:$N$34,MATCH($G18,'03 Suppliers'!$B$5:$B$34,0)),"Excl VAT")="Incl VAT",'01 Control'!$C$6,0))/($H18*IFERROR(VLOOKUP($I18,'02 Lists'!$A$5:$B$18,2,FALSE()),1)))</f>
        <v/>
      </c>
      <c r="M18" s="140" t="n"/>
      <c r="N18" s="147" t="n"/>
      <c r="O18" s="141" t="n"/>
      <c r="P18" s="148" t="n"/>
      <c r="Q18" s="149" t="n"/>
      <c r="R18" s="150">
        <f>IF(OR($P18="",$N18="",$N18=0),"",$P18/(1+IF(IFERROR(INDEX('03 Suppliers'!$N$5:$N$34,MATCH($M18,'03 Suppliers'!$B$5:$B$34,0)),"Excl VAT")="Incl VAT",'01 Control'!$C$6,0))/($N18*IFERROR(VLOOKUP($O18,'02 Lists'!$A$5:$B$18,2,FALSE()),1)))</f>
        <v/>
      </c>
      <c r="S18" s="140" t="n"/>
      <c r="T18" s="147" t="n"/>
      <c r="U18" s="141" t="n"/>
      <c r="V18" s="148" t="n"/>
      <c r="W18" s="149" t="n"/>
      <c r="X18" s="150">
        <f>IF(OR($V18="",$T18="",$T18=0),"",$V18/(1+IF(IFERROR(INDEX('03 Suppliers'!$N$5:$N$34,MATCH($S18,'03 Suppliers'!$B$5:$B$34,0)),"Excl VAT")="Incl VAT",'01 Control'!$C$6,0))/($T18*IFERROR(VLOOKUP($U18,'02 Lists'!$A$5:$B$18,2,FALSE()),1)))</f>
        <v/>
      </c>
      <c r="Y18" s="140" t="n"/>
      <c r="Z18" s="147" t="n"/>
      <c r="AA18" s="141" t="n"/>
      <c r="AB18" s="148" t="n"/>
      <c r="AC18" s="149" t="n"/>
      <c r="AD18" s="150">
        <f>IF(OR($AB18="",$Z18="",$Z18=0),"",$AB18/(1+IF(IFERROR(INDEX('03 Suppliers'!$N$5:$N$34,MATCH($Y18,'03 Suppliers'!$B$5:$B$34,0)),"Excl VAT")="Incl VAT",'01 Control'!$C$6,0))/($Z18*IFERROR(VLOOKUP($AA18,'02 Lists'!$A$5:$B$18,2,FALSE()),1)))</f>
        <v/>
      </c>
      <c r="AE18" s="140" t="n"/>
      <c r="AF18" s="147" t="n"/>
      <c r="AG18" s="141" t="n"/>
      <c r="AH18" s="148" t="n"/>
      <c r="AI18" s="149" t="n"/>
      <c r="AJ18" s="150">
        <f>IF(OR($AH18="",$AF18="",$AF18=0),"",$AH18/(1+IF(IFERROR(INDEX('03 Suppliers'!$N$5:$N$34,MATCH($AE18,'03 Suppliers'!$B$5:$B$34,0)),"Excl VAT")="Incl VAT",'01 Control'!$C$6,0))/($AF18*IFERROR(VLOOKUP($AG18,'02 Lists'!$A$5:$B$18,2,FALSE()),1)))</f>
        <v/>
      </c>
      <c r="AK18" s="151">
        <f>IF(COUNT(L18,R18,X18,AD18,AJ18)=0,"",MIN(L18,R18,X18,AD18,AJ18))</f>
        <v/>
      </c>
      <c r="AL18" s="126">
        <f>IF($AK18="","",IF(L18=$AK18,$G18,IF(R18=$AK18,$M18,IF(X18=$AK18,$S18,IF(AD18=$AK18,$Y18,IF(AJ18=$AK18,$AE18,""))))))</f>
        <v/>
      </c>
      <c r="AM18" s="151">
        <f>IF($AK18="","",$AK18/IF($E18="",1,$E18))</f>
        <v/>
      </c>
      <c r="AN18" s="152">
        <f>COUNT(L18,R18,X18,AD18,AJ18)</f>
        <v/>
      </c>
      <c r="AO18" s="150">
        <f>IF(COUNT(L18,R18,X18,AD18,AJ18)=0,"",MAX(L18,R18,X18,AD18,AJ18))</f>
        <v/>
      </c>
      <c r="AP18" s="153">
        <f>IF(OR($AK18="",$AO18="",$AO18=0),"",($AO18-$AK18)/$AO18)</f>
        <v/>
      </c>
      <c r="AQ18" s="154">
        <f>IF($AK18="","",IF(L18=$AK18,$K18,IF(R18=$AK18,$Q18,IF(X18=$AK18,$W18,IF(AD18=$AK18,$AC18,IF(AJ18=$AK18,$AI18,""))))))</f>
        <v/>
      </c>
      <c r="AS18" s="142">
        <f>'02 Lists'!$A$18&amp;""</f>
        <v/>
      </c>
      <c r="AT18" s="142">
        <f>'03 Suppliers'!$B$18&amp;""</f>
        <v/>
      </c>
    </row>
    <row r="19" ht="15" customHeight="1" s="106">
      <c r="A19" s="134" t="inlineStr">
        <is>
          <t>PP-PACK-RETAIL-500G</t>
        </is>
      </c>
      <c r="B19" s="138" t="inlineStr">
        <is>
          <t>Retail</t>
        </is>
      </c>
      <c r="C19" s="113" t="inlineStr">
        <is>
          <t>Retail pasta pack 500 g + label</t>
        </is>
      </c>
      <c r="D19" s="139" t="inlineStr">
        <is>
          <t>ea</t>
        </is>
      </c>
      <c r="E19" s="146" t="n">
        <v>1</v>
      </c>
      <c r="F19" s="116" t="inlineStr">
        <is>
          <t>Phase 2 retail range</t>
        </is>
      </c>
      <c r="G19" s="140" t="n"/>
      <c r="H19" s="147" t="n"/>
      <c r="I19" s="141" t="n"/>
      <c r="J19" s="148" t="n"/>
      <c r="K19" s="149" t="n"/>
      <c r="L19" s="150">
        <f>IF(OR($J19="",$H19="",$H19=0),"",$J19/(1+IF(IFERROR(INDEX('03 Suppliers'!$N$5:$N$34,MATCH($G19,'03 Suppliers'!$B$5:$B$34,0)),"Excl VAT")="Incl VAT",'01 Control'!$C$6,0))/($H19*IFERROR(VLOOKUP($I19,'02 Lists'!$A$5:$B$18,2,FALSE()),1)))</f>
        <v/>
      </c>
      <c r="M19" s="140" t="n"/>
      <c r="N19" s="147" t="n"/>
      <c r="O19" s="141" t="n"/>
      <c r="P19" s="148" t="n"/>
      <c r="Q19" s="149" t="n"/>
      <c r="R19" s="150">
        <f>IF(OR($P19="",$N19="",$N19=0),"",$P19/(1+IF(IFERROR(INDEX('03 Suppliers'!$N$5:$N$34,MATCH($M19,'03 Suppliers'!$B$5:$B$34,0)),"Excl VAT")="Incl VAT",'01 Control'!$C$6,0))/($N19*IFERROR(VLOOKUP($O19,'02 Lists'!$A$5:$B$18,2,FALSE()),1)))</f>
        <v/>
      </c>
      <c r="S19" s="140" t="n"/>
      <c r="T19" s="147" t="n"/>
      <c r="U19" s="141" t="n"/>
      <c r="V19" s="148" t="n"/>
      <c r="W19" s="149" t="n"/>
      <c r="X19" s="150">
        <f>IF(OR($V19="",$T19="",$T19=0),"",$V19/(1+IF(IFERROR(INDEX('03 Suppliers'!$N$5:$N$34,MATCH($S19,'03 Suppliers'!$B$5:$B$34,0)),"Excl VAT")="Incl VAT",'01 Control'!$C$6,0))/($T19*IFERROR(VLOOKUP($U19,'02 Lists'!$A$5:$B$18,2,FALSE()),1)))</f>
        <v/>
      </c>
      <c r="Y19" s="140" t="n"/>
      <c r="Z19" s="147" t="n"/>
      <c r="AA19" s="141" t="n"/>
      <c r="AB19" s="148" t="n"/>
      <c r="AC19" s="149" t="n"/>
      <c r="AD19" s="150">
        <f>IF(OR($AB19="",$Z19="",$Z19=0),"",$AB19/(1+IF(IFERROR(INDEX('03 Suppliers'!$N$5:$N$34,MATCH($Y19,'03 Suppliers'!$B$5:$B$34,0)),"Excl VAT")="Incl VAT",'01 Control'!$C$6,0))/($Z19*IFERROR(VLOOKUP($AA19,'02 Lists'!$A$5:$B$18,2,FALSE()),1)))</f>
        <v/>
      </c>
      <c r="AE19" s="140" t="n"/>
      <c r="AF19" s="147" t="n"/>
      <c r="AG19" s="141" t="n"/>
      <c r="AH19" s="148" t="n"/>
      <c r="AI19" s="149" t="n"/>
      <c r="AJ19" s="150">
        <f>IF(OR($AH19="",$AF19="",$AF19=0),"",$AH19/(1+IF(IFERROR(INDEX('03 Suppliers'!$N$5:$N$34,MATCH($AE19,'03 Suppliers'!$B$5:$B$34,0)),"Excl VAT")="Incl VAT",'01 Control'!$C$6,0))/($AF19*IFERROR(VLOOKUP($AG19,'02 Lists'!$A$5:$B$18,2,FALSE()),1)))</f>
        <v/>
      </c>
      <c r="AK19" s="151">
        <f>IF(COUNT(L19,R19,X19,AD19,AJ19)=0,"",MIN(L19,R19,X19,AD19,AJ19))</f>
        <v/>
      </c>
      <c r="AL19" s="126">
        <f>IF($AK19="","",IF(L19=$AK19,$G19,IF(R19=$AK19,$M19,IF(X19=$AK19,$S19,IF(AD19=$AK19,$Y19,IF(AJ19=$AK19,$AE19,""))))))</f>
        <v/>
      </c>
      <c r="AM19" s="151">
        <f>IF($AK19="","",$AK19/IF($E19="",1,$E19))</f>
        <v/>
      </c>
      <c r="AN19" s="152">
        <f>COUNT(L19,R19,X19,AD19,AJ19)</f>
        <v/>
      </c>
      <c r="AO19" s="150">
        <f>IF(COUNT(L19,R19,X19,AD19,AJ19)=0,"",MAX(L19,R19,X19,AD19,AJ19))</f>
        <v/>
      </c>
      <c r="AP19" s="153">
        <f>IF(OR($AK19="",$AO19="",$AO19=0),"",($AO19-$AK19)/$AO19)</f>
        <v/>
      </c>
      <c r="AQ19" s="154">
        <f>IF($AK19="","",IF(L19=$AK19,$K19,IF(R19=$AK19,$Q19,IF(X19=$AK19,$W19,IF(AD19=$AK19,$AC19,IF(AJ19=$AK19,$AI19,""))))))</f>
        <v/>
      </c>
      <c r="AS19" s="142">
        <f>'02 Lists'!$A$19&amp;""</f>
        <v/>
      </c>
      <c r="AT19" s="142">
        <f>'03 Suppliers'!$B$19&amp;""</f>
        <v/>
      </c>
    </row>
    <row r="20" ht="15" customHeight="1" s="106">
      <c r="A20" s="134" t="inlineStr">
        <is>
          <t>PP-PACK-CUP-SLUSH</t>
        </is>
      </c>
      <c r="B20" s="138" t="inlineStr">
        <is>
          <t>Beverage</t>
        </is>
      </c>
      <c r="C20" s="113" t="inlineStr">
        <is>
          <t>Slushee cup 400 ml</t>
        </is>
      </c>
      <c r="D20" s="139" t="inlineStr">
        <is>
          <t>ea</t>
        </is>
      </c>
      <c r="E20" s="146" t="n">
        <v>1</v>
      </c>
      <c r="F20" s="116" t="inlineStr">
        <is>
          <t>Fuel Bar</t>
        </is>
      </c>
      <c r="G20" s="140" t="n"/>
      <c r="H20" s="147" t="n"/>
      <c r="I20" s="141" t="n"/>
      <c r="J20" s="148" t="n"/>
      <c r="K20" s="149" t="n"/>
      <c r="L20" s="150">
        <f>IF(OR($J20="",$H20="",$H20=0),"",$J20/(1+IF(IFERROR(INDEX('03 Suppliers'!$N$5:$N$34,MATCH($G20,'03 Suppliers'!$B$5:$B$34,0)),"Excl VAT")="Incl VAT",'01 Control'!$C$6,0))/($H20*IFERROR(VLOOKUP($I20,'02 Lists'!$A$5:$B$18,2,FALSE()),1)))</f>
        <v/>
      </c>
      <c r="M20" s="140" t="n"/>
      <c r="N20" s="147" t="n"/>
      <c r="O20" s="141" t="n"/>
      <c r="P20" s="148" t="n"/>
      <c r="Q20" s="149" t="n"/>
      <c r="R20" s="150">
        <f>IF(OR($P20="",$N20="",$N20=0),"",$P20/(1+IF(IFERROR(INDEX('03 Suppliers'!$N$5:$N$34,MATCH($M20,'03 Suppliers'!$B$5:$B$34,0)),"Excl VAT")="Incl VAT",'01 Control'!$C$6,0))/($N20*IFERROR(VLOOKUP($O20,'02 Lists'!$A$5:$B$18,2,FALSE()),1)))</f>
        <v/>
      </c>
      <c r="S20" s="140" t="n"/>
      <c r="T20" s="147" t="n"/>
      <c r="U20" s="141" t="n"/>
      <c r="V20" s="148" t="n"/>
      <c r="W20" s="149" t="n"/>
      <c r="X20" s="150">
        <f>IF(OR($V20="",$T20="",$T20=0),"",$V20/(1+IF(IFERROR(INDEX('03 Suppliers'!$N$5:$N$34,MATCH($S20,'03 Suppliers'!$B$5:$B$34,0)),"Excl VAT")="Incl VAT",'01 Control'!$C$6,0))/($T20*IFERROR(VLOOKUP($U20,'02 Lists'!$A$5:$B$18,2,FALSE()),1)))</f>
        <v/>
      </c>
      <c r="Y20" s="140" t="n"/>
      <c r="Z20" s="147" t="n"/>
      <c r="AA20" s="141" t="n"/>
      <c r="AB20" s="148" t="n"/>
      <c r="AC20" s="149" t="n"/>
      <c r="AD20" s="150">
        <f>IF(OR($AB20="",$Z20="",$Z20=0),"",$AB20/(1+IF(IFERROR(INDEX('03 Suppliers'!$N$5:$N$34,MATCH($Y20,'03 Suppliers'!$B$5:$B$34,0)),"Excl VAT")="Incl VAT",'01 Control'!$C$6,0))/($Z20*IFERROR(VLOOKUP($AA20,'02 Lists'!$A$5:$B$18,2,FALSE()),1)))</f>
        <v/>
      </c>
      <c r="AE20" s="140" t="n"/>
      <c r="AF20" s="147" t="n"/>
      <c r="AG20" s="141" t="n"/>
      <c r="AH20" s="148" t="n"/>
      <c r="AI20" s="149" t="n"/>
      <c r="AJ20" s="150">
        <f>IF(OR($AH20="",$AF20="",$AF20=0),"",$AH20/(1+IF(IFERROR(INDEX('03 Suppliers'!$N$5:$N$34,MATCH($AE20,'03 Suppliers'!$B$5:$B$34,0)),"Excl VAT")="Incl VAT",'01 Control'!$C$6,0))/($AF20*IFERROR(VLOOKUP($AG20,'02 Lists'!$A$5:$B$18,2,FALSE()),1)))</f>
        <v/>
      </c>
      <c r="AK20" s="151">
        <f>IF(COUNT(L20,R20,X20,AD20,AJ20)=0,"",MIN(L20,R20,X20,AD20,AJ20))</f>
        <v/>
      </c>
      <c r="AL20" s="126">
        <f>IF($AK20="","",IF(L20=$AK20,$G20,IF(R20=$AK20,$M20,IF(X20=$AK20,$S20,IF(AD20=$AK20,$Y20,IF(AJ20=$AK20,$AE20,""))))))</f>
        <v/>
      </c>
      <c r="AM20" s="151">
        <f>IF($AK20="","",$AK20/IF($E20="",1,$E20))</f>
        <v/>
      </c>
      <c r="AN20" s="152">
        <f>COUNT(L20,R20,X20,AD20,AJ20)</f>
        <v/>
      </c>
      <c r="AO20" s="150">
        <f>IF(COUNT(L20,R20,X20,AD20,AJ20)=0,"",MAX(L20,R20,X20,AD20,AJ20))</f>
        <v/>
      </c>
      <c r="AP20" s="153">
        <f>IF(OR($AK20="",$AO20="",$AO20=0),"",($AO20-$AK20)/$AO20)</f>
        <v/>
      </c>
      <c r="AQ20" s="154">
        <f>IF($AK20="","",IF(L20=$AK20,$K20,IF(R20=$AK20,$Q20,IF(X20=$AK20,$W20,IF(AD20=$AK20,$AC20,IF(AJ20=$AK20,$AI20,""))))))</f>
        <v/>
      </c>
      <c r="AS20" s="142">
        <f>'02 Lists'!$A$20&amp;""</f>
        <v/>
      </c>
      <c r="AT20" s="142">
        <f>'03 Suppliers'!$B$20&amp;""</f>
        <v/>
      </c>
    </row>
    <row r="21" ht="15" customHeight="1" s="106">
      <c r="A21" s="134" t="inlineStr">
        <is>
          <t>PP-PACK-LID-DOME</t>
        </is>
      </c>
      <c r="B21" s="138" t="inlineStr">
        <is>
          <t>Beverage</t>
        </is>
      </c>
      <c r="C21" s="113" t="inlineStr">
        <is>
          <t>Dome lid for slushee cup</t>
        </is>
      </c>
      <c r="D21" s="139" t="inlineStr">
        <is>
          <t>ea</t>
        </is>
      </c>
      <c r="E21" s="146" t="n">
        <v>1</v>
      </c>
      <c r="F21" s="116" t="n"/>
      <c r="G21" s="140" t="n"/>
      <c r="H21" s="147" t="n"/>
      <c r="I21" s="141" t="n"/>
      <c r="J21" s="148" t="n"/>
      <c r="K21" s="149" t="n"/>
      <c r="L21" s="150">
        <f>IF(OR($J21="",$H21="",$H21=0),"",$J21/(1+IF(IFERROR(INDEX('03 Suppliers'!$N$5:$N$34,MATCH($G21,'03 Suppliers'!$B$5:$B$34,0)),"Excl VAT")="Incl VAT",'01 Control'!$C$6,0))/($H21*IFERROR(VLOOKUP($I21,'02 Lists'!$A$5:$B$18,2,FALSE()),1)))</f>
        <v/>
      </c>
      <c r="M21" s="140" t="n"/>
      <c r="N21" s="147" t="n"/>
      <c r="O21" s="141" t="n"/>
      <c r="P21" s="148" t="n"/>
      <c r="Q21" s="149" t="n"/>
      <c r="R21" s="150">
        <f>IF(OR($P21="",$N21="",$N21=0),"",$P21/(1+IF(IFERROR(INDEX('03 Suppliers'!$N$5:$N$34,MATCH($M21,'03 Suppliers'!$B$5:$B$34,0)),"Excl VAT")="Incl VAT",'01 Control'!$C$6,0))/($N21*IFERROR(VLOOKUP($O21,'02 Lists'!$A$5:$B$18,2,FALSE()),1)))</f>
        <v/>
      </c>
      <c r="S21" s="140" t="n"/>
      <c r="T21" s="147" t="n"/>
      <c r="U21" s="141" t="n"/>
      <c r="V21" s="148" t="n"/>
      <c r="W21" s="149" t="n"/>
      <c r="X21" s="150">
        <f>IF(OR($V21="",$T21="",$T21=0),"",$V21/(1+IF(IFERROR(INDEX('03 Suppliers'!$N$5:$N$34,MATCH($S21,'03 Suppliers'!$B$5:$B$34,0)),"Excl VAT")="Incl VAT",'01 Control'!$C$6,0))/($T21*IFERROR(VLOOKUP($U21,'02 Lists'!$A$5:$B$18,2,FALSE()),1)))</f>
        <v/>
      </c>
      <c r="Y21" s="140" t="n"/>
      <c r="Z21" s="147" t="n"/>
      <c r="AA21" s="141" t="n"/>
      <c r="AB21" s="148" t="n"/>
      <c r="AC21" s="149" t="n"/>
      <c r="AD21" s="150">
        <f>IF(OR($AB21="",$Z21="",$Z21=0),"",$AB21/(1+IF(IFERROR(INDEX('03 Suppliers'!$N$5:$N$34,MATCH($Y21,'03 Suppliers'!$B$5:$B$34,0)),"Excl VAT")="Incl VAT",'01 Control'!$C$6,0))/($Z21*IFERROR(VLOOKUP($AA21,'02 Lists'!$A$5:$B$18,2,FALSE()),1)))</f>
        <v/>
      </c>
      <c r="AE21" s="140" t="n"/>
      <c r="AF21" s="147" t="n"/>
      <c r="AG21" s="141" t="n"/>
      <c r="AH21" s="148" t="n"/>
      <c r="AI21" s="149" t="n"/>
      <c r="AJ21" s="150">
        <f>IF(OR($AH21="",$AF21="",$AF21=0),"",$AH21/(1+IF(IFERROR(INDEX('03 Suppliers'!$N$5:$N$34,MATCH($AE21,'03 Suppliers'!$B$5:$B$34,0)),"Excl VAT")="Incl VAT",'01 Control'!$C$6,0))/($AF21*IFERROR(VLOOKUP($AG21,'02 Lists'!$A$5:$B$18,2,FALSE()),1)))</f>
        <v/>
      </c>
      <c r="AK21" s="151">
        <f>IF(COUNT(L21,R21,X21,AD21,AJ21)=0,"",MIN(L21,R21,X21,AD21,AJ21))</f>
        <v/>
      </c>
      <c r="AL21" s="126">
        <f>IF($AK21="","",IF(L21=$AK21,$G21,IF(R21=$AK21,$M21,IF(X21=$AK21,$S21,IF(AD21=$AK21,$Y21,IF(AJ21=$AK21,$AE21,""))))))</f>
        <v/>
      </c>
      <c r="AM21" s="151">
        <f>IF($AK21="","",$AK21/IF($E21="",1,$E21))</f>
        <v/>
      </c>
      <c r="AN21" s="152">
        <f>COUNT(L21,R21,X21,AD21,AJ21)</f>
        <v/>
      </c>
      <c r="AO21" s="150">
        <f>IF(COUNT(L21,R21,X21,AD21,AJ21)=0,"",MAX(L21,R21,X21,AD21,AJ21))</f>
        <v/>
      </c>
      <c r="AP21" s="153">
        <f>IF(OR($AK21="",$AO21="",$AO21=0),"",($AO21-$AK21)/$AO21)</f>
        <v/>
      </c>
      <c r="AQ21" s="154">
        <f>IF($AK21="","",IF(L21=$AK21,$K21,IF(R21=$AK21,$Q21,IF(X21=$AK21,$W21,IF(AD21=$AK21,$AC21,IF(AJ21=$AK21,$AI21,""))))))</f>
        <v/>
      </c>
      <c r="AS21" s="142">
        <f>'02 Lists'!$A$21&amp;""</f>
        <v/>
      </c>
      <c r="AT21" s="142">
        <f>'03 Suppliers'!$B$21&amp;""</f>
        <v/>
      </c>
    </row>
    <row r="22" ht="15" customHeight="1" s="106">
      <c r="A22" s="134" t="inlineStr">
        <is>
          <t>PP-PACK-STRAW</t>
        </is>
      </c>
      <c r="B22" s="138" t="inlineStr">
        <is>
          <t>Beverage</t>
        </is>
      </c>
      <c r="C22" s="113" t="inlineStr">
        <is>
          <t>Straw, paper / compostable</t>
        </is>
      </c>
      <c r="D22" s="139" t="inlineStr">
        <is>
          <t>ea</t>
        </is>
      </c>
      <c r="E22" s="146" t="n">
        <v>1</v>
      </c>
      <c r="F22" s="116" t="n"/>
      <c r="G22" s="140" t="n"/>
      <c r="H22" s="147" t="n"/>
      <c r="I22" s="141" t="n"/>
      <c r="J22" s="148" t="n"/>
      <c r="K22" s="149" t="n"/>
      <c r="L22" s="150">
        <f>IF(OR($J22="",$H22="",$H22=0),"",$J22/(1+IF(IFERROR(INDEX('03 Suppliers'!$N$5:$N$34,MATCH($G22,'03 Suppliers'!$B$5:$B$34,0)),"Excl VAT")="Incl VAT",'01 Control'!$C$6,0))/($H22*IFERROR(VLOOKUP($I22,'02 Lists'!$A$5:$B$18,2,FALSE()),1)))</f>
        <v/>
      </c>
      <c r="M22" s="140" t="n"/>
      <c r="N22" s="147" t="n"/>
      <c r="O22" s="141" t="n"/>
      <c r="P22" s="148" t="n"/>
      <c r="Q22" s="149" t="n"/>
      <c r="R22" s="150">
        <f>IF(OR($P22="",$N22="",$N22=0),"",$P22/(1+IF(IFERROR(INDEX('03 Suppliers'!$N$5:$N$34,MATCH($M22,'03 Suppliers'!$B$5:$B$34,0)),"Excl VAT")="Incl VAT",'01 Control'!$C$6,0))/($N22*IFERROR(VLOOKUP($O22,'02 Lists'!$A$5:$B$18,2,FALSE()),1)))</f>
        <v/>
      </c>
      <c r="S22" s="140" t="n"/>
      <c r="T22" s="147" t="n"/>
      <c r="U22" s="141" t="n"/>
      <c r="V22" s="148" t="n"/>
      <c r="W22" s="149" t="n"/>
      <c r="X22" s="150">
        <f>IF(OR($V22="",$T22="",$T22=0),"",$V22/(1+IF(IFERROR(INDEX('03 Suppliers'!$N$5:$N$34,MATCH($S22,'03 Suppliers'!$B$5:$B$34,0)),"Excl VAT")="Incl VAT",'01 Control'!$C$6,0))/($T22*IFERROR(VLOOKUP($U22,'02 Lists'!$A$5:$B$18,2,FALSE()),1)))</f>
        <v/>
      </c>
      <c r="Y22" s="140" t="n"/>
      <c r="Z22" s="147" t="n"/>
      <c r="AA22" s="141" t="n"/>
      <c r="AB22" s="148" t="n"/>
      <c r="AC22" s="149" t="n"/>
      <c r="AD22" s="150">
        <f>IF(OR($AB22="",$Z22="",$Z22=0),"",$AB22/(1+IF(IFERROR(INDEX('03 Suppliers'!$N$5:$N$34,MATCH($Y22,'03 Suppliers'!$B$5:$B$34,0)),"Excl VAT")="Incl VAT",'01 Control'!$C$6,0))/($Z22*IFERROR(VLOOKUP($AA22,'02 Lists'!$A$5:$B$18,2,FALSE()),1)))</f>
        <v/>
      </c>
      <c r="AE22" s="140" t="n"/>
      <c r="AF22" s="147" t="n"/>
      <c r="AG22" s="141" t="n"/>
      <c r="AH22" s="148" t="n"/>
      <c r="AI22" s="149" t="n"/>
      <c r="AJ22" s="150">
        <f>IF(OR($AH22="",$AF22="",$AF22=0),"",$AH22/(1+IF(IFERROR(INDEX('03 Suppliers'!$N$5:$N$34,MATCH($AE22,'03 Suppliers'!$B$5:$B$34,0)),"Excl VAT")="Incl VAT",'01 Control'!$C$6,0))/($AF22*IFERROR(VLOOKUP($AG22,'02 Lists'!$A$5:$B$18,2,FALSE()),1)))</f>
        <v/>
      </c>
      <c r="AK22" s="151">
        <f>IF(COUNT(L22,R22,X22,AD22,AJ22)=0,"",MIN(L22,R22,X22,AD22,AJ22))</f>
        <v/>
      </c>
      <c r="AL22" s="126">
        <f>IF($AK22="","",IF(L22=$AK22,$G22,IF(R22=$AK22,$M22,IF(X22=$AK22,$S22,IF(AD22=$AK22,$Y22,IF(AJ22=$AK22,$AE22,""))))))</f>
        <v/>
      </c>
      <c r="AM22" s="151">
        <f>IF($AK22="","",$AK22/IF($E22="",1,$E22))</f>
        <v/>
      </c>
      <c r="AN22" s="152">
        <f>COUNT(L22,R22,X22,AD22,AJ22)</f>
        <v/>
      </c>
      <c r="AO22" s="150">
        <f>IF(COUNT(L22,R22,X22,AD22,AJ22)=0,"",MAX(L22,R22,X22,AD22,AJ22))</f>
        <v/>
      </c>
      <c r="AP22" s="153">
        <f>IF(OR($AK22="",$AO22="",$AO22=0),"",($AO22-$AK22)/$AO22)</f>
        <v/>
      </c>
      <c r="AQ22" s="154">
        <f>IF($AK22="","",IF(L22=$AK22,$K22,IF(R22=$AK22,$Q22,IF(X22=$AK22,$W22,IF(AD22=$AK22,$AC22,IF(AJ22=$AK22,$AI22,""))))))</f>
        <v/>
      </c>
      <c r="AT22" s="142">
        <f>'03 Suppliers'!$B$22&amp;""</f>
        <v/>
      </c>
    </row>
    <row r="23" ht="15" customHeight="1" s="106">
      <c r="A23" s="134" t="inlineStr">
        <is>
          <t>PP-PACK-CUP-SODA</t>
        </is>
      </c>
      <c r="B23" s="138" t="inlineStr">
        <is>
          <t>Beverage</t>
        </is>
      </c>
      <c r="C23" s="113" t="inlineStr">
        <is>
          <t>Soda cup 400 ml + flat lid</t>
        </is>
      </c>
      <c r="D23" s="139" t="inlineStr">
        <is>
          <t>ea</t>
        </is>
      </c>
      <c r="E23" s="146" t="n">
        <v>1</v>
      </c>
      <c r="F23" s="116" t="inlineStr">
        <is>
          <t>Post-mix</t>
        </is>
      </c>
      <c r="G23" s="140" t="n"/>
      <c r="H23" s="147" t="n"/>
      <c r="I23" s="141" t="n"/>
      <c r="J23" s="148" t="n"/>
      <c r="K23" s="149" t="n"/>
      <c r="L23" s="150">
        <f>IF(OR($J23="",$H23="",$H23=0),"",$J23/(1+IF(IFERROR(INDEX('03 Suppliers'!$N$5:$N$34,MATCH($G23,'03 Suppliers'!$B$5:$B$34,0)),"Excl VAT")="Incl VAT",'01 Control'!$C$6,0))/($H23*IFERROR(VLOOKUP($I23,'02 Lists'!$A$5:$B$18,2,FALSE()),1)))</f>
        <v/>
      </c>
      <c r="M23" s="140" t="n"/>
      <c r="N23" s="147" t="n"/>
      <c r="O23" s="141" t="n"/>
      <c r="P23" s="148" t="n"/>
      <c r="Q23" s="149" t="n"/>
      <c r="R23" s="150">
        <f>IF(OR($P23="",$N23="",$N23=0),"",$P23/(1+IF(IFERROR(INDEX('03 Suppliers'!$N$5:$N$34,MATCH($M23,'03 Suppliers'!$B$5:$B$34,0)),"Excl VAT")="Incl VAT",'01 Control'!$C$6,0))/($N23*IFERROR(VLOOKUP($O23,'02 Lists'!$A$5:$B$18,2,FALSE()),1)))</f>
        <v/>
      </c>
      <c r="S23" s="140" t="n"/>
      <c r="T23" s="147" t="n"/>
      <c r="U23" s="141" t="n"/>
      <c r="V23" s="148" t="n"/>
      <c r="W23" s="149" t="n"/>
      <c r="X23" s="150">
        <f>IF(OR($V23="",$T23="",$T23=0),"",$V23/(1+IF(IFERROR(INDEX('03 Suppliers'!$N$5:$N$34,MATCH($S23,'03 Suppliers'!$B$5:$B$34,0)),"Excl VAT")="Incl VAT",'01 Control'!$C$6,0))/($T23*IFERROR(VLOOKUP($U23,'02 Lists'!$A$5:$B$18,2,FALSE()),1)))</f>
        <v/>
      </c>
      <c r="Y23" s="140" t="n"/>
      <c r="Z23" s="147" t="n"/>
      <c r="AA23" s="141" t="n"/>
      <c r="AB23" s="148" t="n"/>
      <c r="AC23" s="149" t="n"/>
      <c r="AD23" s="150">
        <f>IF(OR($AB23="",$Z23="",$Z23=0),"",$AB23/(1+IF(IFERROR(INDEX('03 Suppliers'!$N$5:$N$34,MATCH($Y23,'03 Suppliers'!$B$5:$B$34,0)),"Excl VAT")="Incl VAT",'01 Control'!$C$6,0))/($Z23*IFERROR(VLOOKUP($AA23,'02 Lists'!$A$5:$B$18,2,FALSE()),1)))</f>
        <v/>
      </c>
      <c r="AE23" s="140" t="n"/>
      <c r="AF23" s="147" t="n"/>
      <c r="AG23" s="141" t="n"/>
      <c r="AH23" s="148" t="n"/>
      <c r="AI23" s="149" t="n"/>
      <c r="AJ23" s="150">
        <f>IF(OR($AH23="",$AF23="",$AF23=0),"",$AH23/(1+IF(IFERROR(INDEX('03 Suppliers'!$N$5:$N$34,MATCH($AE23,'03 Suppliers'!$B$5:$B$34,0)),"Excl VAT")="Incl VAT",'01 Control'!$C$6,0))/($AF23*IFERROR(VLOOKUP($AG23,'02 Lists'!$A$5:$B$18,2,FALSE()),1)))</f>
        <v/>
      </c>
      <c r="AK23" s="151">
        <f>IF(COUNT(L23,R23,X23,AD23,AJ23)=0,"",MIN(L23,R23,X23,AD23,AJ23))</f>
        <v/>
      </c>
      <c r="AL23" s="126">
        <f>IF($AK23="","",IF(L23=$AK23,$G23,IF(R23=$AK23,$M23,IF(X23=$AK23,$S23,IF(AD23=$AK23,$Y23,IF(AJ23=$AK23,$AE23,""))))))</f>
        <v/>
      </c>
      <c r="AM23" s="151">
        <f>IF($AK23="","",$AK23/IF($E23="",1,$E23))</f>
        <v/>
      </c>
      <c r="AN23" s="152">
        <f>COUNT(L23,R23,X23,AD23,AJ23)</f>
        <v/>
      </c>
      <c r="AO23" s="150">
        <f>IF(COUNT(L23,R23,X23,AD23,AJ23)=0,"",MAX(L23,R23,X23,AD23,AJ23))</f>
        <v/>
      </c>
      <c r="AP23" s="153">
        <f>IF(OR($AK23="",$AO23="",$AO23=0),"",($AO23-$AK23)/$AO23)</f>
        <v/>
      </c>
      <c r="AQ23" s="154">
        <f>IF($AK23="","",IF(L23=$AK23,$K23,IF(R23=$AK23,$Q23,IF(X23=$AK23,$W23,IF(AD23=$AK23,$AC23,IF(AJ23=$AK23,$AI23,""))))))</f>
        <v/>
      </c>
      <c r="AT23" s="142">
        <f>'03 Suppliers'!$B$23&amp;""</f>
        <v/>
      </c>
    </row>
    <row r="24" ht="15" customHeight="1" s="106">
      <c r="A24" s="134" t="inlineStr">
        <is>
          <t>PP-PACK-CUP-SLUSH-LG</t>
        </is>
      </c>
      <c r="B24" s="138" t="inlineStr">
        <is>
          <t>Beverage</t>
        </is>
      </c>
      <c r="C24" s="113" t="inlineStr">
        <is>
          <t>Slushee cup 600 ml (large)</t>
        </is>
      </c>
      <c r="D24" s="139" t="inlineStr">
        <is>
          <t>ea</t>
        </is>
      </c>
      <c r="E24" s="146" t="n">
        <v>1</v>
      </c>
      <c r="F24" s="116" t="inlineStr">
        <is>
          <t>Large upsize - the highest-margin click on the menu</t>
        </is>
      </c>
      <c r="G24" s="140" t="n"/>
      <c r="H24" s="147" t="n"/>
      <c r="I24" s="141" t="n"/>
      <c r="J24" s="148" t="n"/>
      <c r="K24" s="149" t="n"/>
      <c r="L24" s="150">
        <f>IF(OR($J24="",$H24="",$H24=0),"",$J24/(1+IF(IFERROR(INDEX('03 Suppliers'!$N$5:$N$34,MATCH($G24,'03 Suppliers'!$B$5:$B$34,0)),"Excl VAT")="Incl VAT",'01 Control'!$C$6,0))/($H24*IFERROR(VLOOKUP($I24,'02 Lists'!$A$5:$B$18,2,FALSE()),1)))</f>
        <v/>
      </c>
      <c r="M24" s="140" t="n"/>
      <c r="N24" s="147" t="n"/>
      <c r="O24" s="141" t="n"/>
      <c r="P24" s="148" t="n"/>
      <c r="Q24" s="149" t="n"/>
      <c r="R24" s="150">
        <f>IF(OR($P24="",$N24="",$N24=0),"",$P24/(1+IF(IFERROR(INDEX('03 Suppliers'!$N$5:$N$34,MATCH($M24,'03 Suppliers'!$B$5:$B$34,0)),"Excl VAT")="Incl VAT",'01 Control'!$C$6,0))/($N24*IFERROR(VLOOKUP($O24,'02 Lists'!$A$5:$B$18,2,FALSE()),1)))</f>
        <v/>
      </c>
      <c r="S24" s="140" t="n"/>
      <c r="T24" s="147" t="n"/>
      <c r="U24" s="141" t="n"/>
      <c r="V24" s="148" t="n"/>
      <c r="W24" s="149" t="n"/>
      <c r="X24" s="150">
        <f>IF(OR($V24="",$T24="",$T24=0),"",$V24/(1+IF(IFERROR(INDEX('03 Suppliers'!$N$5:$N$34,MATCH($S24,'03 Suppliers'!$B$5:$B$34,0)),"Excl VAT")="Incl VAT",'01 Control'!$C$6,0))/($T24*IFERROR(VLOOKUP($U24,'02 Lists'!$A$5:$B$18,2,FALSE()),1)))</f>
        <v/>
      </c>
      <c r="Y24" s="140" t="n"/>
      <c r="Z24" s="147" t="n"/>
      <c r="AA24" s="141" t="n"/>
      <c r="AB24" s="148" t="n"/>
      <c r="AC24" s="149" t="n"/>
      <c r="AD24" s="150">
        <f>IF(OR($AB24="",$Z24="",$Z24=0),"",$AB24/(1+IF(IFERROR(INDEX('03 Suppliers'!$N$5:$N$34,MATCH($Y24,'03 Suppliers'!$B$5:$B$34,0)),"Excl VAT")="Incl VAT",'01 Control'!$C$6,0))/($Z24*IFERROR(VLOOKUP($AA24,'02 Lists'!$A$5:$B$18,2,FALSE()),1)))</f>
        <v/>
      </c>
      <c r="AE24" s="140" t="n"/>
      <c r="AF24" s="147" t="n"/>
      <c r="AG24" s="141" t="n"/>
      <c r="AH24" s="148" t="n"/>
      <c r="AI24" s="149" t="n"/>
      <c r="AJ24" s="150">
        <f>IF(OR($AH24="",$AF24="",$AF24=0),"",$AH24/(1+IF(IFERROR(INDEX('03 Suppliers'!$N$5:$N$34,MATCH($AE24,'03 Suppliers'!$B$5:$B$34,0)),"Excl VAT")="Incl VAT",'01 Control'!$C$6,0))/($AF24*IFERROR(VLOOKUP($AG24,'02 Lists'!$A$5:$B$18,2,FALSE()),1)))</f>
        <v/>
      </c>
      <c r="AK24" s="151">
        <f>IF(COUNT(L24,R24,X24,AD24,AJ24)=0,"",MIN(L24,R24,X24,AD24,AJ24))</f>
        <v/>
      </c>
      <c r="AL24" s="126">
        <f>IF($AK24="","",IF(L24=$AK24,$G24,IF(R24=$AK24,$M24,IF(X24=$AK24,$S24,IF(AD24=$AK24,$Y24,IF(AJ24=$AK24,$AE24,""))))))</f>
        <v/>
      </c>
      <c r="AM24" s="151">
        <f>IF($AK24="","",$AK24/IF($E24="",1,$E24))</f>
        <v/>
      </c>
      <c r="AN24" s="152">
        <f>COUNT(L24,R24,X24,AD24,AJ24)</f>
        <v/>
      </c>
      <c r="AO24" s="150">
        <f>IF(COUNT(L24,R24,X24,AD24,AJ24)=0,"",MAX(L24,R24,X24,AD24,AJ24))</f>
        <v/>
      </c>
      <c r="AP24" s="153">
        <f>IF(OR($AK24="",$AO24="",$AO24=0),"",($AO24-$AK24)/$AO24)</f>
        <v/>
      </c>
      <c r="AQ24" s="154">
        <f>IF($AK24="","",IF(L24=$AK24,$K24,IF(R24=$AK24,$Q24,IF(X24=$AK24,$W24,IF(AD24=$AK24,$AC24,IF(AJ24=$AK24,$AI24,""))))))</f>
        <v/>
      </c>
      <c r="AT24" s="142">
        <f>'03 Suppliers'!$B$24&amp;""</f>
        <v/>
      </c>
    </row>
    <row r="25" ht="15" customHeight="1" s="106">
      <c r="A25" s="134" t="inlineStr">
        <is>
          <t>PP-PACK-LID-DOME-LG</t>
        </is>
      </c>
      <c r="B25" s="138" t="inlineStr">
        <is>
          <t>Beverage</t>
        </is>
      </c>
      <c r="C25" s="113" t="inlineStr">
        <is>
          <t>Dome lid for 600 ml slushee cup</t>
        </is>
      </c>
      <c r="D25" s="139" t="inlineStr">
        <is>
          <t>ea</t>
        </is>
      </c>
      <c r="E25" s="146" t="n">
        <v>1</v>
      </c>
      <c r="F25" s="116" t="n"/>
      <c r="G25" s="140" t="n"/>
      <c r="H25" s="147" t="n"/>
      <c r="I25" s="141" t="n"/>
      <c r="J25" s="148" t="n"/>
      <c r="K25" s="149" t="n"/>
      <c r="L25" s="150">
        <f>IF(OR($J25="",$H25="",$H25=0),"",$J25/(1+IF(IFERROR(INDEX('03 Suppliers'!$N$5:$N$34,MATCH($G25,'03 Suppliers'!$B$5:$B$34,0)),"Excl VAT")="Incl VAT",'01 Control'!$C$6,0))/($H25*IFERROR(VLOOKUP($I25,'02 Lists'!$A$5:$B$18,2,FALSE()),1)))</f>
        <v/>
      </c>
      <c r="M25" s="140" t="n"/>
      <c r="N25" s="147" t="n"/>
      <c r="O25" s="141" t="n"/>
      <c r="P25" s="148" t="n"/>
      <c r="Q25" s="149" t="n"/>
      <c r="R25" s="150">
        <f>IF(OR($P25="",$N25="",$N25=0),"",$P25/(1+IF(IFERROR(INDEX('03 Suppliers'!$N$5:$N$34,MATCH($M25,'03 Suppliers'!$B$5:$B$34,0)),"Excl VAT")="Incl VAT",'01 Control'!$C$6,0))/($N25*IFERROR(VLOOKUP($O25,'02 Lists'!$A$5:$B$18,2,FALSE()),1)))</f>
        <v/>
      </c>
      <c r="S25" s="140" t="n"/>
      <c r="T25" s="147" t="n"/>
      <c r="U25" s="141" t="n"/>
      <c r="V25" s="148" t="n"/>
      <c r="W25" s="149" t="n"/>
      <c r="X25" s="150">
        <f>IF(OR($V25="",$T25="",$T25=0),"",$V25/(1+IF(IFERROR(INDEX('03 Suppliers'!$N$5:$N$34,MATCH($S25,'03 Suppliers'!$B$5:$B$34,0)),"Excl VAT")="Incl VAT",'01 Control'!$C$6,0))/($T25*IFERROR(VLOOKUP($U25,'02 Lists'!$A$5:$B$18,2,FALSE()),1)))</f>
        <v/>
      </c>
      <c r="Y25" s="140" t="n"/>
      <c r="Z25" s="147" t="n"/>
      <c r="AA25" s="141" t="n"/>
      <c r="AB25" s="148" t="n"/>
      <c r="AC25" s="149" t="n"/>
      <c r="AD25" s="150">
        <f>IF(OR($AB25="",$Z25="",$Z25=0),"",$AB25/(1+IF(IFERROR(INDEX('03 Suppliers'!$N$5:$N$34,MATCH($Y25,'03 Suppliers'!$B$5:$B$34,0)),"Excl VAT")="Incl VAT",'01 Control'!$C$6,0))/($Z25*IFERROR(VLOOKUP($AA25,'02 Lists'!$A$5:$B$18,2,FALSE()),1)))</f>
        <v/>
      </c>
      <c r="AE25" s="140" t="n"/>
      <c r="AF25" s="147" t="n"/>
      <c r="AG25" s="141" t="n"/>
      <c r="AH25" s="148" t="n"/>
      <c r="AI25" s="149" t="n"/>
      <c r="AJ25" s="150">
        <f>IF(OR($AH25="",$AF25="",$AF25=0),"",$AH25/(1+IF(IFERROR(INDEX('03 Suppliers'!$N$5:$N$34,MATCH($AE25,'03 Suppliers'!$B$5:$B$34,0)),"Excl VAT")="Incl VAT",'01 Control'!$C$6,0))/($AF25*IFERROR(VLOOKUP($AG25,'02 Lists'!$A$5:$B$18,2,FALSE()),1)))</f>
        <v/>
      </c>
      <c r="AK25" s="151">
        <f>IF(COUNT(L25,R25,X25,AD25,AJ25)=0,"",MIN(L25,R25,X25,AD25,AJ25))</f>
        <v/>
      </c>
      <c r="AL25" s="126">
        <f>IF($AK25="","",IF(L25=$AK25,$G25,IF(R25=$AK25,$M25,IF(X25=$AK25,$S25,IF(AD25=$AK25,$Y25,IF(AJ25=$AK25,$AE25,""))))))</f>
        <v/>
      </c>
      <c r="AM25" s="151">
        <f>IF($AK25="","",$AK25/IF($E25="",1,$E25))</f>
        <v/>
      </c>
      <c r="AN25" s="152">
        <f>COUNT(L25,R25,X25,AD25,AJ25)</f>
        <v/>
      </c>
      <c r="AO25" s="150">
        <f>IF(COUNT(L25,R25,X25,AD25,AJ25)=0,"",MAX(L25,R25,X25,AD25,AJ25))</f>
        <v/>
      </c>
      <c r="AP25" s="153">
        <f>IF(OR($AK25="",$AO25="",$AO25=0),"",($AO25-$AK25)/$AO25)</f>
        <v/>
      </c>
      <c r="AQ25" s="154">
        <f>IF($AK25="","",IF(L25=$AK25,$K25,IF(R25=$AK25,$Q25,IF(X25=$AK25,$W25,IF(AD25=$AK25,$AC25,IF(AJ25=$AK25,$AI25,""))))))</f>
        <v/>
      </c>
      <c r="AT25" s="142">
        <f>'03 Suppliers'!$B$25&amp;""</f>
        <v/>
      </c>
    </row>
    <row r="26" ht="15" customHeight="1" s="106">
      <c r="A26" s="140" t="n"/>
      <c r="B26" s="140" t="n"/>
      <c r="C26" s="140" t="n"/>
      <c r="D26" s="141" t="n"/>
      <c r="E26" s="146" t="n"/>
      <c r="F26" s="140" t="n"/>
      <c r="G26" s="140" t="n"/>
      <c r="H26" s="147" t="n"/>
      <c r="I26" s="141" t="n"/>
      <c r="J26" s="148" t="n"/>
      <c r="K26" s="149" t="n"/>
      <c r="L26" s="150">
        <f>IF(OR($J26="",$H26="",$H26=0),"",$J26/(1+IF(IFERROR(INDEX('03 Suppliers'!$N$5:$N$34,MATCH($G26,'03 Suppliers'!$B$5:$B$34,0)),"Excl VAT")="Incl VAT",'01 Control'!$C$6,0))/($H26*IFERROR(VLOOKUP($I26,'02 Lists'!$A$5:$B$18,2,FALSE()),1)))</f>
        <v/>
      </c>
      <c r="M26" s="140" t="n"/>
      <c r="N26" s="147" t="n"/>
      <c r="O26" s="141" t="n"/>
      <c r="P26" s="148" t="n"/>
      <c r="Q26" s="149" t="n"/>
      <c r="R26" s="150">
        <f>IF(OR($P26="",$N26="",$N26=0),"",$P26/(1+IF(IFERROR(INDEX('03 Suppliers'!$N$5:$N$34,MATCH($M26,'03 Suppliers'!$B$5:$B$34,0)),"Excl VAT")="Incl VAT",'01 Control'!$C$6,0))/($N26*IFERROR(VLOOKUP($O26,'02 Lists'!$A$5:$B$18,2,FALSE()),1)))</f>
        <v/>
      </c>
      <c r="S26" s="140" t="n"/>
      <c r="T26" s="147" t="n"/>
      <c r="U26" s="141" t="n"/>
      <c r="V26" s="148" t="n"/>
      <c r="W26" s="149" t="n"/>
      <c r="X26" s="150">
        <f>IF(OR($V26="",$T26="",$T26=0),"",$V26/(1+IF(IFERROR(INDEX('03 Suppliers'!$N$5:$N$34,MATCH($S26,'03 Suppliers'!$B$5:$B$34,0)),"Excl VAT")="Incl VAT",'01 Control'!$C$6,0))/($T26*IFERROR(VLOOKUP($U26,'02 Lists'!$A$5:$B$18,2,FALSE()),1)))</f>
        <v/>
      </c>
      <c r="Y26" s="140" t="n"/>
      <c r="Z26" s="147" t="n"/>
      <c r="AA26" s="141" t="n"/>
      <c r="AB26" s="148" t="n"/>
      <c r="AC26" s="149" t="n"/>
      <c r="AD26" s="150">
        <f>IF(OR($AB26="",$Z26="",$Z26=0),"",$AB26/(1+IF(IFERROR(INDEX('03 Suppliers'!$N$5:$N$34,MATCH($Y26,'03 Suppliers'!$B$5:$B$34,0)),"Excl VAT")="Incl VAT",'01 Control'!$C$6,0))/($Z26*IFERROR(VLOOKUP($AA26,'02 Lists'!$A$5:$B$18,2,FALSE()),1)))</f>
        <v/>
      </c>
      <c r="AE26" s="140" t="n"/>
      <c r="AF26" s="147" t="n"/>
      <c r="AG26" s="141" t="n"/>
      <c r="AH26" s="148" t="n"/>
      <c r="AI26" s="149" t="n"/>
      <c r="AJ26" s="150">
        <f>IF(OR($AH26="",$AF26="",$AF26=0),"",$AH26/(1+IF(IFERROR(INDEX('03 Suppliers'!$N$5:$N$34,MATCH($AE26,'03 Suppliers'!$B$5:$B$34,0)),"Excl VAT")="Incl VAT",'01 Control'!$C$6,0))/($AF26*IFERROR(VLOOKUP($AG26,'02 Lists'!$A$5:$B$18,2,FALSE()),1)))</f>
        <v/>
      </c>
      <c r="AK26" s="151">
        <f>IF(COUNT(L26,R26,X26,AD26,AJ26)=0,"",MIN(L26,R26,X26,AD26,AJ26))</f>
        <v/>
      </c>
      <c r="AL26" s="126">
        <f>IF($AK26="","",IF(L26=$AK26,$G26,IF(R26=$AK26,$M26,IF(X26=$AK26,$S26,IF(AD26=$AK26,$Y26,IF(AJ26=$AK26,$AE26,""))))))</f>
        <v/>
      </c>
      <c r="AM26" s="151">
        <f>IF($AK26="","",$AK26/IF($E26="",1,$E26))</f>
        <v/>
      </c>
      <c r="AN26" s="152">
        <f>COUNT(L26,R26,X26,AD26,AJ26)</f>
        <v/>
      </c>
      <c r="AO26" s="150">
        <f>IF(COUNT(L26,R26,X26,AD26,AJ26)=0,"",MAX(L26,R26,X26,AD26,AJ26))</f>
        <v/>
      </c>
      <c r="AP26" s="153">
        <f>IF(OR($AK26="",$AO26="",$AO26=0),"",($AO26-$AK26)/$AO26)</f>
        <v/>
      </c>
      <c r="AQ26" s="154">
        <f>IF($AK26="","",IF(L26=$AK26,$K26,IF(R26=$AK26,$Q26,IF(X26=$AK26,$W26,IF(AD26=$AK26,$AC26,IF(AJ26=$AK26,$AI26,""))))))</f>
        <v/>
      </c>
      <c r="AT26" s="142">
        <f>'03 Suppliers'!$B$26&amp;""</f>
        <v/>
      </c>
    </row>
    <row r="27" ht="15" customHeight="1" s="106">
      <c r="A27" s="140" t="n"/>
      <c r="B27" s="140" t="n"/>
      <c r="C27" s="140" t="n"/>
      <c r="D27" s="141" t="n"/>
      <c r="E27" s="146" t="n"/>
      <c r="F27" s="140" t="n"/>
      <c r="G27" s="140" t="n"/>
      <c r="H27" s="147" t="n"/>
      <c r="I27" s="141" t="n"/>
      <c r="J27" s="148" t="n"/>
      <c r="K27" s="149" t="n"/>
      <c r="L27" s="150">
        <f>IF(OR($J27="",$H27="",$H27=0),"",$J27/(1+IF(IFERROR(INDEX('03 Suppliers'!$N$5:$N$34,MATCH($G27,'03 Suppliers'!$B$5:$B$34,0)),"Excl VAT")="Incl VAT",'01 Control'!$C$6,0))/($H27*IFERROR(VLOOKUP($I27,'02 Lists'!$A$5:$B$18,2,FALSE()),1)))</f>
        <v/>
      </c>
      <c r="M27" s="140" t="n"/>
      <c r="N27" s="147" t="n"/>
      <c r="O27" s="141" t="n"/>
      <c r="P27" s="148" t="n"/>
      <c r="Q27" s="149" t="n"/>
      <c r="R27" s="150">
        <f>IF(OR($P27="",$N27="",$N27=0),"",$P27/(1+IF(IFERROR(INDEX('03 Suppliers'!$N$5:$N$34,MATCH($M27,'03 Suppliers'!$B$5:$B$34,0)),"Excl VAT")="Incl VAT",'01 Control'!$C$6,0))/($N27*IFERROR(VLOOKUP($O27,'02 Lists'!$A$5:$B$18,2,FALSE()),1)))</f>
        <v/>
      </c>
      <c r="S27" s="140" t="n"/>
      <c r="T27" s="147" t="n"/>
      <c r="U27" s="141" t="n"/>
      <c r="V27" s="148" t="n"/>
      <c r="W27" s="149" t="n"/>
      <c r="X27" s="150">
        <f>IF(OR($V27="",$T27="",$T27=0),"",$V27/(1+IF(IFERROR(INDEX('03 Suppliers'!$N$5:$N$34,MATCH($S27,'03 Suppliers'!$B$5:$B$34,0)),"Excl VAT")="Incl VAT",'01 Control'!$C$6,0))/($T27*IFERROR(VLOOKUP($U27,'02 Lists'!$A$5:$B$18,2,FALSE()),1)))</f>
        <v/>
      </c>
      <c r="Y27" s="140" t="n"/>
      <c r="Z27" s="147" t="n"/>
      <c r="AA27" s="141" t="n"/>
      <c r="AB27" s="148" t="n"/>
      <c r="AC27" s="149" t="n"/>
      <c r="AD27" s="150">
        <f>IF(OR($AB27="",$Z27="",$Z27=0),"",$AB27/(1+IF(IFERROR(INDEX('03 Suppliers'!$N$5:$N$34,MATCH($Y27,'03 Suppliers'!$B$5:$B$34,0)),"Excl VAT")="Incl VAT",'01 Control'!$C$6,0))/($Z27*IFERROR(VLOOKUP($AA27,'02 Lists'!$A$5:$B$18,2,FALSE()),1)))</f>
        <v/>
      </c>
      <c r="AE27" s="140" t="n"/>
      <c r="AF27" s="147" t="n"/>
      <c r="AG27" s="141" t="n"/>
      <c r="AH27" s="148" t="n"/>
      <c r="AI27" s="149" t="n"/>
      <c r="AJ27" s="150">
        <f>IF(OR($AH27="",$AF27="",$AF27=0),"",$AH27/(1+IF(IFERROR(INDEX('03 Suppliers'!$N$5:$N$34,MATCH($AE27,'03 Suppliers'!$B$5:$B$34,0)),"Excl VAT")="Incl VAT",'01 Control'!$C$6,0))/($AF27*IFERROR(VLOOKUP($AG27,'02 Lists'!$A$5:$B$18,2,FALSE()),1)))</f>
        <v/>
      </c>
      <c r="AK27" s="151">
        <f>IF(COUNT(L27,R27,X27,AD27,AJ27)=0,"",MIN(L27,R27,X27,AD27,AJ27))</f>
        <v/>
      </c>
      <c r="AL27" s="126">
        <f>IF($AK27="","",IF(L27=$AK27,$G27,IF(R27=$AK27,$M27,IF(X27=$AK27,$S27,IF(AD27=$AK27,$Y27,IF(AJ27=$AK27,$AE27,""))))))</f>
        <v/>
      </c>
      <c r="AM27" s="151">
        <f>IF($AK27="","",$AK27/IF($E27="",1,$E27))</f>
        <v/>
      </c>
      <c r="AN27" s="152">
        <f>COUNT(L27,R27,X27,AD27,AJ27)</f>
        <v/>
      </c>
      <c r="AO27" s="150">
        <f>IF(COUNT(L27,R27,X27,AD27,AJ27)=0,"",MAX(L27,R27,X27,AD27,AJ27))</f>
        <v/>
      </c>
      <c r="AP27" s="153">
        <f>IF(OR($AK27="",$AO27="",$AO27=0),"",($AO27-$AK27)/$AO27)</f>
        <v/>
      </c>
      <c r="AQ27" s="154">
        <f>IF($AK27="","",IF(L27=$AK27,$K27,IF(R27=$AK27,$Q27,IF(X27=$AK27,$W27,IF(AD27=$AK27,$AC27,IF(AJ27=$AK27,$AI27,""))))))</f>
        <v/>
      </c>
      <c r="AT27" s="142">
        <f>'03 Suppliers'!$B$27&amp;""</f>
        <v/>
      </c>
    </row>
    <row r="28" ht="15" customHeight="1" s="106">
      <c r="A28" s="140" t="n"/>
      <c r="B28" s="140" t="n"/>
      <c r="C28" s="140" t="n"/>
      <c r="D28" s="141" t="n"/>
      <c r="E28" s="146" t="n"/>
      <c r="F28" s="140" t="n"/>
      <c r="G28" s="140" t="n"/>
      <c r="H28" s="147" t="n"/>
      <c r="I28" s="141" t="n"/>
      <c r="J28" s="148" t="n"/>
      <c r="K28" s="149" t="n"/>
      <c r="L28" s="150">
        <f>IF(OR($J28="",$H28="",$H28=0),"",$J28/(1+IF(IFERROR(INDEX('03 Suppliers'!$N$5:$N$34,MATCH($G28,'03 Suppliers'!$B$5:$B$34,0)),"Excl VAT")="Incl VAT",'01 Control'!$C$6,0))/($H28*IFERROR(VLOOKUP($I28,'02 Lists'!$A$5:$B$18,2,FALSE()),1)))</f>
        <v/>
      </c>
      <c r="M28" s="140" t="n"/>
      <c r="N28" s="147" t="n"/>
      <c r="O28" s="141" t="n"/>
      <c r="P28" s="148" t="n"/>
      <c r="Q28" s="149" t="n"/>
      <c r="R28" s="150">
        <f>IF(OR($P28="",$N28="",$N28=0),"",$P28/(1+IF(IFERROR(INDEX('03 Suppliers'!$N$5:$N$34,MATCH($M28,'03 Suppliers'!$B$5:$B$34,0)),"Excl VAT")="Incl VAT",'01 Control'!$C$6,0))/($N28*IFERROR(VLOOKUP($O28,'02 Lists'!$A$5:$B$18,2,FALSE()),1)))</f>
        <v/>
      </c>
      <c r="S28" s="140" t="n"/>
      <c r="T28" s="147" t="n"/>
      <c r="U28" s="141" t="n"/>
      <c r="V28" s="148" t="n"/>
      <c r="W28" s="149" t="n"/>
      <c r="X28" s="150">
        <f>IF(OR($V28="",$T28="",$T28=0),"",$V28/(1+IF(IFERROR(INDEX('03 Suppliers'!$N$5:$N$34,MATCH($S28,'03 Suppliers'!$B$5:$B$34,0)),"Excl VAT")="Incl VAT",'01 Control'!$C$6,0))/($T28*IFERROR(VLOOKUP($U28,'02 Lists'!$A$5:$B$18,2,FALSE()),1)))</f>
        <v/>
      </c>
      <c r="Y28" s="140" t="n"/>
      <c r="Z28" s="147" t="n"/>
      <c r="AA28" s="141" t="n"/>
      <c r="AB28" s="148" t="n"/>
      <c r="AC28" s="149" t="n"/>
      <c r="AD28" s="150">
        <f>IF(OR($AB28="",$Z28="",$Z28=0),"",$AB28/(1+IF(IFERROR(INDEX('03 Suppliers'!$N$5:$N$34,MATCH($Y28,'03 Suppliers'!$B$5:$B$34,0)),"Excl VAT")="Incl VAT",'01 Control'!$C$6,0))/($Z28*IFERROR(VLOOKUP($AA28,'02 Lists'!$A$5:$B$18,2,FALSE()),1)))</f>
        <v/>
      </c>
      <c r="AE28" s="140" t="n"/>
      <c r="AF28" s="147" t="n"/>
      <c r="AG28" s="141" t="n"/>
      <c r="AH28" s="148" t="n"/>
      <c r="AI28" s="149" t="n"/>
      <c r="AJ28" s="150">
        <f>IF(OR($AH28="",$AF28="",$AF28=0),"",$AH28/(1+IF(IFERROR(INDEX('03 Suppliers'!$N$5:$N$34,MATCH($AE28,'03 Suppliers'!$B$5:$B$34,0)),"Excl VAT")="Incl VAT",'01 Control'!$C$6,0))/($AF28*IFERROR(VLOOKUP($AG28,'02 Lists'!$A$5:$B$18,2,FALSE()),1)))</f>
        <v/>
      </c>
      <c r="AK28" s="151">
        <f>IF(COUNT(L28,R28,X28,AD28,AJ28)=0,"",MIN(L28,R28,X28,AD28,AJ28))</f>
        <v/>
      </c>
      <c r="AL28" s="126">
        <f>IF($AK28="","",IF(L28=$AK28,$G28,IF(R28=$AK28,$M28,IF(X28=$AK28,$S28,IF(AD28=$AK28,$Y28,IF(AJ28=$AK28,$AE28,""))))))</f>
        <v/>
      </c>
      <c r="AM28" s="151">
        <f>IF($AK28="","",$AK28/IF($E28="",1,$E28))</f>
        <v/>
      </c>
      <c r="AN28" s="152">
        <f>COUNT(L28,R28,X28,AD28,AJ28)</f>
        <v/>
      </c>
      <c r="AO28" s="150">
        <f>IF(COUNT(L28,R28,X28,AD28,AJ28)=0,"",MAX(L28,R28,X28,AD28,AJ28))</f>
        <v/>
      </c>
      <c r="AP28" s="153">
        <f>IF(OR($AK28="",$AO28="",$AO28=0),"",($AO28-$AK28)/$AO28)</f>
        <v/>
      </c>
      <c r="AQ28" s="154">
        <f>IF($AK28="","",IF(L28=$AK28,$K28,IF(R28=$AK28,$Q28,IF(X28=$AK28,$W28,IF(AD28=$AK28,$AC28,IF(AJ28=$AK28,$AI28,""))))))</f>
        <v/>
      </c>
      <c r="AT28" s="142">
        <f>'03 Suppliers'!$B$28&amp;""</f>
        <v/>
      </c>
    </row>
    <row r="29" ht="15" customHeight="1" s="106">
      <c r="A29" s="140" t="n"/>
      <c r="B29" s="140" t="n"/>
      <c r="C29" s="140" t="n"/>
      <c r="D29" s="141" t="n"/>
      <c r="E29" s="146" t="n"/>
      <c r="F29" s="140" t="n"/>
      <c r="G29" s="140" t="n"/>
      <c r="H29" s="147" t="n"/>
      <c r="I29" s="141" t="n"/>
      <c r="J29" s="148" t="n"/>
      <c r="K29" s="149" t="n"/>
      <c r="L29" s="150">
        <f>IF(OR($J29="",$H29="",$H29=0),"",$J29/(1+IF(IFERROR(INDEX('03 Suppliers'!$N$5:$N$34,MATCH($G29,'03 Suppliers'!$B$5:$B$34,0)),"Excl VAT")="Incl VAT",'01 Control'!$C$6,0))/($H29*IFERROR(VLOOKUP($I29,'02 Lists'!$A$5:$B$18,2,FALSE()),1)))</f>
        <v/>
      </c>
      <c r="M29" s="140" t="n"/>
      <c r="N29" s="147" t="n"/>
      <c r="O29" s="141" t="n"/>
      <c r="P29" s="148" t="n"/>
      <c r="Q29" s="149" t="n"/>
      <c r="R29" s="150">
        <f>IF(OR($P29="",$N29="",$N29=0),"",$P29/(1+IF(IFERROR(INDEX('03 Suppliers'!$N$5:$N$34,MATCH($M29,'03 Suppliers'!$B$5:$B$34,0)),"Excl VAT")="Incl VAT",'01 Control'!$C$6,0))/($N29*IFERROR(VLOOKUP($O29,'02 Lists'!$A$5:$B$18,2,FALSE()),1)))</f>
        <v/>
      </c>
      <c r="S29" s="140" t="n"/>
      <c r="T29" s="147" t="n"/>
      <c r="U29" s="141" t="n"/>
      <c r="V29" s="148" t="n"/>
      <c r="W29" s="149" t="n"/>
      <c r="X29" s="150">
        <f>IF(OR($V29="",$T29="",$T29=0),"",$V29/(1+IF(IFERROR(INDEX('03 Suppliers'!$N$5:$N$34,MATCH($S29,'03 Suppliers'!$B$5:$B$34,0)),"Excl VAT")="Incl VAT",'01 Control'!$C$6,0))/($T29*IFERROR(VLOOKUP($U29,'02 Lists'!$A$5:$B$18,2,FALSE()),1)))</f>
        <v/>
      </c>
      <c r="Y29" s="140" t="n"/>
      <c r="Z29" s="147" t="n"/>
      <c r="AA29" s="141" t="n"/>
      <c r="AB29" s="148" t="n"/>
      <c r="AC29" s="149" t="n"/>
      <c r="AD29" s="150">
        <f>IF(OR($AB29="",$Z29="",$Z29=0),"",$AB29/(1+IF(IFERROR(INDEX('03 Suppliers'!$N$5:$N$34,MATCH($Y29,'03 Suppliers'!$B$5:$B$34,0)),"Excl VAT")="Incl VAT",'01 Control'!$C$6,0))/($Z29*IFERROR(VLOOKUP($AA29,'02 Lists'!$A$5:$B$18,2,FALSE()),1)))</f>
        <v/>
      </c>
      <c r="AE29" s="140" t="n"/>
      <c r="AF29" s="147" t="n"/>
      <c r="AG29" s="141" t="n"/>
      <c r="AH29" s="148" t="n"/>
      <c r="AI29" s="149" t="n"/>
      <c r="AJ29" s="150">
        <f>IF(OR($AH29="",$AF29="",$AF29=0),"",$AH29/(1+IF(IFERROR(INDEX('03 Suppliers'!$N$5:$N$34,MATCH($AE29,'03 Suppliers'!$B$5:$B$34,0)),"Excl VAT")="Incl VAT",'01 Control'!$C$6,0))/($AF29*IFERROR(VLOOKUP($AG29,'02 Lists'!$A$5:$B$18,2,FALSE()),1)))</f>
        <v/>
      </c>
      <c r="AK29" s="151">
        <f>IF(COUNT(L29,R29,X29,AD29,AJ29)=0,"",MIN(L29,R29,X29,AD29,AJ29))</f>
        <v/>
      </c>
      <c r="AL29" s="126">
        <f>IF($AK29="","",IF(L29=$AK29,$G29,IF(R29=$AK29,$M29,IF(X29=$AK29,$S29,IF(AD29=$AK29,$Y29,IF(AJ29=$AK29,$AE29,""))))))</f>
        <v/>
      </c>
      <c r="AM29" s="151">
        <f>IF($AK29="","",$AK29/IF($E29="",1,$E29))</f>
        <v/>
      </c>
      <c r="AN29" s="152">
        <f>COUNT(L29,R29,X29,AD29,AJ29)</f>
        <v/>
      </c>
      <c r="AO29" s="150">
        <f>IF(COUNT(L29,R29,X29,AD29,AJ29)=0,"",MAX(L29,R29,X29,AD29,AJ29))</f>
        <v/>
      </c>
      <c r="AP29" s="153">
        <f>IF(OR($AK29="",$AO29="",$AO29=0),"",($AO29-$AK29)/$AO29)</f>
        <v/>
      </c>
      <c r="AQ29" s="154">
        <f>IF($AK29="","",IF(L29=$AK29,$K29,IF(R29=$AK29,$Q29,IF(X29=$AK29,$W29,IF(AD29=$AK29,$AC29,IF(AJ29=$AK29,$AI29,""))))))</f>
        <v/>
      </c>
      <c r="AT29" s="142">
        <f>'03 Suppliers'!$B$29&amp;""</f>
        <v/>
      </c>
    </row>
    <row r="30" ht="15" customHeight="1" s="106">
      <c r="A30" s="140" t="n"/>
      <c r="B30" s="140" t="n"/>
      <c r="C30" s="140" t="n"/>
      <c r="D30" s="141" t="n"/>
      <c r="E30" s="146" t="n"/>
      <c r="F30" s="140" t="n"/>
      <c r="G30" s="140" t="n"/>
      <c r="H30" s="147" t="n"/>
      <c r="I30" s="141" t="n"/>
      <c r="J30" s="148" t="n"/>
      <c r="K30" s="149" t="n"/>
      <c r="L30" s="150">
        <f>IF(OR($J30="",$H30="",$H30=0),"",$J30/(1+IF(IFERROR(INDEX('03 Suppliers'!$N$5:$N$34,MATCH($G30,'03 Suppliers'!$B$5:$B$34,0)),"Excl VAT")="Incl VAT",'01 Control'!$C$6,0))/($H30*IFERROR(VLOOKUP($I30,'02 Lists'!$A$5:$B$18,2,FALSE()),1)))</f>
        <v/>
      </c>
      <c r="M30" s="140" t="n"/>
      <c r="N30" s="147" t="n"/>
      <c r="O30" s="141" t="n"/>
      <c r="P30" s="148" t="n"/>
      <c r="Q30" s="149" t="n"/>
      <c r="R30" s="150">
        <f>IF(OR($P30="",$N30="",$N30=0),"",$P30/(1+IF(IFERROR(INDEX('03 Suppliers'!$N$5:$N$34,MATCH($M30,'03 Suppliers'!$B$5:$B$34,0)),"Excl VAT")="Incl VAT",'01 Control'!$C$6,0))/($N30*IFERROR(VLOOKUP($O30,'02 Lists'!$A$5:$B$18,2,FALSE()),1)))</f>
        <v/>
      </c>
      <c r="S30" s="140" t="n"/>
      <c r="T30" s="147" t="n"/>
      <c r="U30" s="141" t="n"/>
      <c r="V30" s="148" t="n"/>
      <c r="W30" s="149" t="n"/>
      <c r="X30" s="150">
        <f>IF(OR($V30="",$T30="",$T30=0),"",$V30/(1+IF(IFERROR(INDEX('03 Suppliers'!$N$5:$N$34,MATCH($S30,'03 Suppliers'!$B$5:$B$34,0)),"Excl VAT")="Incl VAT",'01 Control'!$C$6,0))/($T30*IFERROR(VLOOKUP($U30,'02 Lists'!$A$5:$B$18,2,FALSE()),1)))</f>
        <v/>
      </c>
      <c r="Y30" s="140" t="n"/>
      <c r="Z30" s="147" t="n"/>
      <c r="AA30" s="141" t="n"/>
      <c r="AB30" s="148" t="n"/>
      <c r="AC30" s="149" t="n"/>
      <c r="AD30" s="150">
        <f>IF(OR($AB30="",$Z30="",$Z30=0),"",$AB30/(1+IF(IFERROR(INDEX('03 Suppliers'!$N$5:$N$34,MATCH($Y30,'03 Suppliers'!$B$5:$B$34,0)),"Excl VAT")="Incl VAT",'01 Control'!$C$6,0))/($Z30*IFERROR(VLOOKUP($AA30,'02 Lists'!$A$5:$B$18,2,FALSE()),1)))</f>
        <v/>
      </c>
      <c r="AE30" s="140" t="n"/>
      <c r="AF30" s="147" t="n"/>
      <c r="AG30" s="141" t="n"/>
      <c r="AH30" s="148" t="n"/>
      <c r="AI30" s="149" t="n"/>
      <c r="AJ30" s="150">
        <f>IF(OR($AH30="",$AF30="",$AF30=0),"",$AH30/(1+IF(IFERROR(INDEX('03 Suppliers'!$N$5:$N$34,MATCH($AE30,'03 Suppliers'!$B$5:$B$34,0)),"Excl VAT")="Incl VAT",'01 Control'!$C$6,0))/($AF30*IFERROR(VLOOKUP($AG30,'02 Lists'!$A$5:$B$18,2,FALSE()),1)))</f>
        <v/>
      </c>
      <c r="AK30" s="151">
        <f>IF(COUNT(L30,R30,X30,AD30,AJ30)=0,"",MIN(L30,R30,X30,AD30,AJ30))</f>
        <v/>
      </c>
      <c r="AL30" s="126">
        <f>IF($AK30="","",IF(L30=$AK30,$G30,IF(R30=$AK30,$M30,IF(X30=$AK30,$S30,IF(AD30=$AK30,$Y30,IF(AJ30=$AK30,$AE30,""))))))</f>
        <v/>
      </c>
      <c r="AM30" s="151">
        <f>IF($AK30="","",$AK30/IF($E30="",1,$E30))</f>
        <v/>
      </c>
      <c r="AN30" s="152">
        <f>COUNT(L30,R30,X30,AD30,AJ30)</f>
        <v/>
      </c>
      <c r="AO30" s="150">
        <f>IF(COUNT(L30,R30,X30,AD30,AJ30)=0,"",MAX(L30,R30,X30,AD30,AJ30))</f>
        <v/>
      </c>
      <c r="AP30" s="153">
        <f>IF(OR($AK30="",$AO30="",$AO30=0),"",($AO30-$AK30)/$AO30)</f>
        <v/>
      </c>
      <c r="AQ30" s="154">
        <f>IF($AK30="","",IF(L30=$AK30,$K30,IF(R30=$AK30,$Q30,IF(X30=$AK30,$W30,IF(AD30=$AK30,$AC30,IF(AJ30=$AK30,$AI30,""))))))</f>
        <v/>
      </c>
      <c r="AT30" s="142">
        <f>'03 Suppliers'!$B$30&amp;""</f>
        <v/>
      </c>
    </row>
    <row r="31" ht="15" customHeight="1" s="106">
      <c r="A31" s="140" t="n"/>
      <c r="B31" s="140" t="n"/>
      <c r="C31" s="140" t="n"/>
      <c r="D31" s="141" t="n"/>
      <c r="E31" s="146" t="n"/>
      <c r="F31" s="140" t="n"/>
      <c r="G31" s="140" t="n"/>
      <c r="H31" s="147" t="n"/>
      <c r="I31" s="141" t="n"/>
      <c r="J31" s="148" t="n"/>
      <c r="K31" s="149" t="n"/>
      <c r="L31" s="150">
        <f>IF(OR($J31="",$H31="",$H31=0),"",$J31/(1+IF(IFERROR(INDEX('03 Suppliers'!$N$5:$N$34,MATCH($G31,'03 Suppliers'!$B$5:$B$34,0)),"Excl VAT")="Incl VAT",'01 Control'!$C$6,0))/($H31*IFERROR(VLOOKUP($I31,'02 Lists'!$A$5:$B$18,2,FALSE()),1)))</f>
        <v/>
      </c>
      <c r="M31" s="140" t="n"/>
      <c r="N31" s="147" t="n"/>
      <c r="O31" s="141" t="n"/>
      <c r="P31" s="148" t="n"/>
      <c r="Q31" s="149" t="n"/>
      <c r="R31" s="150">
        <f>IF(OR($P31="",$N31="",$N31=0),"",$P31/(1+IF(IFERROR(INDEX('03 Suppliers'!$N$5:$N$34,MATCH($M31,'03 Suppliers'!$B$5:$B$34,0)),"Excl VAT")="Incl VAT",'01 Control'!$C$6,0))/($N31*IFERROR(VLOOKUP($O31,'02 Lists'!$A$5:$B$18,2,FALSE()),1)))</f>
        <v/>
      </c>
      <c r="S31" s="140" t="n"/>
      <c r="T31" s="147" t="n"/>
      <c r="U31" s="141" t="n"/>
      <c r="V31" s="148" t="n"/>
      <c r="W31" s="149" t="n"/>
      <c r="X31" s="150">
        <f>IF(OR($V31="",$T31="",$T31=0),"",$V31/(1+IF(IFERROR(INDEX('03 Suppliers'!$N$5:$N$34,MATCH($S31,'03 Suppliers'!$B$5:$B$34,0)),"Excl VAT")="Incl VAT",'01 Control'!$C$6,0))/($T31*IFERROR(VLOOKUP($U31,'02 Lists'!$A$5:$B$18,2,FALSE()),1)))</f>
        <v/>
      </c>
      <c r="Y31" s="140" t="n"/>
      <c r="Z31" s="147" t="n"/>
      <c r="AA31" s="141" t="n"/>
      <c r="AB31" s="148" t="n"/>
      <c r="AC31" s="149" t="n"/>
      <c r="AD31" s="150">
        <f>IF(OR($AB31="",$Z31="",$Z31=0),"",$AB31/(1+IF(IFERROR(INDEX('03 Suppliers'!$N$5:$N$34,MATCH($Y31,'03 Suppliers'!$B$5:$B$34,0)),"Excl VAT")="Incl VAT",'01 Control'!$C$6,0))/($Z31*IFERROR(VLOOKUP($AA31,'02 Lists'!$A$5:$B$18,2,FALSE()),1)))</f>
        <v/>
      </c>
      <c r="AE31" s="140" t="n"/>
      <c r="AF31" s="147" t="n"/>
      <c r="AG31" s="141" t="n"/>
      <c r="AH31" s="148" t="n"/>
      <c r="AI31" s="149" t="n"/>
      <c r="AJ31" s="150">
        <f>IF(OR($AH31="",$AF31="",$AF31=0),"",$AH31/(1+IF(IFERROR(INDEX('03 Suppliers'!$N$5:$N$34,MATCH($AE31,'03 Suppliers'!$B$5:$B$34,0)),"Excl VAT")="Incl VAT",'01 Control'!$C$6,0))/($AF31*IFERROR(VLOOKUP($AG31,'02 Lists'!$A$5:$B$18,2,FALSE()),1)))</f>
        <v/>
      </c>
      <c r="AK31" s="151">
        <f>IF(COUNT(L31,R31,X31,AD31,AJ31)=0,"",MIN(L31,R31,X31,AD31,AJ31))</f>
        <v/>
      </c>
      <c r="AL31" s="126">
        <f>IF($AK31="","",IF(L31=$AK31,$G31,IF(R31=$AK31,$M31,IF(X31=$AK31,$S31,IF(AD31=$AK31,$Y31,IF(AJ31=$AK31,$AE31,""))))))</f>
        <v/>
      </c>
      <c r="AM31" s="151">
        <f>IF($AK31="","",$AK31/IF($E31="",1,$E31))</f>
        <v/>
      </c>
      <c r="AN31" s="152">
        <f>COUNT(L31,R31,X31,AD31,AJ31)</f>
        <v/>
      </c>
      <c r="AO31" s="150">
        <f>IF(COUNT(L31,R31,X31,AD31,AJ31)=0,"",MAX(L31,R31,X31,AD31,AJ31))</f>
        <v/>
      </c>
      <c r="AP31" s="153">
        <f>IF(OR($AK31="",$AO31="",$AO31=0),"",($AO31-$AK31)/$AO31)</f>
        <v/>
      </c>
      <c r="AQ31" s="154">
        <f>IF($AK31="","",IF(L31=$AK31,$K31,IF(R31=$AK31,$Q31,IF(X31=$AK31,$W31,IF(AD31=$AK31,$AC31,IF(AJ31=$AK31,$AI31,""))))))</f>
        <v/>
      </c>
      <c r="AT31" s="142">
        <f>'03 Suppliers'!$B$31&amp;""</f>
        <v/>
      </c>
    </row>
    <row r="32" ht="15" customHeight="1" s="106">
      <c r="A32" s="140" t="n"/>
      <c r="B32" s="140" t="n"/>
      <c r="C32" s="140" t="n"/>
      <c r="D32" s="141" t="n"/>
      <c r="E32" s="146" t="n"/>
      <c r="F32" s="140" t="n"/>
      <c r="G32" s="140" t="n"/>
      <c r="H32" s="147" t="n"/>
      <c r="I32" s="141" t="n"/>
      <c r="J32" s="148" t="n"/>
      <c r="K32" s="149" t="n"/>
      <c r="L32" s="150">
        <f>IF(OR($J32="",$H32="",$H32=0),"",$J32/(1+IF(IFERROR(INDEX('03 Suppliers'!$N$5:$N$34,MATCH($G32,'03 Suppliers'!$B$5:$B$34,0)),"Excl VAT")="Incl VAT",'01 Control'!$C$6,0))/($H32*IFERROR(VLOOKUP($I32,'02 Lists'!$A$5:$B$18,2,FALSE()),1)))</f>
        <v/>
      </c>
      <c r="M32" s="140" t="n"/>
      <c r="N32" s="147" t="n"/>
      <c r="O32" s="141" t="n"/>
      <c r="P32" s="148" t="n"/>
      <c r="Q32" s="149" t="n"/>
      <c r="R32" s="150">
        <f>IF(OR($P32="",$N32="",$N32=0),"",$P32/(1+IF(IFERROR(INDEX('03 Suppliers'!$N$5:$N$34,MATCH($M32,'03 Suppliers'!$B$5:$B$34,0)),"Excl VAT")="Incl VAT",'01 Control'!$C$6,0))/($N32*IFERROR(VLOOKUP($O32,'02 Lists'!$A$5:$B$18,2,FALSE()),1)))</f>
        <v/>
      </c>
      <c r="S32" s="140" t="n"/>
      <c r="T32" s="147" t="n"/>
      <c r="U32" s="141" t="n"/>
      <c r="V32" s="148" t="n"/>
      <c r="W32" s="149" t="n"/>
      <c r="X32" s="150">
        <f>IF(OR($V32="",$T32="",$T32=0),"",$V32/(1+IF(IFERROR(INDEX('03 Suppliers'!$N$5:$N$34,MATCH($S32,'03 Suppliers'!$B$5:$B$34,0)),"Excl VAT")="Incl VAT",'01 Control'!$C$6,0))/($T32*IFERROR(VLOOKUP($U32,'02 Lists'!$A$5:$B$18,2,FALSE()),1)))</f>
        <v/>
      </c>
      <c r="Y32" s="140" t="n"/>
      <c r="Z32" s="147" t="n"/>
      <c r="AA32" s="141" t="n"/>
      <c r="AB32" s="148" t="n"/>
      <c r="AC32" s="149" t="n"/>
      <c r="AD32" s="150">
        <f>IF(OR($AB32="",$Z32="",$Z32=0),"",$AB32/(1+IF(IFERROR(INDEX('03 Suppliers'!$N$5:$N$34,MATCH($Y32,'03 Suppliers'!$B$5:$B$34,0)),"Excl VAT")="Incl VAT",'01 Control'!$C$6,0))/($Z32*IFERROR(VLOOKUP($AA32,'02 Lists'!$A$5:$B$18,2,FALSE()),1)))</f>
        <v/>
      </c>
      <c r="AE32" s="140" t="n"/>
      <c r="AF32" s="147" t="n"/>
      <c r="AG32" s="141" t="n"/>
      <c r="AH32" s="148" t="n"/>
      <c r="AI32" s="149" t="n"/>
      <c r="AJ32" s="150">
        <f>IF(OR($AH32="",$AF32="",$AF32=0),"",$AH32/(1+IF(IFERROR(INDEX('03 Suppliers'!$N$5:$N$34,MATCH($AE32,'03 Suppliers'!$B$5:$B$34,0)),"Excl VAT")="Incl VAT",'01 Control'!$C$6,0))/($AF32*IFERROR(VLOOKUP($AG32,'02 Lists'!$A$5:$B$18,2,FALSE()),1)))</f>
        <v/>
      </c>
      <c r="AK32" s="151">
        <f>IF(COUNT(L32,R32,X32,AD32,AJ32)=0,"",MIN(L32,R32,X32,AD32,AJ32))</f>
        <v/>
      </c>
      <c r="AL32" s="126">
        <f>IF($AK32="","",IF(L32=$AK32,$G32,IF(R32=$AK32,$M32,IF(X32=$AK32,$S32,IF(AD32=$AK32,$Y32,IF(AJ32=$AK32,$AE32,""))))))</f>
        <v/>
      </c>
      <c r="AM32" s="151">
        <f>IF($AK32="","",$AK32/IF($E32="",1,$E32))</f>
        <v/>
      </c>
      <c r="AN32" s="152">
        <f>COUNT(L32,R32,X32,AD32,AJ32)</f>
        <v/>
      </c>
      <c r="AO32" s="150">
        <f>IF(COUNT(L32,R32,X32,AD32,AJ32)=0,"",MAX(L32,R32,X32,AD32,AJ32))</f>
        <v/>
      </c>
      <c r="AP32" s="153">
        <f>IF(OR($AK32="",$AO32="",$AO32=0),"",($AO32-$AK32)/$AO32)</f>
        <v/>
      </c>
      <c r="AQ32" s="154">
        <f>IF($AK32="","",IF(L32=$AK32,$K32,IF(R32=$AK32,$Q32,IF(X32=$AK32,$W32,IF(AD32=$AK32,$AC32,IF(AJ32=$AK32,$AI32,""))))))</f>
        <v/>
      </c>
      <c r="AT32" s="142">
        <f>'03 Suppliers'!$B$32&amp;""</f>
        <v/>
      </c>
    </row>
    <row r="33" ht="15" customHeight="1" s="106">
      <c r="A33" s="140" t="n"/>
      <c r="B33" s="140" t="n"/>
      <c r="C33" s="140" t="n"/>
      <c r="D33" s="141" t="n"/>
      <c r="E33" s="146" t="n"/>
      <c r="F33" s="140" t="n"/>
      <c r="G33" s="140" t="n"/>
      <c r="H33" s="147" t="n"/>
      <c r="I33" s="141" t="n"/>
      <c r="J33" s="148" t="n"/>
      <c r="K33" s="149" t="n"/>
      <c r="L33" s="150">
        <f>IF(OR($J33="",$H33="",$H33=0),"",$J33/(1+IF(IFERROR(INDEX('03 Suppliers'!$N$5:$N$34,MATCH($G33,'03 Suppliers'!$B$5:$B$34,0)),"Excl VAT")="Incl VAT",'01 Control'!$C$6,0))/($H33*IFERROR(VLOOKUP($I33,'02 Lists'!$A$5:$B$18,2,FALSE()),1)))</f>
        <v/>
      </c>
      <c r="M33" s="140" t="n"/>
      <c r="N33" s="147" t="n"/>
      <c r="O33" s="141" t="n"/>
      <c r="P33" s="148" t="n"/>
      <c r="Q33" s="149" t="n"/>
      <c r="R33" s="150">
        <f>IF(OR($P33="",$N33="",$N33=0),"",$P33/(1+IF(IFERROR(INDEX('03 Suppliers'!$N$5:$N$34,MATCH($M33,'03 Suppliers'!$B$5:$B$34,0)),"Excl VAT")="Incl VAT",'01 Control'!$C$6,0))/($N33*IFERROR(VLOOKUP($O33,'02 Lists'!$A$5:$B$18,2,FALSE()),1)))</f>
        <v/>
      </c>
      <c r="S33" s="140" t="n"/>
      <c r="T33" s="147" t="n"/>
      <c r="U33" s="141" t="n"/>
      <c r="V33" s="148" t="n"/>
      <c r="W33" s="149" t="n"/>
      <c r="X33" s="150">
        <f>IF(OR($V33="",$T33="",$T33=0),"",$V33/(1+IF(IFERROR(INDEX('03 Suppliers'!$N$5:$N$34,MATCH($S33,'03 Suppliers'!$B$5:$B$34,0)),"Excl VAT")="Incl VAT",'01 Control'!$C$6,0))/($T33*IFERROR(VLOOKUP($U33,'02 Lists'!$A$5:$B$18,2,FALSE()),1)))</f>
        <v/>
      </c>
      <c r="Y33" s="140" t="n"/>
      <c r="Z33" s="147" t="n"/>
      <c r="AA33" s="141" t="n"/>
      <c r="AB33" s="148" t="n"/>
      <c r="AC33" s="149" t="n"/>
      <c r="AD33" s="150">
        <f>IF(OR($AB33="",$Z33="",$Z33=0),"",$AB33/(1+IF(IFERROR(INDEX('03 Suppliers'!$N$5:$N$34,MATCH($Y33,'03 Suppliers'!$B$5:$B$34,0)),"Excl VAT")="Incl VAT",'01 Control'!$C$6,0))/($Z33*IFERROR(VLOOKUP($AA33,'02 Lists'!$A$5:$B$18,2,FALSE()),1)))</f>
        <v/>
      </c>
      <c r="AE33" s="140" t="n"/>
      <c r="AF33" s="147" t="n"/>
      <c r="AG33" s="141" t="n"/>
      <c r="AH33" s="148" t="n"/>
      <c r="AI33" s="149" t="n"/>
      <c r="AJ33" s="150">
        <f>IF(OR($AH33="",$AF33="",$AF33=0),"",$AH33/(1+IF(IFERROR(INDEX('03 Suppliers'!$N$5:$N$34,MATCH($AE33,'03 Suppliers'!$B$5:$B$34,0)),"Excl VAT")="Incl VAT",'01 Control'!$C$6,0))/($AF33*IFERROR(VLOOKUP($AG33,'02 Lists'!$A$5:$B$18,2,FALSE()),1)))</f>
        <v/>
      </c>
      <c r="AK33" s="151">
        <f>IF(COUNT(L33,R33,X33,AD33,AJ33)=0,"",MIN(L33,R33,X33,AD33,AJ33))</f>
        <v/>
      </c>
      <c r="AL33" s="126">
        <f>IF($AK33="","",IF(L33=$AK33,$G33,IF(R33=$AK33,$M33,IF(X33=$AK33,$S33,IF(AD33=$AK33,$Y33,IF(AJ33=$AK33,$AE33,""))))))</f>
        <v/>
      </c>
      <c r="AM33" s="151">
        <f>IF($AK33="","",$AK33/IF($E33="",1,$E33))</f>
        <v/>
      </c>
      <c r="AN33" s="152">
        <f>COUNT(L33,R33,X33,AD33,AJ33)</f>
        <v/>
      </c>
      <c r="AO33" s="150">
        <f>IF(COUNT(L33,R33,X33,AD33,AJ33)=0,"",MAX(L33,R33,X33,AD33,AJ33))</f>
        <v/>
      </c>
      <c r="AP33" s="153">
        <f>IF(OR($AK33="",$AO33="",$AO33=0),"",($AO33-$AK33)/$AO33)</f>
        <v/>
      </c>
      <c r="AQ33" s="154">
        <f>IF($AK33="","",IF(L33=$AK33,$K33,IF(R33=$AK33,$Q33,IF(X33=$AK33,$W33,IF(AD33=$AK33,$AC33,IF(AJ33=$AK33,$AI33,""))))))</f>
        <v/>
      </c>
      <c r="AT33" s="142">
        <f>'03 Suppliers'!$B$33&amp;""</f>
        <v/>
      </c>
    </row>
    <row r="34" ht="15" customHeight="1" s="106">
      <c r="A34" s="140" t="n"/>
      <c r="B34" s="140" t="n"/>
      <c r="C34" s="140" t="n"/>
      <c r="D34" s="141" t="n"/>
      <c r="E34" s="146" t="n"/>
      <c r="F34" s="140" t="n"/>
      <c r="G34" s="140" t="n"/>
      <c r="H34" s="147" t="n"/>
      <c r="I34" s="141" t="n"/>
      <c r="J34" s="148" t="n"/>
      <c r="K34" s="149" t="n"/>
      <c r="L34" s="150">
        <f>IF(OR($J34="",$H34="",$H34=0),"",$J34/(1+IF(IFERROR(INDEX('03 Suppliers'!$N$5:$N$34,MATCH($G34,'03 Suppliers'!$B$5:$B$34,0)),"Excl VAT")="Incl VAT",'01 Control'!$C$6,0))/($H34*IFERROR(VLOOKUP($I34,'02 Lists'!$A$5:$B$18,2,FALSE()),1)))</f>
        <v/>
      </c>
      <c r="M34" s="140" t="n"/>
      <c r="N34" s="147" t="n"/>
      <c r="O34" s="141" t="n"/>
      <c r="P34" s="148" t="n"/>
      <c r="Q34" s="149" t="n"/>
      <c r="R34" s="150">
        <f>IF(OR($P34="",$N34="",$N34=0),"",$P34/(1+IF(IFERROR(INDEX('03 Suppliers'!$N$5:$N$34,MATCH($M34,'03 Suppliers'!$B$5:$B$34,0)),"Excl VAT")="Incl VAT",'01 Control'!$C$6,0))/($N34*IFERROR(VLOOKUP($O34,'02 Lists'!$A$5:$B$18,2,FALSE()),1)))</f>
        <v/>
      </c>
      <c r="S34" s="140" t="n"/>
      <c r="T34" s="147" t="n"/>
      <c r="U34" s="141" t="n"/>
      <c r="V34" s="148" t="n"/>
      <c r="W34" s="149" t="n"/>
      <c r="X34" s="150">
        <f>IF(OR($V34="",$T34="",$T34=0),"",$V34/(1+IF(IFERROR(INDEX('03 Suppliers'!$N$5:$N$34,MATCH($S34,'03 Suppliers'!$B$5:$B$34,0)),"Excl VAT")="Incl VAT",'01 Control'!$C$6,0))/($T34*IFERROR(VLOOKUP($U34,'02 Lists'!$A$5:$B$18,2,FALSE()),1)))</f>
        <v/>
      </c>
      <c r="Y34" s="140" t="n"/>
      <c r="Z34" s="147" t="n"/>
      <c r="AA34" s="141" t="n"/>
      <c r="AB34" s="148" t="n"/>
      <c r="AC34" s="149" t="n"/>
      <c r="AD34" s="150">
        <f>IF(OR($AB34="",$Z34="",$Z34=0),"",$AB34/(1+IF(IFERROR(INDEX('03 Suppliers'!$N$5:$N$34,MATCH($Y34,'03 Suppliers'!$B$5:$B$34,0)),"Excl VAT")="Incl VAT",'01 Control'!$C$6,0))/($Z34*IFERROR(VLOOKUP($AA34,'02 Lists'!$A$5:$B$18,2,FALSE()),1)))</f>
        <v/>
      </c>
      <c r="AE34" s="140" t="n"/>
      <c r="AF34" s="147" t="n"/>
      <c r="AG34" s="141" t="n"/>
      <c r="AH34" s="148" t="n"/>
      <c r="AI34" s="149" t="n"/>
      <c r="AJ34" s="150">
        <f>IF(OR($AH34="",$AF34="",$AF34=0),"",$AH34/(1+IF(IFERROR(INDEX('03 Suppliers'!$N$5:$N$34,MATCH($AE34,'03 Suppliers'!$B$5:$B$34,0)),"Excl VAT")="Incl VAT",'01 Control'!$C$6,0))/($AF34*IFERROR(VLOOKUP($AG34,'02 Lists'!$A$5:$B$18,2,FALSE()),1)))</f>
        <v/>
      </c>
      <c r="AK34" s="151">
        <f>IF(COUNT(L34,R34,X34,AD34,AJ34)=0,"",MIN(L34,R34,X34,AD34,AJ34))</f>
        <v/>
      </c>
      <c r="AL34" s="126">
        <f>IF($AK34="","",IF(L34=$AK34,$G34,IF(R34=$AK34,$M34,IF(X34=$AK34,$S34,IF(AD34=$AK34,$Y34,IF(AJ34=$AK34,$AE34,""))))))</f>
        <v/>
      </c>
      <c r="AM34" s="151">
        <f>IF($AK34="","",$AK34/IF($E34="",1,$E34))</f>
        <v/>
      </c>
      <c r="AN34" s="152">
        <f>COUNT(L34,R34,X34,AD34,AJ34)</f>
        <v/>
      </c>
      <c r="AO34" s="150">
        <f>IF(COUNT(L34,R34,X34,AD34,AJ34)=0,"",MAX(L34,R34,X34,AD34,AJ34))</f>
        <v/>
      </c>
      <c r="AP34" s="153">
        <f>IF(OR($AK34="",$AO34="",$AO34=0),"",($AO34-$AK34)/$AO34)</f>
        <v/>
      </c>
      <c r="AQ34" s="154">
        <f>IF($AK34="","",IF(L34=$AK34,$K34,IF(R34=$AK34,$Q34,IF(X34=$AK34,$W34,IF(AD34=$AK34,$AC34,IF(AJ34=$AK34,$AI34,""))))))</f>
        <v/>
      </c>
      <c r="AT34" s="142">
        <f>'03 Suppliers'!$B$34&amp;""</f>
        <v/>
      </c>
    </row>
    <row r="35" ht="15" customHeight="1" s="106">
      <c r="A35" s="140" t="n"/>
      <c r="B35" s="140" t="n"/>
      <c r="C35" s="140" t="n"/>
      <c r="D35" s="141" t="n"/>
      <c r="E35" s="146" t="n"/>
      <c r="F35" s="140" t="n"/>
      <c r="G35" s="140" t="n"/>
      <c r="H35" s="147" t="n"/>
      <c r="I35" s="141" t="n"/>
      <c r="J35" s="148" t="n"/>
      <c r="K35" s="149" t="n"/>
      <c r="L35" s="150">
        <f>IF(OR($J35="",$H35="",$H35=0),"",$J35/(1+IF(IFERROR(INDEX('03 Suppliers'!$N$5:$N$34,MATCH($G35,'03 Suppliers'!$B$5:$B$34,0)),"Excl VAT")="Incl VAT",'01 Control'!$C$6,0))/($H35*IFERROR(VLOOKUP($I35,'02 Lists'!$A$5:$B$18,2,FALSE()),1)))</f>
        <v/>
      </c>
      <c r="M35" s="140" t="n"/>
      <c r="N35" s="147" t="n"/>
      <c r="O35" s="141" t="n"/>
      <c r="P35" s="148" t="n"/>
      <c r="Q35" s="149" t="n"/>
      <c r="R35" s="150">
        <f>IF(OR($P35="",$N35="",$N35=0),"",$P35/(1+IF(IFERROR(INDEX('03 Suppliers'!$N$5:$N$34,MATCH($M35,'03 Suppliers'!$B$5:$B$34,0)),"Excl VAT")="Incl VAT",'01 Control'!$C$6,0))/($N35*IFERROR(VLOOKUP($O35,'02 Lists'!$A$5:$B$18,2,FALSE()),1)))</f>
        <v/>
      </c>
      <c r="S35" s="140" t="n"/>
      <c r="T35" s="147" t="n"/>
      <c r="U35" s="141" t="n"/>
      <c r="V35" s="148" t="n"/>
      <c r="W35" s="149" t="n"/>
      <c r="X35" s="150">
        <f>IF(OR($V35="",$T35="",$T35=0),"",$V35/(1+IF(IFERROR(INDEX('03 Suppliers'!$N$5:$N$34,MATCH($S35,'03 Suppliers'!$B$5:$B$34,0)),"Excl VAT")="Incl VAT",'01 Control'!$C$6,0))/($T35*IFERROR(VLOOKUP($U35,'02 Lists'!$A$5:$B$18,2,FALSE()),1)))</f>
        <v/>
      </c>
      <c r="Y35" s="140" t="n"/>
      <c r="Z35" s="147" t="n"/>
      <c r="AA35" s="141" t="n"/>
      <c r="AB35" s="148" t="n"/>
      <c r="AC35" s="149" t="n"/>
      <c r="AD35" s="150">
        <f>IF(OR($AB35="",$Z35="",$Z35=0),"",$AB35/(1+IF(IFERROR(INDEX('03 Suppliers'!$N$5:$N$34,MATCH($Y35,'03 Suppliers'!$B$5:$B$34,0)),"Excl VAT")="Incl VAT",'01 Control'!$C$6,0))/($Z35*IFERROR(VLOOKUP($AA35,'02 Lists'!$A$5:$B$18,2,FALSE()),1)))</f>
        <v/>
      </c>
      <c r="AE35" s="140" t="n"/>
      <c r="AF35" s="147" t="n"/>
      <c r="AG35" s="141" t="n"/>
      <c r="AH35" s="148" t="n"/>
      <c r="AI35" s="149" t="n"/>
      <c r="AJ35" s="150">
        <f>IF(OR($AH35="",$AF35="",$AF35=0),"",$AH35/(1+IF(IFERROR(INDEX('03 Suppliers'!$N$5:$N$34,MATCH($AE35,'03 Suppliers'!$B$5:$B$34,0)),"Excl VAT")="Incl VAT",'01 Control'!$C$6,0))/($AF35*IFERROR(VLOOKUP($AG35,'02 Lists'!$A$5:$B$18,2,FALSE()),1)))</f>
        <v/>
      </c>
      <c r="AK35" s="151">
        <f>IF(COUNT(L35,R35,X35,AD35,AJ35)=0,"",MIN(L35,R35,X35,AD35,AJ35))</f>
        <v/>
      </c>
      <c r="AL35" s="126">
        <f>IF($AK35="","",IF(L35=$AK35,$G35,IF(R35=$AK35,$M35,IF(X35=$AK35,$S35,IF(AD35=$AK35,$Y35,IF(AJ35=$AK35,$AE35,""))))))</f>
        <v/>
      </c>
      <c r="AM35" s="151">
        <f>IF($AK35="","",$AK35/IF($E35="",1,$E35))</f>
        <v/>
      </c>
      <c r="AN35" s="152">
        <f>COUNT(L35,R35,X35,AD35,AJ35)</f>
        <v/>
      </c>
      <c r="AO35" s="150">
        <f>IF(COUNT(L35,R35,X35,AD35,AJ35)=0,"",MAX(L35,R35,X35,AD35,AJ35))</f>
        <v/>
      </c>
      <c r="AP35" s="153">
        <f>IF(OR($AK35="",$AO35="",$AO35=0),"",($AO35-$AK35)/$AO35)</f>
        <v/>
      </c>
      <c r="AQ35" s="154">
        <f>IF($AK35="","",IF(L35=$AK35,$K35,IF(R35=$AK35,$Q35,IF(X35=$AK35,$W35,IF(AD35=$AK35,$AC35,IF(AJ35=$AK35,$AI35,""))))))</f>
        <v/>
      </c>
    </row>
    <row r="36" ht="15" customHeight="1" s="106">
      <c r="A36" s="140" t="n"/>
      <c r="B36" s="140" t="n"/>
      <c r="C36" s="140" t="n"/>
      <c r="D36" s="141" t="n"/>
      <c r="E36" s="146" t="n"/>
      <c r="F36" s="140" t="n"/>
      <c r="G36" s="140" t="n"/>
      <c r="H36" s="147" t="n"/>
      <c r="I36" s="141" t="n"/>
      <c r="J36" s="148" t="n"/>
      <c r="K36" s="149" t="n"/>
      <c r="L36" s="150">
        <f>IF(OR($J36="",$H36="",$H36=0),"",$J36/(1+IF(IFERROR(INDEX('03 Suppliers'!$N$5:$N$34,MATCH($G36,'03 Suppliers'!$B$5:$B$34,0)),"Excl VAT")="Incl VAT",'01 Control'!$C$6,0))/($H36*IFERROR(VLOOKUP($I36,'02 Lists'!$A$5:$B$18,2,FALSE()),1)))</f>
        <v/>
      </c>
      <c r="M36" s="140" t="n"/>
      <c r="N36" s="147" t="n"/>
      <c r="O36" s="141" t="n"/>
      <c r="P36" s="148" t="n"/>
      <c r="Q36" s="149" t="n"/>
      <c r="R36" s="150">
        <f>IF(OR($P36="",$N36="",$N36=0),"",$P36/(1+IF(IFERROR(INDEX('03 Suppliers'!$N$5:$N$34,MATCH($M36,'03 Suppliers'!$B$5:$B$34,0)),"Excl VAT")="Incl VAT",'01 Control'!$C$6,0))/($N36*IFERROR(VLOOKUP($O36,'02 Lists'!$A$5:$B$18,2,FALSE()),1)))</f>
        <v/>
      </c>
      <c r="S36" s="140" t="n"/>
      <c r="T36" s="147" t="n"/>
      <c r="U36" s="141" t="n"/>
      <c r="V36" s="148" t="n"/>
      <c r="W36" s="149" t="n"/>
      <c r="X36" s="150">
        <f>IF(OR($V36="",$T36="",$T36=0),"",$V36/(1+IF(IFERROR(INDEX('03 Suppliers'!$N$5:$N$34,MATCH($S36,'03 Suppliers'!$B$5:$B$34,0)),"Excl VAT")="Incl VAT",'01 Control'!$C$6,0))/($T36*IFERROR(VLOOKUP($U36,'02 Lists'!$A$5:$B$18,2,FALSE()),1)))</f>
        <v/>
      </c>
      <c r="Y36" s="140" t="n"/>
      <c r="Z36" s="147" t="n"/>
      <c r="AA36" s="141" t="n"/>
      <c r="AB36" s="148" t="n"/>
      <c r="AC36" s="149" t="n"/>
      <c r="AD36" s="150">
        <f>IF(OR($AB36="",$Z36="",$Z36=0),"",$AB36/(1+IF(IFERROR(INDEX('03 Suppliers'!$N$5:$N$34,MATCH($Y36,'03 Suppliers'!$B$5:$B$34,0)),"Excl VAT")="Incl VAT",'01 Control'!$C$6,0))/($Z36*IFERROR(VLOOKUP($AA36,'02 Lists'!$A$5:$B$18,2,FALSE()),1)))</f>
        <v/>
      </c>
      <c r="AE36" s="140" t="n"/>
      <c r="AF36" s="147" t="n"/>
      <c r="AG36" s="141" t="n"/>
      <c r="AH36" s="148" t="n"/>
      <c r="AI36" s="149" t="n"/>
      <c r="AJ36" s="150">
        <f>IF(OR($AH36="",$AF36="",$AF36=0),"",$AH36/(1+IF(IFERROR(INDEX('03 Suppliers'!$N$5:$N$34,MATCH($AE36,'03 Suppliers'!$B$5:$B$34,0)),"Excl VAT")="Incl VAT",'01 Control'!$C$6,0))/($AF36*IFERROR(VLOOKUP($AG36,'02 Lists'!$A$5:$B$18,2,FALSE()),1)))</f>
        <v/>
      </c>
      <c r="AK36" s="151">
        <f>IF(COUNT(L36,R36,X36,AD36,AJ36)=0,"",MIN(L36,R36,X36,AD36,AJ36))</f>
        <v/>
      </c>
      <c r="AL36" s="126">
        <f>IF($AK36="","",IF(L36=$AK36,$G36,IF(R36=$AK36,$M36,IF(X36=$AK36,$S36,IF(AD36=$AK36,$Y36,IF(AJ36=$AK36,$AE36,""))))))</f>
        <v/>
      </c>
      <c r="AM36" s="151">
        <f>IF($AK36="","",$AK36/IF($E36="",1,$E36))</f>
        <v/>
      </c>
      <c r="AN36" s="152">
        <f>COUNT(L36,R36,X36,AD36,AJ36)</f>
        <v/>
      </c>
      <c r="AO36" s="150">
        <f>IF(COUNT(L36,R36,X36,AD36,AJ36)=0,"",MAX(L36,R36,X36,AD36,AJ36))</f>
        <v/>
      </c>
      <c r="AP36" s="153">
        <f>IF(OR($AK36="",$AO36="",$AO36=0),"",($AO36-$AK36)/$AO36)</f>
        <v/>
      </c>
      <c r="AQ36" s="154">
        <f>IF($AK36="","",IF(L36=$AK36,$K36,IF(R36=$AK36,$Q36,IF(X36=$AK36,$W36,IF(AD36=$AK36,$AC36,IF(AJ36=$AK36,$AI36,""))))))</f>
        <v/>
      </c>
    </row>
    <row r="37" ht="15" customHeight="1" s="106">
      <c r="A37" s="140" t="n"/>
      <c r="B37" s="140" t="n"/>
      <c r="C37" s="140" t="n"/>
      <c r="D37" s="141" t="n"/>
      <c r="E37" s="146" t="n"/>
      <c r="F37" s="140" t="n"/>
      <c r="G37" s="140" t="n"/>
      <c r="H37" s="147" t="n"/>
      <c r="I37" s="141" t="n"/>
      <c r="J37" s="148" t="n"/>
      <c r="K37" s="149" t="n"/>
      <c r="L37" s="150">
        <f>IF(OR($J37="",$H37="",$H37=0),"",$J37/(1+IF(IFERROR(INDEX('03 Suppliers'!$N$5:$N$34,MATCH($G37,'03 Suppliers'!$B$5:$B$34,0)),"Excl VAT")="Incl VAT",'01 Control'!$C$6,0))/($H37*IFERROR(VLOOKUP($I37,'02 Lists'!$A$5:$B$18,2,FALSE()),1)))</f>
        <v/>
      </c>
      <c r="M37" s="140" t="n"/>
      <c r="N37" s="147" t="n"/>
      <c r="O37" s="141" t="n"/>
      <c r="P37" s="148" t="n"/>
      <c r="Q37" s="149" t="n"/>
      <c r="R37" s="150">
        <f>IF(OR($P37="",$N37="",$N37=0),"",$P37/(1+IF(IFERROR(INDEX('03 Suppliers'!$N$5:$N$34,MATCH($M37,'03 Suppliers'!$B$5:$B$34,0)),"Excl VAT")="Incl VAT",'01 Control'!$C$6,0))/($N37*IFERROR(VLOOKUP($O37,'02 Lists'!$A$5:$B$18,2,FALSE()),1)))</f>
        <v/>
      </c>
      <c r="S37" s="140" t="n"/>
      <c r="T37" s="147" t="n"/>
      <c r="U37" s="141" t="n"/>
      <c r="V37" s="148" t="n"/>
      <c r="W37" s="149" t="n"/>
      <c r="X37" s="150">
        <f>IF(OR($V37="",$T37="",$T37=0),"",$V37/(1+IF(IFERROR(INDEX('03 Suppliers'!$N$5:$N$34,MATCH($S37,'03 Suppliers'!$B$5:$B$34,0)),"Excl VAT")="Incl VAT",'01 Control'!$C$6,0))/($T37*IFERROR(VLOOKUP($U37,'02 Lists'!$A$5:$B$18,2,FALSE()),1)))</f>
        <v/>
      </c>
      <c r="Y37" s="140" t="n"/>
      <c r="Z37" s="147" t="n"/>
      <c r="AA37" s="141" t="n"/>
      <c r="AB37" s="148" t="n"/>
      <c r="AC37" s="149" t="n"/>
      <c r="AD37" s="150">
        <f>IF(OR($AB37="",$Z37="",$Z37=0),"",$AB37/(1+IF(IFERROR(INDEX('03 Suppliers'!$N$5:$N$34,MATCH($Y37,'03 Suppliers'!$B$5:$B$34,0)),"Excl VAT")="Incl VAT",'01 Control'!$C$6,0))/($Z37*IFERROR(VLOOKUP($AA37,'02 Lists'!$A$5:$B$18,2,FALSE()),1)))</f>
        <v/>
      </c>
      <c r="AE37" s="140" t="n"/>
      <c r="AF37" s="147" t="n"/>
      <c r="AG37" s="141" t="n"/>
      <c r="AH37" s="148" t="n"/>
      <c r="AI37" s="149" t="n"/>
      <c r="AJ37" s="150">
        <f>IF(OR($AH37="",$AF37="",$AF37=0),"",$AH37/(1+IF(IFERROR(INDEX('03 Suppliers'!$N$5:$N$34,MATCH($AE37,'03 Suppliers'!$B$5:$B$34,0)),"Excl VAT")="Incl VAT",'01 Control'!$C$6,0))/($AF37*IFERROR(VLOOKUP($AG37,'02 Lists'!$A$5:$B$18,2,FALSE()),1)))</f>
        <v/>
      </c>
      <c r="AK37" s="151">
        <f>IF(COUNT(L37,R37,X37,AD37,AJ37)=0,"",MIN(L37,R37,X37,AD37,AJ37))</f>
        <v/>
      </c>
      <c r="AL37" s="126">
        <f>IF($AK37="","",IF(L37=$AK37,$G37,IF(R37=$AK37,$M37,IF(X37=$AK37,$S37,IF(AD37=$AK37,$Y37,IF(AJ37=$AK37,$AE37,""))))))</f>
        <v/>
      </c>
      <c r="AM37" s="151">
        <f>IF($AK37="","",$AK37/IF($E37="",1,$E37))</f>
        <v/>
      </c>
      <c r="AN37" s="152">
        <f>COUNT(L37,R37,X37,AD37,AJ37)</f>
        <v/>
      </c>
      <c r="AO37" s="150">
        <f>IF(COUNT(L37,R37,X37,AD37,AJ37)=0,"",MAX(L37,R37,X37,AD37,AJ37))</f>
        <v/>
      </c>
      <c r="AP37" s="153">
        <f>IF(OR($AK37="",$AO37="",$AO37=0),"",($AO37-$AK37)/$AO37)</f>
        <v/>
      </c>
      <c r="AQ37" s="154">
        <f>IF($AK37="","",IF(L37=$AK37,$K37,IF(R37=$AK37,$Q37,IF(X37=$AK37,$W37,IF(AD37=$AK37,$AC37,IF(AJ37=$AK37,$AI37,""))))))</f>
        <v/>
      </c>
    </row>
    <row r="38" ht="15" customHeight="1" s="106">
      <c r="A38" s="140" t="n"/>
      <c r="B38" s="140" t="n"/>
      <c r="C38" s="140" t="n"/>
      <c r="D38" s="141" t="n"/>
      <c r="E38" s="146" t="n"/>
      <c r="F38" s="140" t="n"/>
      <c r="G38" s="140" t="n"/>
      <c r="H38" s="147" t="n"/>
      <c r="I38" s="141" t="n"/>
      <c r="J38" s="148" t="n"/>
      <c r="K38" s="149" t="n"/>
      <c r="L38" s="150">
        <f>IF(OR($J38="",$H38="",$H38=0),"",$J38/(1+IF(IFERROR(INDEX('03 Suppliers'!$N$5:$N$34,MATCH($G38,'03 Suppliers'!$B$5:$B$34,0)),"Excl VAT")="Incl VAT",'01 Control'!$C$6,0))/($H38*IFERROR(VLOOKUP($I38,'02 Lists'!$A$5:$B$18,2,FALSE()),1)))</f>
        <v/>
      </c>
      <c r="M38" s="140" t="n"/>
      <c r="N38" s="147" t="n"/>
      <c r="O38" s="141" t="n"/>
      <c r="P38" s="148" t="n"/>
      <c r="Q38" s="149" t="n"/>
      <c r="R38" s="150">
        <f>IF(OR($P38="",$N38="",$N38=0),"",$P38/(1+IF(IFERROR(INDEX('03 Suppliers'!$N$5:$N$34,MATCH($M38,'03 Suppliers'!$B$5:$B$34,0)),"Excl VAT")="Incl VAT",'01 Control'!$C$6,0))/($N38*IFERROR(VLOOKUP($O38,'02 Lists'!$A$5:$B$18,2,FALSE()),1)))</f>
        <v/>
      </c>
      <c r="S38" s="140" t="n"/>
      <c r="T38" s="147" t="n"/>
      <c r="U38" s="141" t="n"/>
      <c r="V38" s="148" t="n"/>
      <c r="W38" s="149" t="n"/>
      <c r="X38" s="150">
        <f>IF(OR($V38="",$T38="",$T38=0),"",$V38/(1+IF(IFERROR(INDEX('03 Suppliers'!$N$5:$N$34,MATCH($S38,'03 Suppliers'!$B$5:$B$34,0)),"Excl VAT")="Incl VAT",'01 Control'!$C$6,0))/($T38*IFERROR(VLOOKUP($U38,'02 Lists'!$A$5:$B$18,2,FALSE()),1)))</f>
        <v/>
      </c>
      <c r="Y38" s="140" t="n"/>
      <c r="Z38" s="147" t="n"/>
      <c r="AA38" s="141" t="n"/>
      <c r="AB38" s="148" t="n"/>
      <c r="AC38" s="149" t="n"/>
      <c r="AD38" s="150">
        <f>IF(OR($AB38="",$Z38="",$Z38=0),"",$AB38/(1+IF(IFERROR(INDEX('03 Suppliers'!$N$5:$N$34,MATCH($Y38,'03 Suppliers'!$B$5:$B$34,0)),"Excl VAT")="Incl VAT",'01 Control'!$C$6,0))/($Z38*IFERROR(VLOOKUP($AA38,'02 Lists'!$A$5:$B$18,2,FALSE()),1)))</f>
        <v/>
      </c>
      <c r="AE38" s="140" t="n"/>
      <c r="AF38" s="147" t="n"/>
      <c r="AG38" s="141" t="n"/>
      <c r="AH38" s="148" t="n"/>
      <c r="AI38" s="149" t="n"/>
      <c r="AJ38" s="150">
        <f>IF(OR($AH38="",$AF38="",$AF38=0),"",$AH38/(1+IF(IFERROR(INDEX('03 Suppliers'!$N$5:$N$34,MATCH($AE38,'03 Suppliers'!$B$5:$B$34,0)),"Excl VAT")="Incl VAT",'01 Control'!$C$6,0))/($AF38*IFERROR(VLOOKUP($AG38,'02 Lists'!$A$5:$B$18,2,FALSE()),1)))</f>
        <v/>
      </c>
      <c r="AK38" s="151">
        <f>IF(COUNT(L38,R38,X38,AD38,AJ38)=0,"",MIN(L38,R38,X38,AD38,AJ38))</f>
        <v/>
      </c>
      <c r="AL38" s="126">
        <f>IF($AK38="","",IF(L38=$AK38,$G38,IF(R38=$AK38,$M38,IF(X38=$AK38,$S38,IF(AD38=$AK38,$Y38,IF(AJ38=$AK38,$AE38,""))))))</f>
        <v/>
      </c>
      <c r="AM38" s="151">
        <f>IF($AK38="","",$AK38/IF($E38="",1,$E38))</f>
        <v/>
      </c>
      <c r="AN38" s="152">
        <f>COUNT(L38,R38,X38,AD38,AJ38)</f>
        <v/>
      </c>
      <c r="AO38" s="150">
        <f>IF(COUNT(L38,R38,X38,AD38,AJ38)=0,"",MAX(L38,R38,X38,AD38,AJ38))</f>
        <v/>
      </c>
      <c r="AP38" s="153">
        <f>IF(OR($AK38="",$AO38="",$AO38=0),"",($AO38-$AK38)/$AO38)</f>
        <v/>
      </c>
      <c r="AQ38" s="154">
        <f>IF($AK38="","",IF(L38=$AK38,$K38,IF(R38=$AK38,$Q38,IF(X38=$AK38,$W38,IF(AD38=$AK38,$AC38,IF(AJ38=$AK38,$AI38,""))))))</f>
        <v/>
      </c>
    </row>
    <row r="39" ht="15" customHeight="1" s="106">
      <c r="A39" s="140" t="n"/>
      <c r="B39" s="140" t="n"/>
      <c r="C39" s="140" t="n"/>
      <c r="D39" s="141" t="n"/>
      <c r="E39" s="146" t="n"/>
      <c r="F39" s="140" t="n"/>
      <c r="G39" s="140" t="n"/>
      <c r="H39" s="147" t="n"/>
      <c r="I39" s="141" t="n"/>
      <c r="J39" s="148" t="n"/>
      <c r="K39" s="149" t="n"/>
      <c r="L39" s="150">
        <f>IF(OR($J39="",$H39="",$H39=0),"",$J39/(1+IF(IFERROR(INDEX('03 Suppliers'!$N$5:$N$34,MATCH($G39,'03 Suppliers'!$B$5:$B$34,0)),"Excl VAT")="Incl VAT",'01 Control'!$C$6,0))/($H39*IFERROR(VLOOKUP($I39,'02 Lists'!$A$5:$B$18,2,FALSE()),1)))</f>
        <v/>
      </c>
      <c r="M39" s="140" t="n"/>
      <c r="N39" s="147" t="n"/>
      <c r="O39" s="141" t="n"/>
      <c r="P39" s="148" t="n"/>
      <c r="Q39" s="149" t="n"/>
      <c r="R39" s="150">
        <f>IF(OR($P39="",$N39="",$N39=0),"",$P39/(1+IF(IFERROR(INDEX('03 Suppliers'!$N$5:$N$34,MATCH($M39,'03 Suppliers'!$B$5:$B$34,0)),"Excl VAT")="Incl VAT",'01 Control'!$C$6,0))/($N39*IFERROR(VLOOKUP($O39,'02 Lists'!$A$5:$B$18,2,FALSE()),1)))</f>
        <v/>
      </c>
      <c r="S39" s="140" t="n"/>
      <c r="T39" s="147" t="n"/>
      <c r="U39" s="141" t="n"/>
      <c r="V39" s="148" t="n"/>
      <c r="W39" s="149" t="n"/>
      <c r="X39" s="150">
        <f>IF(OR($V39="",$T39="",$T39=0),"",$V39/(1+IF(IFERROR(INDEX('03 Suppliers'!$N$5:$N$34,MATCH($S39,'03 Suppliers'!$B$5:$B$34,0)),"Excl VAT")="Incl VAT",'01 Control'!$C$6,0))/($T39*IFERROR(VLOOKUP($U39,'02 Lists'!$A$5:$B$18,2,FALSE()),1)))</f>
        <v/>
      </c>
      <c r="Y39" s="140" t="n"/>
      <c r="Z39" s="147" t="n"/>
      <c r="AA39" s="141" t="n"/>
      <c r="AB39" s="148" t="n"/>
      <c r="AC39" s="149" t="n"/>
      <c r="AD39" s="150">
        <f>IF(OR($AB39="",$Z39="",$Z39=0),"",$AB39/(1+IF(IFERROR(INDEX('03 Suppliers'!$N$5:$N$34,MATCH($Y39,'03 Suppliers'!$B$5:$B$34,0)),"Excl VAT")="Incl VAT",'01 Control'!$C$6,0))/($Z39*IFERROR(VLOOKUP($AA39,'02 Lists'!$A$5:$B$18,2,FALSE()),1)))</f>
        <v/>
      </c>
      <c r="AE39" s="140" t="n"/>
      <c r="AF39" s="147" t="n"/>
      <c r="AG39" s="141" t="n"/>
      <c r="AH39" s="148" t="n"/>
      <c r="AI39" s="149" t="n"/>
      <c r="AJ39" s="150">
        <f>IF(OR($AH39="",$AF39="",$AF39=0),"",$AH39/(1+IF(IFERROR(INDEX('03 Suppliers'!$N$5:$N$34,MATCH($AE39,'03 Suppliers'!$B$5:$B$34,0)),"Excl VAT")="Incl VAT",'01 Control'!$C$6,0))/($AF39*IFERROR(VLOOKUP($AG39,'02 Lists'!$A$5:$B$18,2,FALSE()),1)))</f>
        <v/>
      </c>
      <c r="AK39" s="151">
        <f>IF(COUNT(L39,R39,X39,AD39,AJ39)=0,"",MIN(L39,R39,X39,AD39,AJ39))</f>
        <v/>
      </c>
      <c r="AL39" s="126">
        <f>IF($AK39="","",IF(L39=$AK39,$G39,IF(R39=$AK39,$M39,IF(X39=$AK39,$S39,IF(AD39=$AK39,$Y39,IF(AJ39=$AK39,$AE39,""))))))</f>
        <v/>
      </c>
      <c r="AM39" s="151">
        <f>IF($AK39="","",$AK39/IF($E39="",1,$E39))</f>
        <v/>
      </c>
      <c r="AN39" s="152">
        <f>COUNT(L39,R39,X39,AD39,AJ39)</f>
        <v/>
      </c>
      <c r="AO39" s="150">
        <f>IF(COUNT(L39,R39,X39,AD39,AJ39)=0,"",MAX(L39,R39,X39,AD39,AJ39))</f>
        <v/>
      </c>
      <c r="AP39" s="153">
        <f>IF(OR($AK39="",$AO39="",$AO39=0),"",($AO39-$AK39)/$AO39)</f>
        <v/>
      </c>
      <c r="AQ39" s="154">
        <f>IF($AK39="","",IF(L39=$AK39,$K39,IF(R39=$AK39,$Q39,IF(X39=$AK39,$W39,IF(AD39=$AK39,$AC39,IF(AJ39=$AK39,$AI39,""))))))</f>
        <v/>
      </c>
    </row>
    <row r="40" ht="15" customHeight="1" s="106">
      <c r="A40" s="140" t="n"/>
      <c r="B40" s="140" t="n"/>
      <c r="C40" s="140" t="n"/>
      <c r="D40" s="141" t="n"/>
      <c r="E40" s="146" t="n"/>
      <c r="F40" s="140" t="n"/>
      <c r="G40" s="140" t="n"/>
      <c r="H40" s="147" t="n"/>
      <c r="I40" s="141" t="n"/>
      <c r="J40" s="148" t="n"/>
      <c r="K40" s="149" t="n"/>
      <c r="L40" s="150">
        <f>IF(OR($J40="",$H40="",$H40=0),"",$J40/(1+IF(IFERROR(INDEX('03 Suppliers'!$N$5:$N$34,MATCH($G40,'03 Suppliers'!$B$5:$B$34,0)),"Excl VAT")="Incl VAT",'01 Control'!$C$6,0))/($H40*IFERROR(VLOOKUP($I40,'02 Lists'!$A$5:$B$18,2,FALSE()),1)))</f>
        <v/>
      </c>
      <c r="M40" s="140" t="n"/>
      <c r="N40" s="147" t="n"/>
      <c r="O40" s="141" t="n"/>
      <c r="P40" s="148" t="n"/>
      <c r="Q40" s="149" t="n"/>
      <c r="R40" s="150">
        <f>IF(OR($P40="",$N40="",$N40=0),"",$P40/(1+IF(IFERROR(INDEX('03 Suppliers'!$N$5:$N$34,MATCH($M40,'03 Suppliers'!$B$5:$B$34,0)),"Excl VAT")="Incl VAT",'01 Control'!$C$6,0))/($N40*IFERROR(VLOOKUP($O40,'02 Lists'!$A$5:$B$18,2,FALSE()),1)))</f>
        <v/>
      </c>
      <c r="S40" s="140" t="n"/>
      <c r="T40" s="147" t="n"/>
      <c r="U40" s="141" t="n"/>
      <c r="V40" s="148" t="n"/>
      <c r="W40" s="149" t="n"/>
      <c r="X40" s="150">
        <f>IF(OR($V40="",$T40="",$T40=0),"",$V40/(1+IF(IFERROR(INDEX('03 Suppliers'!$N$5:$N$34,MATCH($S40,'03 Suppliers'!$B$5:$B$34,0)),"Excl VAT")="Incl VAT",'01 Control'!$C$6,0))/($T40*IFERROR(VLOOKUP($U40,'02 Lists'!$A$5:$B$18,2,FALSE()),1)))</f>
        <v/>
      </c>
      <c r="Y40" s="140" t="n"/>
      <c r="Z40" s="147" t="n"/>
      <c r="AA40" s="141" t="n"/>
      <c r="AB40" s="148" t="n"/>
      <c r="AC40" s="149" t="n"/>
      <c r="AD40" s="150">
        <f>IF(OR($AB40="",$Z40="",$Z40=0),"",$AB40/(1+IF(IFERROR(INDEX('03 Suppliers'!$N$5:$N$34,MATCH($Y40,'03 Suppliers'!$B$5:$B$34,0)),"Excl VAT")="Incl VAT",'01 Control'!$C$6,0))/($Z40*IFERROR(VLOOKUP($AA40,'02 Lists'!$A$5:$B$18,2,FALSE()),1)))</f>
        <v/>
      </c>
      <c r="AE40" s="140" t="n"/>
      <c r="AF40" s="147" t="n"/>
      <c r="AG40" s="141" t="n"/>
      <c r="AH40" s="148" t="n"/>
      <c r="AI40" s="149" t="n"/>
      <c r="AJ40" s="150">
        <f>IF(OR($AH40="",$AF40="",$AF40=0),"",$AH40/(1+IF(IFERROR(INDEX('03 Suppliers'!$N$5:$N$34,MATCH($AE40,'03 Suppliers'!$B$5:$B$34,0)),"Excl VAT")="Incl VAT",'01 Control'!$C$6,0))/($AF40*IFERROR(VLOOKUP($AG40,'02 Lists'!$A$5:$B$18,2,FALSE()),1)))</f>
        <v/>
      </c>
      <c r="AK40" s="151">
        <f>IF(COUNT(L40,R40,X40,AD40,AJ40)=0,"",MIN(L40,R40,X40,AD40,AJ40))</f>
        <v/>
      </c>
      <c r="AL40" s="126">
        <f>IF($AK40="","",IF(L40=$AK40,$G40,IF(R40=$AK40,$M40,IF(X40=$AK40,$S40,IF(AD40=$AK40,$Y40,IF(AJ40=$AK40,$AE40,""))))))</f>
        <v/>
      </c>
      <c r="AM40" s="151">
        <f>IF($AK40="","",$AK40/IF($E40="",1,$E40))</f>
        <v/>
      </c>
      <c r="AN40" s="152">
        <f>COUNT(L40,R40,X40,AD40,AJ40)</f>
        <v/>
      </c>
      <c r="AO40" s="150">
        <f>IF(COUNT(L40,R40,X40,AD40,AJ40)=0,"",MAX(L40,R40,X40,AD40,AJ40))</f>
        <v/>
      </c>
      <c r="AP40" s="153">
        <f>IF(OR($AK40="",$AO40="",$AO40=0),"",($AO40-$AK40)/$AO40)</f>
        <v/>
      </c>
      <c r="AQ40" s="154">
        <f>IF($AK40="","",IF(L40=$AK40,$K40,IF(R40=$AK40,$Q40,IF(X40=$AK40,$W40,IF(AD40=$AK40,$AC40,IF(AJ40=$AK40,$AI40,""))))))</f>
        <v/>
      </c>
    </row>
    <row r="41" ht="15" customHeight="1" s="106">
      <c r="A41" s="140" t="n"/>
      <c r="B41" s="140" t="n"/>
      <c r="C41" s="140" t="n"/>
      <c r="D41" s="141" t="n"/>
      <c r="E41" s="146" t="n"/>
      <c r="F41" s="140" t="n"/>
      <c r="G41" s="140" t="n"/>
      <c r="H41" s="147" t="n"/>
      <c r="I41" s="141" t="n"/>
      <c r="J41" s="148" t="n"/>
      <c r="K41" s="149" t="n"/>
      <c r="L41" s="150">
        <f>IF(OR($J41="",$H41="",$H41=0),"",$J41/(1+IF(IFERROR(INDEX('03 Suppliers'!$N$5:$N$34,MATCH($G41,'03 Suppliers'!$B$5:$B$34,0)),"Excl VAT")="Incl VAT",'01 Control'!$C$6,0))/($H41*IFERROR(VLOOKUP($I41,'02 Lists'!$A$5:$B$18,2,FALSE()),1)))</f>
        <v/>
      </c>
      <c r="M41" s="140" t="n"/>
      <c r="N41" s="147" t="n"/>
      <c r="O41" s="141" t="n"/>
      <c r="P41" s="148" t="n"/>
      <c r="Q41" s="149" t="n"/>
      <c r="R41" s="150">
        <f>IF(OR($P41="",$N41="",$N41=0),"",$P41/(1+IF(IFERROR(INDEX('03 Suppliers'!$N$5:$N$34,MATCH($M41,'03 Suppliers'!$B$5:$B$34,0)),"Excl VAT")="Incl VAT",'01 Control'!$C$6,0))/($N41*IFERROR(VLOOKUP($O41,'02 Lists'!$A$5:$B$18,2,FALSE()),1)))</f>
        <v/>
      </c>
      <c r="S41" s="140" t="n"/>
      <c r="T41" s="147" t="n"/>
      <c r="U41" s="141" t="n"/>
      <c r="V41" s="148" t="n"/>
      <c r="W41" s="149" t="n"/>
      <c r="X41" s="150">
        <f>IF(OR($V41="",$T41="",$T41=0),"",$V41/(1+IF(IFERROR(INDEX('03 Suppliers'!$N$5:$N$34,MATCH($S41,'03 Suppliers'!$B$5:$B$34,0)),"Excl VAT")="Incl VAT",'01 Control'!$C$6,0))/($T41*IFERROR(VLOOKUP($U41,'02 Lists'!$A$5:$B$18,2,FALSE()),1)))</f>
        <v/>
      </c>
      <c r="Y41" s="140" t="n"/>
      <c r="Z41" s="147" t="n"/>
      <c r="AA41" s="141" t="n"/>
      <c r="AB41" s="148" t="n"/>
      <c r="AC41" s="149" t="n"/>
      <c r="AD41" s="150">
        <f>IF(OR($AB41="",$Z41="",$Z41=0),"",$AB41/(1+IF(IFERROR(INDEX('03 Suppliers'!$N$5:$N$34,MATCH($Y41,'03 Suppliers'!$B$5:$B$34,0)),"Excl VAT")="Incl VAT",'01 Control'!$C$6,0))/($Z41*IFERROR(VLOOKUP($AA41,'02 Lists'!$A$5:$B$18,2,FALSE()),1)))</f>
        <v/>
      </c>
      <c r="AE41" s="140" t="n"/>
      <c r="AF41" s="147" t="n"/>
      <c r="AG41" s="141" t="n"/>
      <c r="AH41" s="148" t="n"/>
      <c r="AI41" s="149" t="n"/>
      <c r="AJ41" s="150">
        <f>IF(OR($AH41="",$AF41="",$AF41=0),"",$AH41/(1+IF(IFERROR(INDEX('03 Suppliers'!$N$5:$N$34,MATCH($AE41,'03 Suppliers'!$B$5:$B$34,0)),"Excl VAT")="Incl VAT",'01 Control'!$C$6,0))/($AF41*IFERROR(VLOOKUP($AG41,'02 Lists'!$A$5:$B$18,2,FALSE()),1)))</f>
        <v/>
      </c>
      <c r="AK41" s="151">
        <f>IF(COUNT(L41,R41,X41,AD41,AJ41)=0,"",MIN(L41,R41,X41,AD41,AJ41))</f>
        <v/>
      </c>
      <c r="AL41" s="126">
        <f>IF($AK41="","",IF(L41=$AK41,$G41,IF(R41=$AK41,$M41,IF(X41=$AK41,$S41,IF(AD41=$AK41,$Y41,IF(AJ41=$AK41,$AE41,""))))))</f>
        <v/>
      </c>
      <c r="AM41" s="151">
        <f>IF($AK41="","",$AK41/IF($E41="",1,$E41))</f>
        <v/>
      </c>
      <c r="AN41" s="152">
        <f>COUNT(L41,R41,X41,AD41,AJ41)</f>
        <v/>
      </c>
      <c r="AO41" s="150">
        <f>IF(COUNT(L41,R41,X41,AD41,AJ41)=0,"",MAX(L41,R41,X41,AD41,AJ41))</f>
        <v/>
      </c>
      <c r="AP41" s="153">
        <f>IF(OR($AK41="",$AO41="",$AO41=0),"",($AO41-$AK41)/$AO41)</f>
        <v/>
      </c>
      <c r="AQ41" s="154">
        <f>IF($AK41="","",IF(L41=$AK41,$K41,IF(R41=$AK41,$Q41,IF(X41=$AK41,$W41,IF(AD41=$AK41,$AC41,IF(AJ41=$AK41,$AI41,""))))))</f>
        <v/>
      </c>
    </row>
    <row r="42" ht="15" customHeight="1" s="106">
      <c r="A42" s="140" t="n"/>
      <c r="B42" s="140" t="n"/>
      <c r="C42" s="140" t="n"/>
      <c r="D42" s="141" t="n"/>
      <c r="E42" s="146" t="n"/>
      <c r="F42" s="140" t="n"/>
      <c r="G42" s="140" t="n"/>
      <c r="H42" s="147" t="n"/>
      <c r="I42" s="141" t="n"/>
      <c r="J42" s="148" t="n"/>
      <c r="K42" s="149" t="n"/>
      <c r="L42" s="150">
        <f>IF(OR($J42="",$H42="",$H42=0),"",$J42/(1+IF(IFERROR(INDEX('03 Suppliers'!$N$5:$N$34,MATCH($G42,'03 Suppliers'!$B$5:$B$34,0)),"Excl VAT")="Incl VAT",'01 Control'!$C$6,0))/($H42*IFERROR(VLOOKUP($I42,'02 Lists'!$A$5:$B$18,2,FALSE()),1)))</f>
        <v/>
      </c>
      <c r="M42" s="140" t="n"/>
      <c r="N42" s="147" t="n"/>
      <c r="O42" s="141" t="n"/>
      <c r="P42" s="148" t="n"/>
      <c r="Q42" s="149" t="n"/>
      <c r="R42" s="150">
        <f>IF(OR($P42="",$N42="",$N42=0),"",$P42/(1+IF(IFERROR(INDEX('03 Suppliers'!$N$5:$N$34,MATCH($M42,'03 Suppliers'!$B$5:$B$34,0)),"Excl VAT")="Incl VAT",'01 Control'!$C$6,0))/($N42*IFERROR(VLOOKUP($O42,'02 Lists'!$A$5:$B$18,2,FALSE()),1)))</f>
        <v/>
      </c>
      <c r="S42" s="140" t="n"/>
      <c r="T42" s="147" t="n"/>
      <c r="U42" s="141" t="n"/>
      <c r="V42" s="148" t="n"/>
      <c r="W42" s="149" t="n"/>
      <c r="X42" s="150">
        <f>IF(OR($V42="",$T42="",$T42=0),"",$V42/(1+IF(IFERROR(INDEX('03 Suppliers'!$N$5:$N$34,MATCH($S42,'03 Suppliers'!$B$5:$B$34,0)),"Excl VAT")="Incl VAT",'01 Control'!$C$6,0))/($T42*IFERROR(VLOOKUP($U42,'02 Lists'!$A$5:$B$18,2,FALSE()),1)))</f>
        <v/>
      </c>
      <c r="Y42" s="140" t="n"/>
      <c r="Z42" s="147" t="n"/>
      <c r="AA42" s="141" t="n"/>
      <c r="AB42" s="148" t="n"/>
      <c r="AC42" s="149" t="n"/>
      <c r="AD42" s="150">
        <f>IF(OR($AB42="",$Z42="",$Z42=0),"",$AB42/(1+IF(IFERROR(INDEX('03 Suppliers'!$N$5:$N$34,MATCH($Y42,'03 Suppliers'!$B$5:$B$34,0)),"Excl VAT")="Incl VAT",'01 Control'!$C$6,0))/($Z42*IFERROR(VLOOKUP($AA42,'02 Lists'!$A$5:$B$18,2,FALSE()),1)))</f>
        <v/>
      </c>
      <c r="AE42" s="140" t="n"/>
      <c r="AF42" s="147" t="n"/>
      <c r="AG42" s="141" t="n"/>
      <c r="AH42" s="148" t="n"/>
      <c r="AI42" s="149" t="n"/>
      <c r="AJ42" s="150">
        <f>IF(OR($AH42="",$AF42="",$AF42=0),"",$AH42/(1+IF(IFERROR(INDEX('03 Suppliers'!$N$5:$N$34,MATCH($AE42,'03 Suppliers'!$B$5:$B$34,0)),"Excl VAT")="Incl VAT",'01 Control'!$C$6,0))/($AF42*IFERROR(VLOOKUP($AG42,'02 Lists'!$A$5:$B$18,2,FALSE()),1)))</f>
        <v/>
      </c>
      <c r="AK42" s="151">
        <f>IF(COUNT(L42,R42,X42,AD42,AJ42)=0,"",MIN(L42,R42,X42,AD42,AJ42))</f>
        <v/>
      </c>
      <c r="AL42" s="126">
        <f>IF($AK42="","",IF(L42=$AK42,$G42,IF(R42=$AK42,$M42,IF(X42=$AK42,$S42,IF(AD42=$AK42,$Y42,IF(AJ42=$AK42,$AE42,""))))))</f>
        <v/>
      </c>
      <c r="AM42" s="151">
        <f>IF($AK42="","",$AK42/IF($E42="",1,$E42))</f>
        <v/>
      </c>
      <c r="AN42" s="152">
        <f>COUNT(L42,R42,X42,AD42,AJ42)</f>
        <v/>
      </c>
      <c r="AO42" s="150">
        <f>IF(COUNT(L42,R42,X42,AD42,AJ42)=0,"",MAX(L42,R42,X42,AD42,AJ42))</f>
        <v/>
      </c>
      <c r="AP42" s="153">
        <f>IF(OR($AK42="",$AO42="",$AO42=0),"",($AO42-$AK42)/$AO42)</f>
        <v/>
      </c>
      <c r="AQ42" s="154">
        <f>IF($AK42="","",IF(L42=$AK42,$K42,IF(R42=$AK42,$Q42,IF(X42=$AK42,$W42,IF(AD42=$AK42,$AC42,IF(AJ42=$AK42,$AI42,""))))))</f>
        <v/>
      </c>
    </row>
    <row r="43" ht="15" customHeight="1" s="106">
      <c r="A43" s="140" t="n"/>
      <c r="B43" s="140" t="n"/>
      <c r="C43" s="140" t="n"/>
      <c r="D43" s="141" t="n"/>
      <c r="E43" s="146" t="n"/>
      <c r="F43" s="140" t="n"/>
      <c r="G43" s="140" t="n"/>
      <c r="H43" s="147" t="n"/>
      <c r="I43" s="141" t="n"/>
      <c r="J43" s="148" t="n"/>
      <c r="K43" s="149" t="n"/>
      <c r="L43" s="150">
        <f>IF(OR($J43="",$H43="",$H43=0),"",$J43/(1+IF(IFERROR(INDEX('03 Suppliers'!$N$5:$N$34,MATCH($G43,'03 Suppliers'!$B$5:$B$34,0)),"Excl VAT")="Incl VAT",'01 Control'!$C$6,0))/($H43*IFERROR(VLOOKUP($I43,'02 Lists'!$A$5:$B$18,2,FALSE()),1)))</f>
        <v/>
      </c>
      <c r="M43" s="140" t="n"/>
      <c r="N43" s="147" t="n"/>
      <c r="O43" s="141" t="n"/>
      <c r="P43" s="148" t="n"/>
      <c r="Q43" s="149" t="n"/>
      <c r="R43" s="150">
        <f>IF(OR($P43="",$N43="",$N43=0),"",$P43/(1+IF(IFERROR(INDEX('03 Suppliers'!$N$5:$N$34,MATCH($M43,'03 Suppliers'!$B$5:$B$34,0)),"Excl VAT")="Incl VAT",'01 Control'!$C$6,0))/($N43*IFERROR(VLOOKUP($O43,'02 Lists'!$A$5:$B$18,2,FALSE()),1)))</f>
        <v/>
      </c>
      <c r="S43" s="140" t="n"/>
      <c r="T43" s="147" t="n"/>
      <c r="U43" s="141" t="n"/>
      <c r="V43" s="148" t="n"/>
      <c r="W43" s="149" t="n"/>
      <c r="X43" s="150">
        <f>IF(OR($V43="",$T43="",$T43=0),"",$V43/(1+IF(IFERROR(INDEX('03 Suppliers'!$N$5:$N$34,MATCH($S43,'03 Suppliers'!$B$5:$B$34,0)),"Excl VAT")="Incl VAT",'01 Control'!$C$6,0))/($T43*IFERROR(VLOOKUP($U43,'02 Lists'!$A$5:$B$18,2,FALSE()),1)))</f>
        <v/>
      </c>
      <c r="Y43" s="140" t="n"/>
      <c r="Z43" s="147" t="n"/>
      <c r="AA43" s="141" t="n"/>
      <c r="AB43" s="148" t="n"/>
      <c r="AC43" s="149" t="n"/>
      <c r="AD43" s="150">
        <f>IF(OR($AB43="",$Z43="",$Z43=0),"",$AB43/(1+IF(IFERROR(INDEX('03 Suppliers'!$N$5:$N$34,MATCH($Y43,'03 Suppliers'!$B$5:$B$34,0)),"Excl VAT")="Incl VAT",'01 Control'!$C$6,0))/($Z43*IFERROR(VLOOKUP($AA43,'02 Lists'!$A$5:$B$18,2,FALSE()),1)))</f>
        <v/>
      </c>
      <c r="AE43" s="140" t="n"/>
      <c r="AF43" s="147" t="n"/>
      <c r="AG43" s="141" t="n"/>
      <c r="AH43" s="148" t="n"/>
      <c r="AI43" s="149" t="n"/>
      <c r="AJ43" s="150">
        <f>IF(OR($AH43="",$AF43="",$AF43=0),"",$AH43/(1+IF(IFERROR(INDEX('03 Suppliers'!$N$5:$N$34,MATCH($AE43,'03 Suppliers'!$B$5:$B$34,0)),"Excl VAT")="Incl VAT",'01 Control'!$C$6,0))/($AF43*IFERROR(VLOOKUP($AG43,'02 Lists'!$A$5:$B$18,2,FALSE()),1)))</f>
        <v/>
      </c>
      <c r="AK43" s="151">
        <f>IF(COUNT(L43,R43,X43,AD43,AJ43)=0,"",MIN(L43,R43,X43,AD43,AJ43))</f>
        <v/>
      </c>
      <c r="AL43" s="126">
        <f>IF($AK43="","",IF(L43=$AK43,$G43,IF(R43=$AK43,$M43,IF(X43=$AK43,$S43,IF(AD43=$AK43,$Y43,IF(AJ43=$AK43,$AE43,""))))))</f>
        <v/>
      </c>
      <c r="AM43" s="151">
        <f>IF($AK43="","",$AK43/IF($E43="",1,$E43))</f>
        <v/>
      </c>
      <c r="AN43" s="152">
        <f>COUNT(L43,R43,X43,AD43,AJ43)</f>
        <v/>
      </c>
      <c r="AO43" s="150">
        <f>IF(COUNT(L43,R43,X43,AD43,AJ43)=0,"",MAX(L43,R43,X43,AD43,AJ43))</f>
        <v/>
      </c>
      <c r="AP43" s="153">
        <f>IF(OR($AK43="",$AO43="",$AO43=0),"",($AO43-$AK43)/$AO43)</f>
        <v/>
      </c>
      <c r="AQ43" s="154">
        <f>IF($AK43="","",IF(L43=$AK43,$K43,IF(R43=$AK43,$Q43,IF(X43=$AK43,$W43,IF(AD43=$AK43,$AC43,IF(AJ43=$AK43,$AI43,""))))))</f>
        <v/>
      </c>
    </row>
    <row r="44" ht="15" customHeight="1" s="106">
      <c r="A44" s="140" t="n"/>
      <c r="B44" s="140" t="n"/>
      <c r="C44" s="140" t="n"/>
      <c r="D44" s="141" t="n"/>
      <c r="E44" s="146" t="n"/>
      <c r="F44" s="140" t="n"/>
      <c r="G44" s="140" t="n"/>
      <c r="H44" s="147" t="n"/>
      <c r="I44" s="141" t="n"/>
      <c r="J44" s="148" t="n"/>
      <c r="K44" s="149" t="n"/>
      <c r="L44" s="150">
        <f>IF(OR($J44="",$H44="",$H44=0),"",$J44/(1+IF(IFERROR(INDEX('03 Suppliers'!$N$5:$N$34,MATCH($G44,'03 Suppliers'!$B$5:$B$34,0)),"Excl VAT")="Incl VAT",'01 Control'!$C$6,0))/($H44*IFERROR(VLOOKUP($I44,'02 Lists'!$A$5:$B$18,2,FALSE()),1)))</f>
        <v/>
      </c>
      <c r="M44" s="140" t="n"/>
      <c r="N44" s="147" t="n"/>
      <c r="O44" s="141" t="n"/>
      <c r="P44" s="148" t="n"/>
      <c r="Q44" s="149" t="n"/>
      <c r="R44" s="150">
        <f>IF(OR($P44="",$N44="",$N44=0),"",$P44/(1+IF(IFERROR(INDEX('03 Suppliers'!$N$5:$N$34,MATCH($M44,'03 Suppliers'!$B$5:$B$34,0)),"Excl VAT")="Incl VAT",'01 Control'!$C$6,0))/($N44*IFERROR(VLOOKUP($O44,'02 Lists'!$A$5:$B$18,2,FALSE()),1)))</f>
        <v/>
      </c>
      <c r="S44" s="140" t="n"/>
      <c r="T44" s="147" t="n"/>
      <c r="U44" s="141" t="n"/>
      <c r="V44" s="148" t="n"/>
      <c r="W44" s="149" t="n"/>
      <c r="X44" s="150">
        <f>IF(OR($V44="",$T44="",$T44=0),"",$V44/(1+IF(IFERROR(INDEX('03 Suppliers'!$N$5:$N$34,MATCH($S44,'03 Suppliers'!$B$5:$B$34,0)),"Excl VAT")="Incl VAT",'01 Control'!$C$6,0))/($T44*IFERROR(VLOOKUP($U44,'02 Lists'!$A$5:$B$18,2,FALSE()),1)))</f>
        <v/>
      </c>
      <c r="Y44" s="140" t="n"/>
      <c r="Z44" s="147" t="n"/>
      <c r="AA44" s="141" t="n"/>
      <c r="AB44" s="148" t="n"/>
      <c r="AC44" s="149" t="n"/>
      <c r="AD44" s="150">
        <f>IF(OR($AB44="",$Z44="",$Z44=0),"",$AB44/(1+IF(IFERROR(INDEX('03 Suppliers'!$N$5:$N$34,MATCH($Y44,'03 Suppliers'!$B$5:$B$34,0)),"Excl VAT")="Incl VAT",'01 Control'!$C$6,0))/($Z44*IFERROR(VLOOKUP($AA44,'02 Lists'!$A$5:$B$18,2,FALSE()),1)))</f>
        <v/>
      </c>
      <c r="AE44" s="140" t="n"/>
      <c r="AF44" s="147" t="n"/>
      <c r="AG44" s="141" t="n"/>
      <c r="AH44" s="148" t="n"/>
      <c r="AI44" s="149" t="n"/>
      <c r="AJ44" s="150">
        <f>IF(OR($AH44="",$AF44="",$AF44=0),"",$AH44/(1+IF(IFERROR(INDEX('03 Suppliers'!$N$5:$N$34,MATCH($AE44,'03 Suppliers'!$B$5:$B$34,0)),"Excl VAT")="Incl VAT",'01 Control'!$C$6,0))/($AF44*IFERROR(VLOOKUP($AG44,'02 Lists'!$A$5:$B$18,2,FALSE()),1)))</f>
        <v/>
      </c>
      <c r="AK44" s="151">
        <f>IF(COUNT(L44,R44,X44,AD44,AJ44)=0,"",MIN(L44,R44,X44,AD44,AJ44))</f>
        <v/>
      </c>
      <c r="AL44" s="126">
        <f>IF($AK44="","",IF(L44=$AK44,$G44,IF(R44=$AK44,$M44,IF(X44=$AK44,$S44,IF(AD44=$AK44,$Y44,IF(AJ44=$AK44,$AE44,""))))))</f>
        <v/>
      </c>
      <c r="AM44" s="151">
        <f>IF($AK44="","",$AK44/IF($E44="",1,$E44))</f>
        <v/>
      </c>
      <c r="AN44" s="152">
        <f>COUNT(L44,R44,X44,AD44,AJ44)</f>
        <v/>
      </c>
      <c r="AO44" s="150">
        <f>IF(COUNT(L44,R44,X44,AD44,AJ44)=0,"",MAX(L44,R44,X44,AD44,AJ44))</f>
        <v/>
      </c>
      <c r="AP44" s="153">
        <f>IF(OR($AK44="",$AO44="",$AO44=0),"",($AO44-$AK44)/$AO44)</f>
        <v/>
      </c>
      <c r="AQ44" s="154">
        <f>IF($AK44="","",IF(L44=$AK44,$K44,IF(R44=$AK44,$Q44,IF(X44=$AK44,$W44,IF(AD44=$AK44,$AC44,IF(AJ44=$AK44,$AI44,""))))))</f>
        <v/>
      </c>
    </row>
    <row r="45" ht="15" customHeight="1" s="106">
      <c r="A45" s="140" t="n"/>
      <c r="B45" s="140" t="n"/>
      <c r="C45" s="140" t="n"/>
      <c r="D45" s="141" t="n"/>
      <c r="E45" s="146" t="n"/>
      <c r="F45" s="140" t="n"/>
      <c r="G45" s="140" t="n"/>
      <c r="H45" s="147" t="n"/>
      <c r="I45" s="141" t="n"/>
      <c r="J45" s="148" t="n"/>
      <c r="K45" s="149" t="n"/>
      <c r="L45" s="150">
        <f>IF(OR($J45="",$H45="",$H45=0),"",$J45/(1+IF(IFERROR(INDEX('03 Suppliers'!$N$5:$N$34,MATCH($G45,'03 Suppliers'!$B$5:$B$34,0)),"Excl VAT")="Incl VAT",'01 Control'!$C$6,0))/($H45*IFERROR(VLOOKUP($I45,'02 Lists'!$A$5:$B$18,2,FALSE()),1)))</f>
        <v/>
      </c>
      <c r="M45" s="140" t="n"/>
      <c r="N45" s="147" t="n"/>
      <c r="O45" s="141" t="n"/>
      <c r="P45" s="148" t="n"/>
      <c r="Q45" s="149" t="n"/>
      <c r="R45" s="150">
        <f>IF(OR($P45="",$N45="",$N45=0),"",$P45/(1+IF(IFERROR(INDEX('03 Suppliers'!$N$5:$N$34,MATCH($M45,'03 Suppliers'!$B$5:$B$34,0)),"Excl VAT")="Incl VAT",'01 Control'!$C$6,0))/($N45*IFERROR(VLOOKUP($O45,'02 Lists'!$A$5:$B$18,2,FALSE()),1)))</f>
        <v/>
      </c>
      <c r="S45" s="140" t="n"/>
      <c r="T45" s="147" t="n"/>
      <c r="U45" s="141" t="n"/>
      <c r="V45" s="148" t="n"/>
      <c r="W45" s="149" t="n"/>
      <c r="X45" s="150">
        <f>IF(OR($V45="",$T45="",$T45=0),"",$V45/(1+IF(IFERROR(INDEX('03 Suppliers'!$N$5:$N$34,MATCH($S45,'03 Suppliers'!$B$5:$B$34,0)),"Excl VAT")="Incl VAT",'01 Control'!$C$6,0))/($T45*IFERROR(VLOOKUP($U45,'02 Lists'!$A$5:$B$18,2,FALSE()),1)))</f>
        <v/>
      </c>
      <c r="Y45" s="140" t="n"/>
      <c r="Z45" s="147" t="n"/>
      <c r="AA45" s="141" t="n"/>
      <c r="AB45" s="148" t="n"/>
      <c r="AC45" s="149" t="n"/>
      <c r="AD45" s="150">
        <f>IF(OR($AB45="",$Z45="",$Z45=0),"",$AB45/(1+IF(IFERROR(INDEX('03 Suppliers'!$N$5:$N$34,MATCH($Y45,'03 Suppliers'!$B$5:$B$34,0)),"Excl VAT")="Incl VAT",'01 Control'!$C$6,0))/($Z45*IFERROR(VLOOKUP($AA45,'02 Lists'!$A$5:$B$18,2,FALSE()),1)))</f>
        <v/>
      </c>
      <c r="AE45" s="140" t="n"/>
      <c r="AF45" s="147" t="n"/>
      <c r="AG45" s="141" t="n"/>
      <c r="AH45" s="148" t="n"/>
      <c r="AI45" s="149" t="n"/>
      <c r="AJ45" s="150">
        <f>IF(OR($AH45="",$AF45="",$AF45=0),"",$AH45/(1+IF(IFERROR(INDEX('03 Suppliers'!$N$5:$N$34,MATCH($AE45,'03 Suppliers'!$B$5:$B$34,0)),"Excl VAT")="Incl VAT",'01 Control'!$C$6,0))/($AF45*IFERROR(VLOOKUP($AG45,'02 Lists'!$A$5:$B$18,2,FALSE()),1)))</f>
        <v/>
      </c>
      <c r="AK45" s="151">
        <f>IF(COUNT(L45,R45,X45,AD45,AJ45)=0,"",MIN(L45,R45,X45,AD45,AJ45))</f>
        <v/>
      </c>
      <c r="AL45" s="126">
        <f>IF($AK45="","",IF(L45=$AK45,$G45,IF(R45=$AK45,$M45,IF(X45=$AK45,$S45,IF(AD45=$AK45,$Y45,IF(AJ45=$AK45,$AE45,""))))))</f>
        <v/>
      </c>
      <c r="AM45" s="151">
        <f>IF($AK45="","",$AK45/IF($E45="",1,$E45))</f>
        <v/>
      </c>
      <c r="AN45" s="152">
        <f>COUNT(L45,R45,X45,AD45,AJ45)</f>
        <v/>
      </c>
      <c r="AO45" s="150">
        <f>IF(COUNT(L45,R45,X45,AD45,AJ45)=0,"",MAX(L45,R45,X45,AD45,AJ45))</f>
        <v/>
      </c>
      <c r="AP45" s="153">
        <f>IF(OR($AK45="",$AO45="",$AO45=0),"",($AO45-$AK45)/$AO45)</f>
        <v/>
      </c>
      <c r="AQ45" s="154">
        <f>IF($AK45="","",IF(L45=$AK45,$K45,IF(R45=$AK45,$Q45,IF(X45=$AK45,$W45,IF(AD45=$AK45,$AC45,IF(AJ45=$AK45,$AI45,""))))))</f>
        <v/>
      </c>
    </row>
    <row r="46" ht="15" customHeight="1" s="106">
      <c r="A46" s="140" t="n"/>
      <c r="B46" s="140" t="n"/>
      <c r="C46" s="140" t="n"/>
      <c r="D46" s="141" t="n"/>
      <c r="E46" s="146" t="n"/>
      <c r="F46" s="140" t="n"/>
      <c r="G46" s="140" t="n"/>
      <c r="H46" s="147" t="n"/>
      <c r="I46" s="141" t="n"/>
      <c r="J46" s="148" t="n"/>
      <c r="K46" s="149" t="n"/>
      <c r="L46" s="150">
        <f>IF(OR($J46="",$H46="",$H46=0),"",$J46/(1+IF(IFERROR(INDEX('03 Suppliers'!$N$5:$N$34,MATCH($G46,'03 Suppliers'!$B$5:$B$34,0)),"Excl VAT")="Incl VAT",'01 Control'!$C$6,0))/($H46*IFERROR(VLOOKUP($I46,'02 Lists'!$A$5:$B$18,2,FALSE()),1)))</f>
        <v/>
      </c>
      <c r="M46" s="140" t="n"/>
      <c r="N46" s="147" t="n"/>
      <c r="O46" s="141" t="n"/>
      <c r="P46" s="148" t="n"/>
      <c r="Q46" s="149" t="n"/>
      <c r="R46" s="150">
        <f>IF(OR($P46="",$N46="",$N46=0),"",$P46/(1+IF(IFERROR(INDEX('03 Suppliers'!$N$5:$N$34,MATCH($M46,'03 Suppliers'!$B$5:$B$34,0)),"Excl VAT")="Incl VAT",'01 Control'!$C$6,0))/($N46*IFERROR(VLOOKUP($O46,'02 Lists'!$A$5:$B$18,2,FALSE()),1)))</f>
        <v/>
      </c>
      <c r="S46" s="140" t="n"/>
      <c r="T46" s="147" t="n"/>
      <c r="U46" s="141" t="n"/>
      <c r="V46" s="148" t="n"/>
      <c r="W46" s="149" t="n"/>
      <c r="X46" s="150">
        <f>IF(OR($V46="",$T46="",$T46=0),"",$V46/(1+IF(IFERROR(INDEX('03 Suppliers'!$N$5:$N$34,MATCH($S46,'03 Suppliers'!$B$5:$B$34,0)),"Excl VAT")="Incl VAT",'01 Control'!$C$6,0))/($T46*IFERROR(VLOOKUP($U46,'02 Lists'!$A$5:$B$18,2,FALSE()),1)))</f>
        <v/>
      </c>
      <c r="Y46" s="140" t="n"/>
      <c r="Z46" s="147" t="n"/>
      <c r="AA46" s="141" t="n"/>
      <c r="AB46" s="148" t="n"/>
      <c r="AC46" s="149" t="n"/>
      <c r="AD46" s="150">
        <f>IF(OR($AB46="",$Z46="",$Z46=0),"",$AB46/(1+IF(IFERROR(INDEX('03 Suppliers'!$N$5:$N$34,MATCH($Y46,'03 Suppliers'!$B$5:$B$34,0)),"Excl VAT")="Incl VAT",'01 Control'!$C$6,0))/($Z46*IFERROR(VLOOKUP($AA46,'02 Lists'!$A$5:$B$18,2,FALSE()),1)))</f>
        <v/>
      </c>
      <c r="AE46" s="140" t="n"/>
      <c r="AF46" s="147" t="n"/>
      <c r="AG46" s="141" t="n"/>
      <c r="AH46" s="148" t="n"/>
      <c r="AI46" s="149" t="n"/>
      <c r="AJ46" s="150">
        <f>IF(OR($AH46="",$AF46="",$AF46=0),"",$AH46/(1+IF(IFERROR(INDEX('03 Suppliers'!$N$5:$N$34,MATCH($AE46,'03 Suppliers'!$B$5:$B$34,0)),"Excl VAT")="Incl VAT",'01 Control'!$C$6,0))/($AF46*IFERROR(VLOOKUP($AG46,'02 Lists'!$A$5:$B$18,2,FALSE()),1)))</f>
        <v/>
      </c>
      <c r="AK46" s="151">
        <f>IF(COUNT(L46,R46,X46,AD46,AJ46)=0,"",MIN(L46,R46,X46,AD46,AJ46))</f>
        <v/>
      </c>
      <c r="AL46" s="126">
        <f>IF($AK46="","",IF(L46=$AK46,$G46,IF(R46=$AK46,$M46,IF(X46=$AK46,$S46,IF(AD46=$AK46,$Y46,IF(AJ46=$AK46,$AE46,""))))))</f>
        <v/>
      </c>
      <c r="AM46" s="151">
        <f>IF($AK46="","",$AK46/IF($E46="",1,$E46))</f>
        <v/>
      </c>
      <c r="AN46" s="152">
        <f>COUNT(L46,R46,X46,AD46,AJ46)</f>
        <v/>
      </c>
      <c r="AO46" s="150">
        <f>IF(COUNT(L46,R46,X46,AD46,AJ46)=0,"",MAX(L46,R46,X46,AD46,AJ46))</f>
        <v/>
      </c>
      <c r="AP46" s="153">
        <f>IF(OR($AK46="",$AO46="",$AO46=0),"",($AO46-$AK46)/$AO46)</f>
        <v/>
      </c>
      <c r="AQ46" s="154">
        <f>IF($AK46="","",IF(L46=$AK46,$K46,IF(R46=$AK46,$Q46,IF(X46=$AK46,$W46,IF(AD46=$AK46,$AC46,IF(AJ46=$AK46,$AI46,""))))))</f>
        <v/>
      </c>
    </row>
    <row r="47" ht="15" customHeight="1" s="106">
      <c r="A47" s="140" t="n"/>
      <c r="B47" s="140" t="n"/>
      <c r="C47" s="140" t="n"/>
      <c r="D47" s="141" t="n"/>
      <c r="E47" s="146" t="n"/>
      <c r="F47" s="140" t="n"/>
      <c r="G47" s="140" t="n"/>
      <c r="H47" s="147" t="n"/>
      <c r="I47" s="141" t="n"/>
      <c r="J47" s="148" t="n"/>
      <c r="K47" s="149" t="n"/>
      <c r="L47" s="150">
        <f>IF(OR($J47="",$H47="",$H47=0),"",$J47/(1+IF(IFERROR(INDEX('03 Suppliers'!$N$5:$N$34,MATCH($G47,'03 Suppliers'!$B$5:$B$34,0)),"Excl VAT")="Incl VAT",'01 Control'!$C$6,0))/($H47*IFERROR(VLOOKUP($I47,'02 Lists'!$A$5:$B$18,2,FALSE()),1)))</f>
        <v/>
      </c>
      <c r="M47" s="140" t="n"/>
      <c r="N47" s="147" t="n"/>
      <c r="O47" s="141" t="n"/>
      <c r="P47" s="148" t="n"/>
      <c r="Q47" s="149" t="n"/>
      <c r="R47" s="150">
        <f>IF(OR($P47="",$N47="",$N47=0),"",$P47/(1+IF(IFERROR(INDEX('03 Suppliers'!$N$5:$N$34,MATCH($M47,'03 Suppliers'!$B$5:$B$34,0)),"Excl VAT")="Incl VAT",'01 Control'!$C$6,0))/($N47*IFERROR(VLOOKUP($O47,'02 Lists'!$A$5:$B$18,2,FALSE()),1)))</f>
        <v/>
      </c>
      <c r="S47" s="140" t="n"/>
      <c r="T47" s="147" t="n"/>
      <c r="U47" s="141" t="n"/>
      <c r="V47" s="148" t="n"/>
      <c r="W47" s="149" t="n"/>
      <c r="X47" s="150">
        <f>IF(OR($V47="",$T47="",$T47=0),"",$V47/(1+IF(IFERROR(INDEX('03 Suppliers'!$N$5:$N$34,MATCH($S47,'03 Suppliers'!$B$5:$B$34,0)),"Excl VAT")="Incl VAT",'01 Control'!$C$6,0))/($T47*IFERROR(VLOOKUP($U47,'02 Lists'!$A$5:$B$18,2,FALSE()),1)))</f>
        <v/>
      </c>
      <c r="Y47" s="140" t="n"/>
      <c r="Z47" s="147" t="n"/>
      <c r="AA47" s="141" t="n"/>
      <c r="AB47" s="148" t="n"/>
      <c r="AC47" s="149" t="n"/>
      <c r="AD47" s="150">
        <f>IF(OR($AB47="",$Z47="",$Z47=0),"",$AB47/(1+IF(IFERROR(INDEX('03 Suppliers'!$N$5:$N$34,MATCH($Y47,'03 Suppliers'!$B$5:$B$34,0)),"Excl VAT")="Incl VAT",'01 Control'!$C$6,0))/($Z47*IFERROR(VLOOKUP($AA47,'02 Lists'!$A$5:$B$18,2,FALSE()),1)))</f>
        <v/>
      </c>
      <c r="AE47" s="140" t="n"/>
      <c r="AF47" s="147" t="n"/>
      <c r="AG47" s="141" t="n"/>
      <c r="AH47" s="148" t="n"/>
      <c r="AI47" s="149" t="n"/>
      <c r="AJ47" s="150">
        <f>IF(OR($AH47="",$AF47="",$AF47=0),"",$AH47/(1+IF(IFERROR(INDEX('03 Suppliers'!$N$5:$N$34,MATCH($AE47,'03 Suppliers'!$B$5:$B$34,0)),"Excl VAT")="Incl VAT",'01 Control'!$C$6,0))/($AF47*IFERROR(VLOOKUP($AG47,'02 Lists'!$A$5:$B$18,2,FALSE()),1)))</f>
        <v/>
      </c>
      <c r="AK47" s="151">
        <f>IF(COUNT(L47,R47,X47,AD47,AJ47)=0,"",MIN(L47,R47,X47,AD47,AJ47))</f>
        <v/>
      </c>
      <c r="AL47" s="126">
        <f>IF($AK47="","",IF(L47=$AK47,$G47,IF(R47=$AK47,$M47,IF(X47=$AK47,$S47,IF(AD47=$AK47,$Y47,IF(AJ47=$AK47,$AE47,""))))))</f>
        <v/>
      </c>
      <c r="AM47" s="151">
        <f>IF($AK47="","",$AK47/IF($E47="",1,$E47))</f>
        <v/>
      </c>
      <c r="AN47" s="152">
        <f>COUNT(L47,R47,X47,AD47,AJ47)</f>
        <v/>
      </c>
      <c r="AO47" s="150">
        <f>IF(COUNT(L47,R47,X47,AD47,AJ47)=0,"",MAX(L47,R47,X47,AD47,AJ47))</f>
        <v/>
      </c>
      <c r="AP47" s="153">
        <f>IF(OR($AK47="",$AO47="",$AO47=0),"",($AO47-$AK47)/$AO47)</f>
        <v/>
      </c>
      <c r="AQ47" s="154">
        <f>IF($AK47="","",IF(L47=$AK47,$K47,IF(R47=$AK47,$Q47,IF(X47=$AK47,$W47,IF(AD47=$AK47,$AC47,IF(AJ47=$AK47,$AI47,""))))))</f>
        <v/>
      </c>
    </row>
    <row r="48" ht="15" customHeight="1" s="106">
      <c r="A48" s="140" t="n"/>
      <c r="B48" s="140" t="n"/>
      <c r="C48" s="140" t="n"/>
      <c r="D48" s="141" t="n"/>
      <c r="E48" s="146" t="n"/>
      <c r="F48" s="140" t="n"/>
      <c r="G48" s="140" t="n"/>
      <c r="H48" s="147" t="n"/>
      <c r="I48" s="141" t="n"/>
      <c r="J48" s="148" t="n"/>
      <c r="K48" s="149" t="n"/>
      <c r="L48" s="150">
        <f>IF(OR($J48="",$H48="",$H48=0),"",$J48/(1+IF(IFERROR(INDEX('03 Suppliers'!$N$5:$N$34,MATCH($G48,'03 Suppliers'!$B$5:$B$34,0)),"Excl VAT")="Incl VAT",'01 Control'!$C$6,0))/($H48*IFERROR(VLOOKUP($I48,'02 Lists'!$A$5:$B$18,2,FALSE()),1)))</f>
        <v/>
      </c>
      <c r="M48" s="140" t="n"/>
      <c r="N48" s="147" t="n"/>
      <c r="O48" s="141" t="n"/>
      <c r="P48" s="148" t="n"/>
      <c r="Q48" s="149" t="n"/>
      <c r="R48" s="150">
        <f>IF(OR($P48="",$N48="",$N48=0),"",$P48/(1+IF(IFERROR(INDEX('03 Suppliers'!$N$5:$N$34,MATCH($M48,'03 Suppliers'!$B$5:$B$34,0)),"Excl VAT")="Incl VAT",'01 Control'!$C$6,0))/($N48*IFERROR(VLOOKUP($O48,'02 Lists'!$A$5:$B$18,2,FALSE()),1)))</f>
        <v/>
      </c>
      <c r="S48" s="140" t="n"/>
      <c r="T48" s="147" t="n"/>
      <c r="U48" s="141" t="n"/>
      <c r="V48" s="148" t="n"/>
      <c r="W48" s="149" t="n"/>
      <c r="X48" s="150">
        <f>IF(OR($V48="",$T48="",$T48=0),"",$V48/(1+IF(IFERROR(INDEX('03 Suppliers'!$N$5:$N$34,MATCH($S48,'03 Suppliers'!$B$5:$B$34,0)),"Excl VAT")="Incl VAT",'01 Control'!$C$6,0))/($T48*IFERROR(VLOOKUP($U48,'02 Lists'!$A$5:$B$18,2,FALSE()),1)))</f>
        <v/>
      </c>
      <c r="Y48" s="140" t="n"/>
      <c r="Z48" s="147" t="n"/>
      <c r="AA48" s="141" t="n"/>
      <c r="AB48" s="148" t="n"/>
      <c r="AC48" s="149" t="n"/>
      <c r="AD48" s="150">
        <f>IF(OR($AB48="",$Z48="",$Z48=0),"",$AB48/(1+IF(IFERROR(INDEX('03 Suppliers'!$N$5:$N$34,MATCH($Y48,'03 Suppliers'!$B$5:$B$34,0)),"Excl VAT")="Incl VAT",'01 Control'!$C$6,0))/($Z48*IFERROR(VLOOKUP($AA48,'02 Lists'!$A$5:$B$18,2,FALSE()),1)))</f>
        <v/>
      </c>
      <c r="AE48" s="140" t="n"/>
      <c r="AF48" s="147" t="n"/>
      <c r="AG48" s="141" t="n"/>
      <c r="AH48" s="148" t="n"/>
      <c r="AI48" s="149" t="n"/>
      <c r="AJ48" s="150">
        <f>IF(OR($AH48="",$AF48="",$AF48=0),"",$AH48/(1+IF(IFERROR(INDEX('03 Suppliers'!$N$5:$N$34,MATCH($AE48,'03 Suppliers'!$B$5:$B$34,0)),"Excl VAT")="Incl VAT",'01 Control'!$C$6,0))/($AF48*IFERROR(VLOOKUP($AG48,'02 Lists'!$A$5:$B$18,2,FALSE()),1)))</f>
        <v/>
      </c>
      <c r="AK48" s="151">
        <f>IF(COUNT(L48,R48,X48,AD48,AJ48)=0,"",MIN(L48,R48,X48,AD48,AJ48))</f>
        <v/>
      </c>
      <c r="AL48" s="126">
        <f>IF($AK48="","",IF(L48=$AK48,$G48,IF(R48=$AK48,$M48,IF(X48=$AK48,$S48,IF(AD48=$AK48,$Y48,IF(AJ48=$AK48,$AE48,""))))))</f>
        <v/>
      </c>
      <c r="AM48" s="151">
        <f>IF($AK48="","",$AK48/IF($E48="",1,$E48))</f>
        <v/>
      </c>
      <c r="AN48" s="152">
        <f>COUNT(L48,R48,X48,AD48,AJ48)</f>
        <v/>
      </c>
      <c r="AO48" s="150">
        <f>IF(COUNT(L48,R48,X48,AD48,AJ48)=0,"",MAX(L48,R48,X48,AD48,AJ48))</f>
        <v/>
      </c>
      <c r="AP48" s="153">
        <f>IF(OR($AK48="",$AO48="",$AO48=0),"",($AO48-$AK48)/$AO48)</f>
        <v/>
      </c>
      <c r="AQ48" s="154">
        <f>IF($AK48="","",IF(L48=$AK48,$K48,IF(R48=$AK48,$Q48,IF(X48=$AK48,$W48,IF(AD48=$AK48,$AC48,IF(AJ48=$AK48,$AI48,""))))))</f>
        <v/>
      </c>
    </row>
    <row r="49" ht="15" customHeight="1" s="106">
      <c r="A49" s="140" t="n"/>
      <c r="B49" s="140" t="n"/>
      <c r="C49" s="140" t="n"/>
      <c r="D49" s="141" t="n"/>
      <c r="E49" s="146" t="n"/>
      <c r="F49" s="140" t="n"/>
      <c r="G49" s="140" t="n"/>
      <c r="H49" s="147" t="n"/>
      <c r="I49" s="141" t="n"/>
      <c r="J49" s="148" t="n"/>
      <c r="K49" s="149" t="n"/>
      <c r="L49" s="150">
        <f>IF(OR($J49="",$H49="",$H49=0),"",$J49/(1+IF(IFERROR(INDEX('03 Suppliers'!$N$5:$N$34,MATCH($G49,'03 Suppliers'!$B$5:$B$34,0)),"Excl VAT")="Incl VAT",'01 Control'!$C$6,0))/($H49*IFERROR(VLOOKUP($I49,'02 Lists'!$A$5:$B$18,2,FALSE()),1)))</f>
        <v/>
      </c>
      <c r="M49" s="140" t="n"/>
      <c r="N49" s="147" t="n"/>
      <c r="O49" s="141" t="n"/>
      <c r="P49" s="148" t="n"/>
      <c r="Q49" s="149" t="n"/>
      <c r="R49" s="150">
        <f>IF(OR($P49="",$N49="",$N49=0),"",$P49/(1+IF(IFERROR(INDEX('03 Suppliers'!$N$5:$N$34,MATCH($M49,'03 Suppliers'!$B$5:$B$34,0)),"Excl VAT")="Incl VAT",'01 Control'!$C$6,0))/($N49*IFERROR(VLOOKUP($O49,'02 Lists'!$A$5:$B$18,2,FALSE()),1)))</f>
        <v/>
      </c>
      <c r="S49" s="140" t="n"/>
      <c r="T49" s="147" t="n"/>
      <c r="U49" s="141" t="n"/>
      <c r="V49" s="148" t="n"/>
      <c r="W49" s="149" t="n"/>
      <c r="X49" s="150">
        <f>IF(OR($V49="",$T49="",$T49=0),"",$V49/(1+IF(IFERROR(INDEX('03 Suppliers'!$N$5:$N$34,MATCH($S49,'03 Suppliers'!$B$5:$B$34,0)),"Excl VAT")="Incl VAT",'01 Control'!$C$6,0))/($T49*IFERROR(VLOOKUP($U49,'02 Lists'!$A$5:$B$18,2,FALSE()),1)))</f>
        <v/>
      </c>
      <c r="Y49" s="140" t="n"/>
      <c r="Z49" s="147" t="n"/>
      <c r="AA49" s="141" t="n"/>
      <c r="AB49" s="148" t="n"/>
      <c r="AC49" s="149" t="n"/>
      <c r="AD49" s="150">
        <f>IF(OR($AB49="",$Z49="",$Z49=0),"",$AB49/(1+IF(IFERROR(INDEX('03 Suppliers'!$N$5:$N$34,MATCH($Y49,'03 Suppliers'!$B$5:$B$34,0)),"Excl VAT")="Incl VAT",'01 Control'!$C$6,0))/($Z49*IFERROR(VLOOKUP($AA49,'02 Lists'!$A$5:$B$18,2,FALSE()),1)))</f>
        <v/>
      </c>
      <c r="AE49" s="140" t="n"/>
      <c r="AF49" s="147" t="n"/>
      <c r="AG49" s="141" t="n"/>
      <c r="AH49" s="148" t="n"/>
      <c r="AI49" s="149" t="n"/>
      <c r="AJ49" s="150">
        <f>IF(OR($AH49="",$AF49="",$AF49=0),"",$AH49/(1+IF(IFERROR(INDEX('03 Suppliers'!$N$5:$N$34,MATCH($AE49,'03 Suppliers'!$B$5:$B$34,0)),"Excl VAT")="Incl VAT",'01 Control'!$C$6,0))/($AF49*IFERROR(VLOOKUP($AG49,'02 Lists'!$A$5:$B$18,2,FALSE()),1)))</f>
        <v/>
      </c>
      <c r="AK49" s="151">
        <f>IF(COUNT(L49,R49,X49,AD49,AJ49)=0,"",MIN(L49,R49,X49,AD49,AJ49))</f>
        <v/>
      </c>
      <c r="AL49" s="126">
        <f>IF($AK49="","",IF(L49=$AK49,$G49,IF(R49=$AK49,$M49,IF(X49=$AK49,$S49,IF(AD49=$AK49,$Y49,IF(AJ49=$AK49,$AE49,""))))))</f>
        <v/>
      </c>
      <c r="AM49" s="151">
        <f>IF($AK49="","",$AK49/IF($E49="",1,$E49))</f>
        <v/>
      </c>
      <c r="AN49" s="152">
        <f>COUNT(L49,R49,X49,AD49,AJ49)</f>
        <v/>
      </c>
      <c r="AO49" s="150">
        <f>IF(COUNT(L49,R49,X49,AD49,AJ49)=0,"",MAX(L49,R49,X49,AD49,AJ49))</f>
        <v/>
      </c>
      <c r="AP49" s="153">
        <f>IF(OR($AK49="",$AO49="",$AO49=0),"",($AO49-$AK49)/$AO49)</f>
        <v/>
      </c>
      <c r="AQ49" s="154">
        <f>IF($AK49="","",IF(L49=$AK49,$K49,IF(R49=$AK49,$Q49,IF(X49=$AK49,$W49,IF(AD49=$AK49,$AC49,IF(AJ49=$AK49,$AI49,""))))))</f>
        <v/>
      </c>
    </row>
    <row r="50" ht="15" customHeight="1" s="106">
      <c r="A50" s="140" t="n"/>
      <c r="B50" s="140" t="n"/>
      <c r="C50" s="140" t="n"/>
      <c r="D50" s="141" t="n"/>
      <c r="E50" s="146" t="n"/>
      <c r="F50" s="140" t="n"/>
      <c r="G50" s="140" t="n"/>
      <c r="H50" s="147" t="n"/>
      <c r="I50" s="141" t="n"/>
      <c r="J50" s="148" t="n"/>
      <c r="K50" s="149" t="n"/>
      <c r="L50" s="150">
        <f>IF(OR($J50="",$H50="",$H50=0),"",$J50/(1+IF(IFERROR(INDEX('03 Suppliers'!$N$5:$N$34,MATCH($G50,'03 Suppliers'!$B$5:$B$34,0)),"Excl VAT")="Incl VAT",'01 Control'!$C$6,0))/($H50*IFERROR(VLOOKUP($I50,'02 Lists'!$A$5:$B$18,2,FALSE()),1)))</f>
        <v/>
      </c>
      <c r="M50" s="140" t="n"/>
      <c r="N50" s="147" t="n"/>
      <c r="O50" s="141" t="n"/>
      <c r="P50" s="148" t="n"/>
      <c r="Q50" s="149" t="n"/>
      <c r="R50" s="150">
        <f>IF(OR($P50="",$N50="",$N50=0),"",$P50/(1+IF(IFERROR(INDEX('03 Suppliers'!$N$5:$N$34,MATCH($M50,'03 Suppliers'!$B$5:$B$34,0)),"Excl VAT")="Incl VAT",'01 Control'!$C$6,0))/($N50*IFERROR(VLOOKUP($O50,'02 Lists'!$A$5:$B$18,2,FALSE()),1)))</f>
        <v/>
      </c>
      <c r="S50" s="140" t="n"/>
      <c r="T50" s="147" t="n"/>
      <c r="U50" s="141" t="n"/>
      <c r="V50" s="148" t="n"/>
      <c r="W50" s="149" t="n"/>
      <c r="X50" s="150">
        <f>IF(OR($V50="",$T50="",$T50=0),"",$V50/(1+IF(IFERROR(INDEX('03 Suppliers'!$N$5:$N$34,MATCH($S50,'03 Suppliers'!$B$5:$B$34,0)),"Excl VAT")="Incl VAT",'01 Control'!$C$6,0))/($T50*IFERROR(VLOOKUP($U50,'02 Lists'!$A$5:$B$18,2,FALSE()),1)))</f>
        <v/>
      </c>
      <c r="Y50" s="140" t="n"/>
      <c r="Z50" s="147" t="n"/>
      <c r="AA50" s="141" t="n"/>
      <c r="AB50" s="148" t="n"/>
      <c r="AC50" s="149" t="n"/>
      <c r="AD50" s="150">
        <f>IF(OR($AB50="",$Z50="",$Z50=0),"",$AB50/(1+IF(IFERROR(INDEX('03 Suppliers'!$N$5:$N$34,MATCH($Y50,'03 Suppliers'!$B$5:$B$34,0)),"Excl VAT")="Incl VAT",'01 Control'!$C$6,0))/($Z50*IFERROR(VLOOKUP($AA50,'02 Lists'!$A$5:$B$18,2,FALSE()),1)))</f>
        <v/>
      </c>
      <c r="AE50" s="140" t="n"/>
      <c r="AF50" s="147" t="n"/>
      <c r="AG50" s="141" t="n"/>
      <c r="AH50" s="148" t="n"/>
      <c r="AI50" s="149" t="n"/>
      <c r="AJ50" s="150">
        <f>IF(OR($AH50="",$AF50="",$AF50=0),"",$AH50/(1+IF(IFERROR(INDEX('03 Suppliers'!$N$5:$N$34,MATCH($AE50,'03 Suppliers'!$B$5:$B$34,0)),"Excl VAT")="Incl VAT",'01 Control'!$C$6,0))/($AF50*IFERROR(VLOOKUP($AG50,'02 Lists'!$A$5:$B$18,2,FALSE()),1)))</f>
        <v/>
      </c>
      <c r="AK50" s="151">
        <f>IF(COUNT(L50,R50,X50,AD50,AJ50)=0,"",MIN(L50,R50,X50,AD50,AJ50))</f>
        <v/>
      </c>
      <c r="AL50" s="126">
        <f>IF($AK50="","",IF(L50=$AK50,$G50,IF(R50=$AK50,$M50,IF(X50=$AK50,$S50,IF(AD50=$AK50,$Y50,IF(AJ50=$AK50,$AE50,""))))))</f>
        <v/>
      </c>
      <c r="AM50" s="151">
        <f>IF($AK50="","",$AK50/IF($E50="",1,$E50))</f>
        <v/>
      </c>
      <c r="AN50" s="152">
        <f>COUNT(L50,R50,X50,AD50,AJ50)</f>
        <v/>
      </c>
      <c r="AO50" s="150">
        <f>IF(COUNT(L50,R50,X50,AD50,AJ50)=0,"",MAX(L50,R50,X50,AD50,AJ50))</f>
        <v/>
      </c>
      <c r="AP50" s="153">
        <f>IF(OR($AK50="",$AO50="",$AO50=0),"",($AO50-$AK50)/$AO50)</f>
        <v/>
      </c>
      <c r="AQ50" s="154">
        <f>IF($AK50="","",IF(L50=$AK50,$K50,IF(R50=$AK50,$Q50,IF(X50=$AK50,$W50,IF(AD50=$AK50,$AC50,IF(AJ50=$AK50,$AI50,""))))))</f>
        <v/>
      </c>
    </row>
    <row r="52" ht="15" customHeight="1" s="106">
      <c r="A52" s="135" t="inlineStr">
        <is>
          <t>Example row format - Supplier Name: Cape Pack  |  Pack Qty: 500  |  Pack Unit: ea  |  Pack Cost (excl VAT): R 1,240.00  |  Quote Date: 2026-09-01. That resolves to R 2.4800 per unit. For a case of 20 sleeves x 50 units, enter Pack Qty 1000 and Pack Unit ea.</t>
        </is>
      </c>
    </row>
  </sheetData>
  <sheetProtection selectLockedCells="0" selectUnlockedCells="0" sheet="1" objects="0" insertRows="1" insertHyperlinks="1" autoFilter="0" scenarios="0" formatColumns="0" deleteColumns="1" insertColumns="1" pivotTables="1" deleteRows="1" formatCells="0" formatRows="0" sort="0"/>
  <autoFilter ref="A4:AQ50"/>
  <mergeCells count="10">
    <mergeCell ref="Y3:AD3"/>
    <mergeCell ref="A3:F3"/>
    <mergeCell ref="A2:AQ2"/>
    <mergeCell ref="G3:L3"/>
    <mergeCell ref="M3:R3"/>
    <mergeCell ref="AK3:AQ3"/>
    <mergeCell ref="S3:X3"/>
    <mergeCell ref="A1:AQ1"/>
    <mergeCell ref="AE3:AJ3"/>
    <mergeCell ref="A52:J52"/>
  </mergeCells>
  <conditionalFormatting sqref="A5:C50">
    <cfRule type="expression" rank="0" priority="2" equalAverage="0" aboveAverage="0" dxfId="12" text="" percent="0" bottom="0">
      <formula>$AN5=0</formula>
    </cfRule>
    <cfRule type="expression" rank="0" priority="3" equalAverage="0" aboveAverage="0" dxfId="13" text="" percent="0" bottom="0">
      <formula>($AN5&gt;0)*($AN5&lt;3)</formula>
    </cfRule>
    <cfRule type="expression" rank="0" priority="4" equalAverage="0" aboveAverage="0" dxfId="14" text="" percent="0" bottom="0">
      <formula>$AN5&gt;=3</formula>
    </cfRule>
  </conditionalFormatting>
  <conditionalFormatting sqref="K5:K50">
    <cfRule type="expression" rank="0" priority="5" equalAverage="0" aboveAverage="0" dxfId="13" text="" percent="0" bottom="0">
      <formula>(K5&lt;&gt;"")*(TODAY()-K5&gt;90)</formula>
    </cfRule>
  </conditionalFormatting>
  <conditionalFormatting sqref="Q5:Q50">
    <cfRule type="expression" rank="0" priority="6" equalAverage="0" aboveAverage="0" dxfId="13" text="" percent="0" bottom="0">
      <formula>(Q5&lt;&gt;"")*(TODAY()-Q5&gt;90)</formula>
    </cfRule>
  </conditionalFormatting>
  <conditionalFormatting sqref="W5:W50">
    <cfRule type="expression" rank="0" priority="7" equalAverage="0" aboveAverage="0" dxfId="13" text="" percent="0" bottom="0">
      <formula>(W5&lt;&gt;"")*(TODAY()-W5&gt;90)</formula>
    </cfRule>
  </conditionalFormatting>
  <conditionalFormatting sqref="AC5:AC50">
    <cfRule type="expression" rank="0" priority="8" equalAverage="0" aboveAverage="0" dxfId="13" text="" percent="0" bottom="0">
      <formula>(AC5&lt;&gt;"")*(TODAY()-AC5&gt;90)</formula>
    </cfRule>
  </conditionalFormatting>
  <conditionalFormatting sqref="AI5:AI50">
    <cfRule type="expression" rank="0" priority="9" equalAverage="0" aboveAverage="0" dxfId="13" text="" percent="0" bottom="0">
      <formula>(AI5&lt;&gt;"")*(TODAY()-AI5&gt;90)</formula>
    </cfRule>
  </conditionalFormatting>
  <dataValidations count="3">
    <dataValidation sqref="I5:I50 O5:O50 U5:U50 AA5:AA50 AG5:AG50" showDropDown="0" showInputMessage="0" showErrorMessage="1" allowBlank="1" errorTitle="Pack unit" error="Pick a unit from 02 Lists. A unit that is not on that list cannot be converted." type="list" errorStyle="stop" operator="between">
      <formula1>$AS$5:$AS$21</formula1>
      <formula2>0</formula2>
    </dataValidation>
    <dataValidation sqref="D5:D50" showDropDown="0" showInputMessage="0" showErrorMessage="1" allowBlank="1" type="list" errorStyle="stop" operator="between">
      <formula1>"g,ml,ea"</formula1>
      <formula2>0</formula2>
    </dataValidation>
    <dataValidation sqref="G5:G50 M5:M50 S5:S50 Y5:Y50 AE5:AE50" showDropDown="0" showInputMessage="0" showErrorMessage="0" allowBlank="1" type="list" errorStyle="stop" operator="between">
      <formula1>$AT$5:$AT$34</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M22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105" min="1" max="1"/>
    <col width="24" customWidth="1" style="105" min="2" max="2"/>
    <col width="34" customWidth="1" style="105" min="3" max="3"/>
    <col width="13" customWidth="1" style="105" min="4" max="5"/>
    <col width="12" customWidth="1" style="105" min="6" max="7"/>
    <col width="14" customWidth="1" style="105" min="8" max="8"/>
    <col width="13" customWidth="1" style="105" min="9" max="10"/>
    <col width="17" customWidth="1" style="105" min="11" max="11"/>
    <col width="26" customWidth="1" style="105" min="12" max="12"/>
    <col width="44" customWidth="1" style="105" min="13" max="13"/>
  </cols>
  <sheetData>
    <row r="1" ht="30" customHeight="1" s="106">
      <c r="A1" s="107" t="inlineStr">
        <is>
          <t>PASTA DOUGH BOM  -  THE FOUR GOLDEN BALANCE FORMULAS (EXTRUDED AND DRIED IN STORE, SERVED FRESH)</t>
        </is>
      </c>
    </row>
    <row r="2" ht="18" customHeight="1" s="106">
      <c r="A2" s="108" t="inlineStr">
        <is>
          <t>Settled 6 Sep 2026: DRIED IN STORE, SERVED FRESH. Extrude on the GUSGT108, dry on fan-assisted mesh racks, re-bag into sealed ambient bins, portion dried into the basket, boil 90-180 s, finish in the wok. Positioned and served as fresh pasta - made in this store, in front of the customer. Portions are set to hold DRY MATTER constant against the old fresh-daily basis, so servings per batch, cost per serving and every Aug-2026 benchmark are unchanged; what changes is storage (ambient, not chilled) and shelf life. Yield is a mass balance on dry solids, not a guess.</t>
        </is>
      </c>
    </row>
    <row r="4" ht="15" customHeight="1" s="106">
      <c r="A4" s="128" t="inlineStr">
        <is>
          <t>SUMMARY  -  YIELD AND COST PER DRIED SERVING  (111 g dried = 98 g dry matter = about 244 g cooked on the plate)</t>
        </is>
      </c>
      <c r="B4" s="110" t="n"/>
      <c r="C4" s="110" t="n"/>
      <c r="D4" s="110" t="n"/>
      <c r="E4" s="110" t="n"/>
      <c r="F4" s="110" t="n"/>
      <c r="G4" s="110" t="n"/>
      <c r="H4" s="110" t="n"/>
      <c r="I4" s="110" t="n"/>
      <c r="J4" s="110" t="n"/>
      <c r="K4" s="110" t="n"/>
      <c r="L4" s="110" t="n"/>
      <c r="M4" s="111" t="n"/>
    </row>
    <row r="5" ht="43.5" customHeight="1" s="106">
      <c r="A5" s="112" t="inlineStr">
        <is>
          <t>Recipe</t>
        </is>
      </c>
      <c r="B5" s="112" t="inlineStr">
        <is>
          <t>Cost Index Code</t>
        </is>
      </c>
      <c r="C5" s="112" t="inlineStr">
        <is>
          <t>Strategic Role</t>
        </is>
      </c>
      <c r="D5" s="112" t="inlineStr">
        <is>
          <t>Total Dry
Blend (g)</t>
        </is>
      </c>
      <c r="E5" s="112" t="inlineStr">
        <is>
          <t>Dried Pasta
Output (g)</t>
        </is>
      </c>
      <c r="F5" s="112" t="inlineStr">
        <is>
          <t>Servings
CEILING</t>
        </is>
      </c>
      <c r="G5" s="112" t="inlineStr">
        <is>
          <t>SERVINGS
PLANNING</t>
        </is>
      </c>
      <c r="H5" s="112" t="inlineStr">
        <is>
          <t>Batch Ingredient
Cost</t>
        </is>
      </c>
      <c r="I5" s="112" t="inlineStr">
        <is>
          <t>Cost per
Serving</t>
        </is>
      </c>
      <c r="J5" s="112" t="inlineStr">
        <is>
          <t>Cost per
Gram</t>
        </is>
      </c>
      <c r="K5" s="112" t="inlineStr">
        <is>
          <t>Aug-2026 Manual
Benchmark</t>
        </is>
      </c>
      <c r="L5" s="112" t="inlineStr">
        <is>
          <t>Benchmark Check</t>
        </is>
      </c>
      <c r="M5" s="112" t="inlineStr">
        <is>
          <t>Cost Status</t>
        </is>
      </c>
    </row>
    <row r="6" ht="30" customHeight="1" s="106">
      <c r="A6" s="134" t="inlineStr">
        <is>
          <t>Bokgat Base</t>
        </is>
      </c>
      <c r="B6" s="113" t="inlineStr">
        <is>
          <t>PP-DOUGH-BOKGAT</t>
        </is>
      </c>
      <c r="C6" s="116" t="inlineStr">
        <is>
          <t>Everyday standard / volume driver</t>
        </is>
      </c>
      <c r="D6" s="157">
        <f>$D$22</f>
        <v/>
      </c>
      <c r="E6" s="157">
        <f>$D$28</f>
        <v/>
      </c>
      <c r="F6" s="158">
        <f>$D$31</f>
        <v/>
      </c>
      <c r="G6" s="159">
        <f>$D$34</f>
        <v/>
      </c>
      <c r="H6" s="150">
        <f>$D$38</f>
        <v/>
      </c>
      <c r="I6" s="151">
        <f>$D$39</f>
        <v/>
      </c>
      <c r="J6" s="151">
        <f>$D$40</f>
        <v/>
      </c>
      <c r="K6" s="160">
        <f>"R "&amp;TEXT($D$43,"0.00")&amp;" - R "&amp;TEXT($D$44,"0.00")</f>
        <v/>
      </c>
      <c r="L6" s="161">
        <f>$D$45</f>
        <v/>
      </c>
      <c r="M6" s="162">
        <f>IF($D$36&gt;0,"INCOMPLETE - "&amp;$D$36&amp;" line(s) unpriced. Priced so far: R "&amp;TEXT(N($D$37),"#,##0.00"),"READY")</f>
        <v/>
      </c>
    </row>
    <row r="7" ht="30" customHeight="1" s="106">
      <c r="A7" s="134" t="inlineStr">
        <is>
          <t>Protein+ Pro</t>
        </is>
      </c>
      <c r="B7" s="113" t="inlineStr">
        <is>
          <t>PP-DOUGH-PROTEIN</t>
        </is>
      </c>
      <c r="C7" s="116" t="inlineStr">
        <is>
          <t>Premium flagship / upsell</t>
        </is>
      </c>
      <c r="D7" s="157">
        <f>$D$76</f>
        <v/>
      </c>
      <c r="E7" s="157">
        <f>$D$82</f>
        <v/>
      </c>
      <c r="F7" s="158">
        <f>$D$85</f>
        <v/>
      </c>
      <c r="G7" s="159">
        <f>$D$88</f>
        <v/>
      </c>
      <c r="H7" s="150">
        <f>$D$92</f>
        <v/>
      </c>
      <c r="I7" s="151">
        <f>$D$93</f>
        <v/>
      </c>
      <c r="J7" s="151">
        <f>$D$94</f>
        <v/>
      </c>
      <c r="K7" s="160">
        <f>"R "&amp;TEXT($D$97,"0.00")&amp;" - R "&amp;TEXT($D$98,"0.00")</f>
        <v/>
      </c>
      <c r="L7" s="161">
        <f>$D$99</f>
        <v/>
      </c>
      <c r="M7" s="162">
        <f>IF($D$90&gt;0,"INCOMPLETE - "&amp;$D$90&amp;" line(s) unpriced. Priced so far: R "&amp;TEXT(N($D$91),"#,##0.00"),"READY")</f>
        <v/>
      </c>
    </row>
    <row r="8" ht="30" customHeight="1" s="106">
      <c r="A8" s="134" t="inlineStr">
        <is>
          <t>Farmhouse</t>
        </is>
      </c>
      <c r="B8" s="113" t="inlineStr">
        <is>
          <t>PP-DOUGH-FARMHOUSE</t>
        </is>
      </c>
      <c r="C8" s="116" t="inlineStr">
        <is>
          <t>Signature hero / differentiator</t>
        </is>
      </c>
      <c r="D8" s="157">
        <f>$D$130</f>
        <v/>
      </c>
      <c r="E8" s="157">
        <f>$D$136</f>
        <v/>
      </c>
      <c r="F8" s="158">
        <f>$D$139</f>
        <v/>
      </c>
      <c r="G8" s="159">
        <f>$D$142</f>
        <v/>
      </c>
      <c r="H8" s="150">
        <f>$D$146</f>
        <v/>
      </c>
      <c r="I8" s="151">
        <f>$D$147</f>
        <v/>
      </c>
      <c r="J8" s="151">
        <f>$D$148</f>
        <v/>
      </c>
      <c r="K8" s="160">
        <f>"R "&amp;TEXT($D$151,"0.00")&amp;" - R "&amp;TEXT($D$152,"0.00")</f>
        <v/>
      </c>
      <c r="L8" s="161">
        <f>$D$153</f>
        <v/>
      </c>
      <c r="M8" s="162">
        <f>IF($D$144&gt;0,"INCOMPLETE - "&amp;$D$144&amp;" line(s) unpriced. Priced so far: R "&amp;TEXT(N($D$145),"#,##0.00"),"READY")</f>
        <v/>
      </c>
    </row>
    <row r="9" ht="30" customHeight="1" s="106">
      <c r="A9" s="134" t="inlineStr">
        <is>
          <t>Chickpea Power Pro</t>
        </is>
      </c>
      <c r="B9" s="113" t="inlineStr">
        <is>
          <t>PP-DOUGH-CHICKPEA</t>
        </is>
      </c>
      <c r="C9" s="116" t="inlineStr">
        <is>
          <t>Health daily driver / repeat order</t>
        </is>
      </c>
      <c r="D9" s="157">
        <f>$D$183</f>
        <v/>
      </c>
      <c r="E9" s="157">
        <f>$D$189</f>
        <v/>
      </c>
      <c r="F9" s="158">
        <f>$D$192</f>
        <v/>
      </c>
      <c r="G9" s="159">
        <f>$D$195</f>
        <v/>
      </c>
      <c r="H9" s="150">
        <f>$D$199</f>
        <v/>
      </c>
      <c r="I9" s="151">
        <f>$D$200</f>
        <v/>
      </c>
      <c r="J9" s="151">
        <f>$D$201</f>
        <v/>
      </c>
      <c r="K9" s="160">
        <f>"R "&amp;TEXT($D$204,"0.00")&amp;" - R "&amp;TEXT($D$205,"0.00")</f>
        <v/>
      </c>
      <c r="L9" s="161">
        <f>$D$206</f>
        <v/>
      </c>
      <c r="M9" s="162">
        <f>IF($D$197&gt;0,"INCOMPLETE - "&amp;$D$197&amp;" line(s) unpriced. Priced so far: R "&amp;TEXT(N($D$198),"#,##0.00"),"READY")</f>
        <v/>
      </c>
    </row>
    <row r="11" ht="19.4" customHeight="1" s="106">
      <c r="A11" s="135" t="inlineStr">
        <is>
          <t>How the yield works: dry blend x (1 - flour moisture) + salt = dry solids. Solids / (1 - finished DRIED pasta moisture) = dried pasta output. Then process loss. Hydration water is a processing target, not a yield input - essentially all of it leaves on the racks. Because the portion was reset to hold dry matter constant, servings per batch are the same as they were on the fresh-daily basis (87-88 planning, 91-93 ceiling per 10 kg blend); the mass balance simply now runs to 12% moisture instead of 30%. The Aug-2026 manual's '70 servings per 10 kg' is arithmetically impossible (it would need 143 g of blend per portion) and is carried only as a worst-case reference line in each block below.</t>
        </is>
      </c>
    </row>
    <row r="13" ht="15" customHeight="1" s="106">
      <c r="A13" s="109" t="inlineStr">
        <is>
          <t>Bokgat Base   |   PP-DOUGH-BOKGAT   |   Everyday standard / volume driver   |   SKILL: Basic   |   Retail 500 g R49-55 at 50-60% GM</t>
        </is>
      </c>
      <c r="B13" s="110" t="n"/>
      <c r="C13" s="110" t="n"/>
      <c r="D13" s="110" t="n"/>
      <c r="E13" s="110" t="n"/>
      <c r="F13" s="110" t="n"/>
      <c r="G13" s="110" t="n"/>
      <c r="H13" s="110" t="n"/>
      <c r="I13" s="110" t="n"/>
      <c r="J13" s="110" t="n"/>
      <c r="K13" s="110" t="n"/>
      <c r="L13" s="110" t="n"/>
      <c r="M13" s="111" t="n"/>
    </row>
    <row r="14" ht="33.75" customHeight="1" s="106">
      <c r="A14" s="112" t="inlineStr">
        <is>
          <t>Recipe</t>
        </is>
      </c>
      <c r="B14" s="112" t="inlineStr">
        <is>
          <t>Ingredient SKU</t>
        </is>
      </c>
      <c r="C14" s="112" t="inlineStr">
        <is>
          <t>Ingredient</t>
        </is>
      </c>
      <c r="D14" s="112" t="inlineStr">
        <is>
          <t>Baker's %</t>
        </is>
      </c>
      <c r="E14" s="112" t="inlineStr">
        <is>
          <t>Batch Qty</t>
        </is>
      </c>
      <c r="F14" s="112" t="inlineStr">
        <is>
          <t>Unit</t>
        </is>
      </c>
      <c r="G14" s="112" t="inlineStr">
        <is>
          <t>Base Qty (g/ml)</t>
        </is>
      </c>
      <c r="H14" s="112" t="inlineStr">
        <is>
          <t>Usable Cost per
Base Unit</t>
        </is>
      </c>
      <c r="I14" s="112" t="inlineStr">
        <is>
          <t>Line Cost</t>
        </is>
      </c>
      <c r="J14" s="112" t="inlineStr">
        <is>
          <t>Specification</t>
        </is>
      </c>
    </row>
    <row r="15" ht="28.35" customHeight="1" s="106">
      <c r="A15" s="163" t="inlineStr">
        <is>
          <t>Bokgat Base</t>
        </is>
      </c>
      <c r="B15" s="134" t="inlineStr">
        <is>
          <t>PP-WHEAT-SA</t>
        </is>
      </c>
      <c r="C15" s="113" t="inlineStr">
        <is>
          <t>SA stone-milled whole wheat flour</t>
        </is>
      </c>
      <c r="D15" s="139" t="inlineStr">
        <is>
          <t>60%</t>
        </is>
      </c>
      <c r="E15" s="147" t="n">
        <v>6</v>
      </c>
      <c r="F15" s="164" t="inlineStr">
        <is>
          <t>kg</t>
        </is>
      </c>
      <c r="G15" s="165">
        <f>$E15*1000</f>
        <v/>
      </c>
      <c r="H15" s="150">
        <f>IFERROR(INDEX('04 SKU Master'!$AM$5:$AM$165,MATCH($B15,'04 SKU Master'!$A$5:$A$165,0)),"")</f>
        <v/>
      </c>
      <c r="I15" s="150">
        <f>IF(OR($H15="",$G15=""),"",$H15*$G15)</f>
        <v/>
      </c>
      <c r="J15" s="116" t="inlineStr">
        <is>
          <t>Strong bread wheat, protein &gt;=13%</t>
        </is>
      </c>
    </row>
    <row r="16" ht="19.4" customHeight="1" s="106">
      <c r="A16" s="163" t="inlineStr">
        <is>
          <t>Bokgat Base</t>
        </is>
      </c>
      <c r="B16" s="134" t="inlineStr">
        <is>
          <t>PP-SORGHUM-WHITE</t>
        </is>
      </c>
      <c r="C16" s="113" t="inlineStr">
        <is>
          <t>SA white sorghum flour</t>
        </is>
      </c>
      <c r="D16" s="139" t="inlineStr">
        <is>
          <t>25%</t>
        </is>
      </c>
      <c r="E16" s="147" t="n">
        <v>2.5</v>
      </c>
      <c r="F16" s="164" t="inlineStr">
        <is>
          <t>kg</t>
        </is>
      </c>
      <c r="G16" s="165">
        <f>$E16*1000</f>
        <v/>
      </c>
      <c r="H16" s="150">
        <f>IFERROR(INDEX('04 SKU Master'!$AM$5:$AM$165,MATCH($B16,'04 SKU Master'!$A$5:$A$165,0)),"")</f>
        <v/>
      </c>
      <c r="I16" s="150">
        <f>IF(OR($H16="",$G16=""),"",$H16*$G16)</f>
        <v/>
      </c>
      <c r="J16" s="116" t="inlineStr">
        <is>
          <t>Dehulled, fine mill &lt;=200 um</t>
        </is>
      </c>
    </row>
    <row r="17" ht="64.15000000000001" customHeight="1" s="106">
      <c r="A17" s="163" t="inlineStr">
        <is>
          <t>Bokgat Base</t>
        </is>
      </c>
      <c r="B17" s="134" t="inlineStr">
        <is>
          <t>PP-BAOBAB</t>
        </is>
      </c>
      <c r="C17" s="113" t="inlineStr">
        <is>
          <t>SA baobab fruit powder</t>
        </is>
      </c>
      <c r="D17" s="139" t="inlineStr">
        <is>
          <t>10%</t>
        </is>
      </c>
      <c r="E17" s="147" t="n">
        <v>1</v>
      </c>
      <c r="F17" s="164" t="inlineStr">
        <is>
          <t>kg</t>
        </is>
      </c>
      <c r="G17" s="165">
        <f>$E17*1000</f>
        <v/>
      </c>
      <c r="H17" s="150">
        <f>IFERROR(INDEX('04 SKU Master'!$AM$5:$AM$165,MATCH($B17,'04 SKU Master'!$A$5:$A$165,0)),"")</f>
        <v/>
      </c>
      <c r="I17" s="150">
        <f>IF(OR($H17="",$G17=""),"",$H17*$G17)</f>
        <v/>
      </c>
      <c r="J17" s="116" t="inlineStr">
        <is>
          <t>Soluble fibre + vitamin C. LARGEST SINGLE COST SWING in 3 of 4 formulas - quote this first</t>
        </is>
      </c>
    </row>
    <row r="18" ht="28.35" customHeight="1" s="106">
      <c r="A18" s="163" t="inlineStr">
        <is>
          <t>Bokgat Base</t>
        </is>
      </c>
      <c r="B18" s="134" t="inlineStr">
        <is>
          <t>PP-FLAX-GOLDEN</t>
        </is>
      </c>
      <c r="C18" s="113" t="inlineStr">
        <is>
          <t>Golden flaxseed, cold-milled</t>
        </is>
      </c>
      <c r="D18" s="139" t="inlineStr">
        <is>
          <t>5%</t>
        </is>
      </c>
      <c r="E18" s="147" t="n">
        <v>0.5</v>
      </c>
      <c r="F18" s="164" t="inlineStr">
        <is>
          <t>kg</t>
        </is>
      </c>
      <c r="G18" s="165">
        <f>$E18*1000</f>
        <v/>
      </c>
      <c r="H18" s="150">
        <f>IFERROR(INDEX('04 SKU Master'!$AM$5:$AM$165,MATCH($B18,'04 SKU Master'!$A$5:$A$165,0)),"")</f>
        <v/>
      </c>
      <c r="I18" s="150">
        <f>IF(OR($H18="",$G18=""),"",$H18*$G18)</f>
        <v/>
      </c>
      <c r="J18" s="116" t="inlineStr">
        <is>
          <t>Fresh-milled, refrigerated (oxidation control)</t>
        </is>
      </c>
    </row>
    <row r="19" ht="19.4" customHeight="1" s="106">
      <c r="A19" s="163" t="inlineStr">
        <is>
          <t>Bokgat Base</t>
        </is>
      </c>
      <c r="B19" s="134" t="inlineStr">
        <is>
          <t>PP-WATER-PURIFIED</t>
        </is>
      </c>
      <c r="C19" s="113" t="inlineStr">
        <is>
          <t>Purified water (38-40 C)</t>
        </is>
      </c>
      <c r="D19" s="139" t="inlineStr">
        <is>
          <t>32-34%</t>
        </is>
      </c>
      <c r="E19" s="147" t="n">
        <v>3.3</v>
      </c>
      <c r="F19" s="164" t="inlineStr">
        <is>
          <t>L</t>
        </is>
      </c>
      <c r="G19" s="165">
        <f>$E19*1000</f>
        <v/>
      </c>
      <c r="H19" s="150">
        <f>IFERROR(INDEX('04 SKU Master'!$AM$5:$AM$165,MATCH($B19,'04 SKU Master'!$A$5:$A$165,0)),"")</f>
        <v/>
      </c>
      <c r="I19" s="150">
        <f>IF(OR($H19="",$G19=""),"",$H19*$G19)</f>
        <v/>
      </c>
      <c r="J19" s="116" t="inlineStr">
        <is>
          <t>Fresh-daily hydration water</t>
        </is>
      </c>
    </row>
    <row r="20" ht="37.3" customHeight="1" s="106">
      <c r="A20" s="163" t="inlineStr">
        <is>
          <t>Bokgat Base</t>
        </is>
      </c>
      <c r="B20" s="134" t="inlineStr">
        <is>
          <t>PP-SALT</t>
        </is>
      </c>
      <c r="C20" s="113" t="inlineStr">
        <is>
          <t>Salt</t>
        </is>
      </c>
      <c r="D20" s="139" t="inlineStr">
        <is>
          <t>1-1.5%</t>
        </is>
      </c>
      <c r="E20" s="147" t="n">
        <v>0.125</v>
      </c>
      <c r="F20" s="164" t="inlineStr">
        <is>
          <t>kg</t>
        </is>
      </c>
      <c r="G20" s="165">
        <f>$E20*1000</f>
        <v/>
      </c>
      <c r="H20" s="150">
        <f>IFERROR(INDEX('04 SKU Master'!$AM$5:$AM$165,MATCH($B20,'04 SKU Master'!$A$5:$A$165,0)),"")</f>
        <v/>
      </c>
      <c r="I20" s="150">
        <f>IF(OR($H20="",$G20=""),"",$H20*$G20)</f>
        <v/>
      </c>
      <c r="J20" s="116" t="inlineStr">
        <is>
          <t>Optional/recommended at 1-1.5% of dry weight</t>
        </is>
      </c>
    </row>
    <row r="22" ht="15" customHeight="1" s="106">
      <c r="B22" s="113" t="inlineStr">
        <is>
          <t>Total dry blend (g)</t>
        </is>
      </c>
      <c r="C22" s="111" t="n"/>
      <c r="D22" s="157">
        <f>$G$15+$G$16+$G$17+$G$18</f>
        <v/>
      </c>
    </row>
    <row r="23" ht="15" customHeight="1" s="106">
      <c r="B23" s="113" t="inlineStr">
        <is>
          <t>Salt (g)</t>
        </is>
      </c>
      <c r="C23" s="111" t="n"/>
      <c r="D23" s="157">
        <f>$G$20</f>
        <v/>
      </c>
    </row>
    <row r="24" ht="15" customHeight="1" s="106">
      <c r="B24" s="113" t="inlineStr">
        <is>
          <t>Hydration water added (ml)</t>
        </is>
      </c>
      <c r="C24" s="111" t="n"/>
      <c r="D24" s="157">
        <f>$G$19</f>
        <v/>
      </c>
    </row>
    <row r="25" ht="15" customHeight="1" s="106">
      <c r="B25" s="113" t="inlineStr">
        <is>
          <t>Flour as-received moisture %</t>
        </is>
      </c>
      <c r="C25" s="111" t="n"/>
      <c r="D25" s="166">
        <f>'01 Control'!$C$10</f>
        <v/>
      </c>
    </row>
    <row r="26" ht="15" customHeight="1" s="106">
      <c r="B26" s="113" t="inlineStr">
        <is>
          <t>Dry solids (g)</t>
        </is>
      </c>
      <c r="C26" s="111" t="n"/>
      <c r="D26" s="157">
        <f>$D$22*(1-$D$25)+$D$23</f>
        <v/>
      </c>
    </row>
    <row r="27" ht="15" customHeight="1" s="106">
      <c r="B27" s="113" t="inlineStr">
        <is>
          <t>Finished dried pasta moisture %</t>
        </is>
      </c>
      <c r="C27" s="111" t="n"/>
      <c r="D27" s="166">
        <f>'01 Control'!$C$11</f>
        <v/>
      </c>
    </row>
    <row r="28" ht="15" customHeight="1" s="106">
      <c r="B28" s="113" t="inlineStr">
        <is>
          <t>DRIED PASTA OUTPUT (g)</t>
        </is>
      </c>
      <c r="C28" s="111" t="n"/>
      <c r="D28" s="157">
        <f>$D$26/(1-$D$27)</f>
        <v/>
      </c>
    </row>
    <row r="29" ht="15" customHeight="1" s="106">
      <c r="B29" s="113" t="inlineStr">
        <is>
          <t>Extruded WET weight onto the racks (g)</t>
        </is>
      </c>
      <c r="C29" s="111" t="n"/>
      <c r="D29" s="157">
        <f>$D$22+$D$23+$D$24</f>
        <v/>
      </c>
    </row>
    <row r="30" ht="15" customHeight="1" s="106">
      <c r="B30" s="113" t="inlineStr">
        <is>
          <t>Water evaporated during drying (g)</t>
        </is>
      </c>
      <c r="C30" s="111" t="n"/>
      <c r="D30" s="157">
        <f>$D$29-$D$28</f>
        <v/>
      </c>
    </row>
    <row r="31" ht="15" customHeight="1" s="106">
      <c r="B31" s="113" t="inlineStr">
        <is>
          <t>Servings per portion - theoretical ceiling</t>
        </is>
      </c>
      <c r="C31" s="111" t="n"/>
      <c r="D31" s="165">
        <f>$D$28/'01 Control'!$C$8</f>
        <v/>
      </c>
    </row>
    <row r="32" ht="15" customHeight="1" s="106">
      <c r="B32" s="113" t="inlineStr">
        <is>
          <t>Process loss %</t>
        </is>
      </c>
      <c r="C32" s="111" t="n"/>
      <c r="D32" s="166">
        <f>'01 Control'!$C$12</f>
        <v/>
      </c>
    </row>
    <row r="33" ht="15" customHeight="1" s="106">
      <c r="B33" s="113" t="inlineStr">
        <is>
          <t>Net dried pasta after process loss (g)</t>
        </is>
      </c>
      <c r="C33" s="111" t="n"/>
      <c r="D33" s="157">
        <f>$D$28*(1-$D$32)</f>
        <v/>
      </c>
    </row>
    <row r="34" ht="15" customHeight="1" s="106">
      <c r="B34" s="134" t="inlineStr">
        <is>
          <t>SERVINGS PER PORTION - PLANNING</t>
        </is>
      </c>
      <c r="C34" s="111" t="n"/>
      <c r="D34" s="167">
        <f>$D$33/'01 Control'!$C$8</f>
        <v/>
      </c>
    </row>
    <row r="35" ht="15" customHeight="1" s="106">
      <c r="B35" s="134" t="inlineStr">
        <is>
          <t>Aug-2026 manual figure (worst case, ref only)</t>
        </is>
      </c>
      <c r="C35" s="111" t="n"/>
      <c r="D35" s="168" t="n">
        <v>70</v>
      </c>
    </row>
    <row r="36" ht="15" customHeight="1" s="106">
      <c r="B36" s="113" t="inlineStr">
        <is>
          <t>Lines still unpriced</t>
        </is>
      </c>
      <c r="C36" s="111" t="n"/>
      <c r="D36" s="157">
        <f>COUNTA($B$15:$B$20)-COUNT($I$15:$I$20)</f>
        <v/>
      </c>
    </row>
    <row r="37" ht="15" customHeight="1" s="106">
      <c r="B37" s="113" t="inlineStr">
        <is>
          <t>Batch cost of priced lines (partial)</t>
        </is>
      </c>
      <c r="C37" s="111" t="n"/>
      <c r="D37" s="150">
        <f>IF(COUNT($I$15:$I$20)=0,"",SUM($I$15:$I$20))</f>
        <v/>
      </c>
    </row>
    <row r="38" ht="15" customHeight="1" s="106">
      <c r="B38" s="113" t="inlineStr">
        <is>
          <t>Batch ingredient cost (all lines priced)</t>
        </is>
      </c>
      <c r="C38" s="111" t="n"/>
      <c r="D38" s="150">
        <f>IF($D$36&gt;0,"",SUM($I$15:$I$20))</f>
        <v/>
      </c>
    </row>
    <row r="39" ht="15" customHeight="1" s="106">
      <c r="B39" s="134" t="inlineStr">
        <is>
          <t>COST PER SERVING</t>
        </is>
      </c>
      <c r="C39" s="111" t="n"/>
      <c r="D39" s="151">
        <f>IF(OR($D$38="",$D$34=0),"",$D$38/$D$34)</f>
        <v/>
      </c>
    </row>
    <row r="40" ht="15" customHeight="1" s="106">
      <c r="B40" s="134" t="inlineStr">
        <is>
          <t>Cost per gram of dried pasta</t>
        </is>
      </c>
      <c r="C40" s="111" t="n"/>
      <c r="D40" s="151">
        <f>IF($D$39="","",$D$39/'01 Control'!$C$8)</f>
        <v/>
      </c>
    </row>
    <row r="41" ht="15" customHeight="1" s="106">
      <c r="B41" s="113" t="inlineStr">
        <is>
          <t>Dry matter per serving (g)</t>
        </is>
      </c>
      <c r="C41" s="111" t="n"/>
      <c r="D41" s="165">
        <f>'01 Control'!$C$8*(1-$D$27)</f>
        <v/>
      </c>
    </row>
    <row r="42" ht="15" customHeight="1" s="106">
      <c r="B42" s="113" t="inlineStr">
        <is>
          <t>Cooked plate weight per serving (g)</t>
        </is>
      </c>
      <c r="C42" s="111" t="n"/>
      <c r="D42" s="157">
        <f>'01 Control'!$C$8*'01 Control'!$C$9</f>
        <v/>
      </c>
    </row>
    <row r="43" ht="15" customHeight="1" s="106">
      <c r="B43" s="134" t="inlineStr">
        <is>
          <t>Benchmark raw cost / serving - low</t>
        </is>
      </c>
      <c r="C43" s="111" t="n"/>
      <c r="D43" s="169" t="n">
        <v>2.2</v>
      </c>
    </row>
    <row r="44" ht="15" customHeight="1" s="106">
      <c r="B44" s="134" t="inlineStr">
        <is>
          <t>Benchmark raw cost / serving - high</t>
        </is>
      </c>
      <c r="C44" s="111" t="n"/>
      <c r="D44" s="169" t="n">
        <v>3.4</v>
      </c>
    </row>
    <row r="45" ht="22.35" customHeight="1" s="106">
      <c r="B45" s="113" t="inlineStr">
        <is>
          <t>Benchmark check</t>
        </is>
      </c>
      <c r="C45" s="111" t="n"/>
      <c r="D45" s="170">
        <f>IF($D$39="","Waiting on supplier quotes",IF($D$39&lt;$D$43,"BELOW the Aug-2026 planning band",IF($D$39&gt;$D$44,"ABOVE the Aug-2026 planning band - investigate","WITHIN the Aug-2026 planning band")))</f>
        <v/>
      </c>
    </row>
    <row r="46" ht="15" customHeight="1" s="106">
      <c r="B46" s="113" t="inlineStr">
        <is>
          <t>Cost per serving at the worst-case 70</t>
        </is>
      </c>
      <c r="C46" s="111" t="n"/>
      <c r="D46" s="150">
        <f>IF($D$38="","",$D$38/$D$35)</f>
        <v/>
      </c>
    </row>
    <row r="47" ht="55.2" customHeight="1" s="106">
      <c r="B47" s="134" t="inlineStr">
        <is>
          <t>MAKE POINT</t>
        </is>
      </c>
      <c r="C47" s="111" t="n"/>
      <c r="D47" s="171" t="inlineStr">
        <is>
          <t>IN-STORE</t>
        </is>
      </c>
      <c r="E47" s="172" t="inlineStr">
        <is>
          <t>The volume driver and the Pasta Theatre. This is the franchisee's main line - they own it.</t>
        </is>
      </c>
    </row>
    <row r="48" ht="15" customHeight="1" s="106">
      <c r="B48" s="134" t="inlineStr">
        <is>
          <t>In-store labour minutes per batch</t>
        </is>
      </c>
      <c r="C48" s="111" t="n"/>
      <c r="D48" s="168" t="n">
        <v>45</v>
      </c>
    </row>
    <row r="49" ht="15" customHeight="1" s="106">
      <c r="B49" s="134" t="inlineStr">
        <is>
          <t>In-store energy kWh per batch</t>
        </is>
      </c>
      <c r="C49" s="111" t="n"/>
      <c r="D49" s="173" t="n">
        <v>4</v>
      </c>
    </row>
    <row r="50" ht="15" customHeight="1" s="106">
      <c r="B50" s="113" t="inlineStr">
        <is>
          <t>In-store labour cost per batch</t>
        </is>
      </c>
      <c r="C50" s="111" t="n"/>
      <c r="D50" s="150">
        <f>$D$48/60*'01 Control'!$C$24</f>
        <v/>
      </c>
    </row>
    <row r="51" ht="15" customHeight="1" s="106">
      <c r="B51" s="113" t="inlineStr">
        <is>
          <t>In-store energy cost per batch</t>
        </is>
      </c>
      <c r="C51" s="111" t="n"/>
      <c r="D51" s="150">
        <f>$D$49*'01 Control'!$C$25</f>
        <v/>
      </c>
    </row>
    <row r="52" ht="15" customHeight="1" s="106">
      <c r="B52" s="113" t="inlineStr">
        <is>
          <t>IN-STORE batch cost (ingredients + labour + energy)</t>
        </is>
      </c>
      <c r="C52" s="111" t="n"/>
      <c r="D52" s="150">
        <f>IF($D$38="","",$D$38+$D$50+$D$51)</f>
        <v/>
      </c>
    </row>
    <row r="53" ht="15" customHeight="1" s="106">
      <c r="B53" s="113" t="inlineStr">
        <is>
          <t>IN-STORE cost per serving</t>
        </is>
      </c>
      <c r="C53" s="111" t="n"/>
      <c r="D53" s="150">
        <f>IF(OR($D$52="",$D$34=0),"",$D$52/$D$34)</f>
        <v/>
      </c>
    </row>
    <row r="54" ht="15" customHeight="1" s="106">
      <c r="B54" s="113" t="inlineStr">
        <is>
          <t>IN-STORE cost per gram</t>
        </is>
      </c>
      <c r="C54" s="111" t="n"/>
      <c r="D54" s="150">
        <f>IF($D$53="","",$D$53/'01 Control'!$C$8)</f>
        <v/>
      </c>
    </row>
    <row r="55" ht="15" customHeight="1" s="106">
      <c r="B55" s="113" t="inlineStr">
        <is>
          <t>CK cost per batch (ingredients + CK labour + overhead)</t>
        </is>
      </c>
      <c r="C55" s="111" t="n"/>
      <c r="D55" s="150">
        <f>IF($D$38="","",$D$38+($D$28/1000)*('01 Control'!$C$13+'01 Control'!$C$14))</f>
        <v/>
      </c>
    </row>
    <row r="56" ht="15" customHeight="1" s="106">
      <c r="B56" s="113" t="inlineStr">
        <is>
          <t>CK TRANSFER PRICE per serving</t>
        </is>
      </c>
      <c r="C56" s="111" t="n"/>
      <c r="D56" s="150">
        <f>IF(OR($D$55="",$D$34=0),"",$D$55/$D$34*(1+'01 Control'!$C$15))</f>
        <v/>
      </c>
    </row>
    <row r="57" ht="15" customHeight="1" s="106">
      <c r="B57" s="113" t="inlineStr">
        <is>
          <t>CK transfer price per gram</t>
        </is>
      </c>
      <c r="C57" s="111" t="n"/>
      <c r="D57" s="150">
        <f>IF($D$56="","",$D$56/'01 Control'!$C$8)</f>
        <v/>
      </c>
    </row>
    <row r="58" ht="15" customHeight="1" s="106">
      <c r="B58" s="134" t="inlineStr">
        <is>
          <t>FRANCHISEE COST PER SERVING (live, per make point)</t>
        </is>
      </c>
      <c r="C58" s="111" t="n"/>
      <c r="D58" s="151">
        <f>IF($D$47="IN-STORE",$D$53,$D$56)</f>
        <v/>
      </c>
    </row>
    <row r="59" ht="15" customHeight="1" s="106">
      <c r="B59" s="134" t="inlineStr">
        <is>
          <t>FRANCHISEE cost per gram (live)</t>
        </is>
      </c>
      <c r="C59" s="111" t="n"/>
      <c r="D59" s="151">
        <f>IF($D$58="","",$D$58/'01 Control'!$C$8)</f>
        <v/>
      </c>
    </row>
    <row r="60" ht="15" customHeight="1" s="106">
      <c r="B60" s="113" t="inlineStr">
        <is>
          <t>In-store vs CK, per serving</t>
        </is>
      </c>
      <c r="C60" s="111" t="n"/>
      <c r="D60" s="150">
        <f>IF(OR($D$53="",$D$56=""),"",$D$53-$D$56)</f>
        <v/>
      </c>
    </row>
    <row r="61" ht="15" customHeight="1" s="106">
      <c r="B61" s="113" t="inlineStr">
        <is>
          <t>CK margin earned per serving</t>
        </is>
      </c>
      <c r="C61" s="111" t="n"/>
      <c r="D61" s="150">
        <f>IF(OR($D$47&lt;&gt;"CENTRAL KITCHEN",$D$56=""),0,$D$56-$D$55/$D$34)</f>
        <v/>
      </c>
    </row>
    <row r="64" ht="15" customHeight="1" s="106">
      <c r="A64" s="109" t="inlineStr">
        <is>
          <t>Protein+ Pro   |   PP-DOUGH-PROTEIN   |   Premium flagship / upsell   |   SKILL: Advanced - LUPIN allergen, line segregation   |   Retail 500 g R69-79 at 45-55% GM</t>
        </is>
      </c>
      <c r="B64" s="110" t="n"/>
      <c r="C64" s="110" t="n"/>
      <c r="D64" s="110" t="n"/>
      <c r="E64" s="110" t="n"/>
      <c r="F64" s="110" t="n"/>
      <c r="G64" s="110" t="n"/>
      <c r="H64" s="110" t="n"/>
      <c r="I64" s="110" t="n"/>
      <c r="J64" s="110" t="n"/>
      <c r="K64" s="110" t="n"/>
      <c r="L64" s="110" t="n"/>
      <c r="M64" s="111" t="n"/>
    </row>
    <row r="65" ht="33.75" customHeight="1" s="106">
      <c r="A65" s="112" t="inlineStr">
        <is>
          <t>Recipe</t>
        </is>
      </c>
      <c r="B65" s="112" t="inlineStr">
        <is>
          <t>Ingredient SKU</t>
        </is>
      </c>
      <c r="C65" s="112" t="inlineStr">
        <is>
          <t>Ingredient</t>
        </is>
      </c>
      <c r="D65" s="112" t="inlineStr">
        <is>
          <t>Baker's %</t>
        </is>
      </c>
      <c r="E65" s="112" t="inlineStr">
        <is>
          <t>Batch Qty</t>
        </is>
      </c>
      <c r="F65" s="112" t="inlineStr">
        <is>
          <t>Unit</t>
        </is>
      </c>
      <c r="G65" s="112" t="inlineStr">
        <is>
          <t>Base Qty (g/ml)</t>
        </is>
      </c>
      <c r="H65" s="112" t="inlineStr">
        <is>
          <t>Usable Cost per
Base Unit</t>
        </is>
      </c>
      <c r="I65" s="112" t="inlineStr">
        <is>
          <t>Line Cost</t>
        </is>
      </c>
      <c r="J65" s="112" t="inlineStr">
        <is>
          <t>Specification</t>
        </is>
      </c>
    </row>
    <row r="66" ht="37.3" customHeight="1" s="106">
      <c r="A66" s="163" t="inlineStr">
        <is>
          <t>Protein+ Pro</t>
        </is>
      </c>
      <c r="B66" s="134" t="inlineStr">
        <is>
          <t>PP-DURUM-WHOLE</t>
        </is>
      </c>
      <c r="C66" s="113" t="inlineStr">
        <is>
          <t>Whole durum wheat flour (protein &gt;=14%)</t>
        </is>
      </c>
      <c r="D66" s="139" t="inlineStr">
        <is>
          <t>60%</t>
        </is>
      </c>
      <c r="E66" s="147" t="n">
        <v>6</v>
      </c>
      <c r="F66" s="164" t="inlineStr">
        <is>
          <t>kg</t>
        </is>
      </c>
      <c r="G66" s="165">
        <f>$E66*1000</f>
        <v/>
      </c>
      <c r="H66" s="150">
        <f>IFERROR(INDEX('04 SKU Master'!$AM$5:$AM$165,MATCH($B66,'04 SKU Master'!$A$5:$A$165,0)),"")</f>
        <v/>
      </c>
      <c r="I66" s="150">
        <f>IF(OR($H66="",$G66=""),"",$H66*$G66)</f>
        <v/>
      </c>
      <c r="J66" s="116" t="inlineStr">
        <is>
          <t>Stone-milled, protein &gt;=13-14%; Protein+ prefers &gt;=14%</t>
        </is>
      </c>
    </row>
    <row r="67" ht="19.4" customHeight="1" s="106">
      <c r="A67" s="163" t="inlineStr">
        <is>
          <t>Protein+ Pro</t>
        </is>
      </c>
      <c r="B67" s="134" t="inlineStr">
        <is>
          <t>PP-SORGHUM-WHITE</t>
        </is>
      </c>
      <c r="C67" s="113" t="inlineStr">
        <is>
          <t>SA white sorghum flour</t>
        </is>
      </c>
      <c r="D67" s="139" t="inlineStr">
        <is>
          <t>15%</t>
        </is>
      </c>
      <c r="E67" s="147" t="n">
        <v>1.5</v>
      </c>
      <c r="F67" s="164" t="inlineStr">
        <is>
          <t>kg</t>
        </is>
      </c>
      <c r="G67" s="165">
        <f>$E67*1000</f>
        <v/>
      </c>
      <c r="H67" s="150">
        <f>IFERROR(INDEX('04 SKU Master'!$AM$5:$AM$165,MATCH($B67,'04 SKU Master'!$A$5:$A$165,0)),"")</f>
        <v/>
      </c>
      <c r="I67" s="150">
        <f>IF(OR($H67="",$G67=""),"",$H67*$G67)</f>
        <v/>
      </c>
      <c r="J67" s="116" t="inlineStr">
        <is>
          <t>Dehulled, fine mill &lt;=200 um</t>
        </is>
      </c>
    </row>
    <row r="68" ht="73.09999999999999" customHeight="1" s="106">
      <c r="A68" s="163" t="inlineStr">
        <is>
          <t>Protein+ Pro</t>
        </is>
      </c>
      <c r="B68" s="134" t="inlineStr">
        <is>
          <t>PP-LUPIN-SWEET</t>
        </is>
      </c>
      <c r="C68" s="113" t="inlineStr">
        <is>
          <t>SA sweet lupin flour, fermented</t>
        </is>
      </c>
      <c r="D68" s="139" t="inlineStr">
        <is>
          <t>15%</t>
        </is>
      </c>
      <c r="E68" s="147" t="n">
        <v>1.5</v>
      </c>
      <c r="F68" s="164" t="inlineStr">
        <is>
          <t>kg</t>
        </is>
      </c>
      <c r="G68" s="165">
        <f>$E68*1000</f>
        <v/>
      </c>
      <c r="H68" s="150">
        <f>IFERROR(INDEX('04 SKU Master'!$AM$5:$AM$165,MATCH($B68,'04 SKU Master'!$A$5:$A$165,0)),"")</f>
        <v/>
      </c>
      <c r="I68" s="150">
        <f>IF(OR($H68="",$G68=""),"",$H68*$G68)</f>
        <v/>
      </c>
      <c r="J68" s="116" t="inlineStr">
        <is>
          <t>LUPIN ALLERGEN - declare CONTAINS LUPIN; dedicated line or full deep-clean. CEILING 20%</t>
        </is>
      </c>
    </row>
    <row r="69" ht="46.25" customHeight="1" s="106">
      <c r="A69" s="163" t="inlineStr">
        <is>
          <t>Protein+ Pro</t>
        </is>
      </c>
      <c r="B69" s="134" t="inlineStr">
        <is>
          <t>PP-INULIN-HP</t>
        </is>
      </c>
      <c r="C69" s="113" t="inlineStr">
        <is>
          <t>Inulin HP (or 1:1 baobab swap)</t>
        </is>
      </c>
      <c r="D69" s="139" t="inlineStr">
        <is>
          <t>8%</t>
        </is>
      </c>
      <c r="E69" s="147" t="n">
        <v>0.8</v>
      </c>
      <c r="F69" s="164" t="inlineStr">
        <is>
          <t>kg</t>
        </is>
      </c>
      <c r="G69" s="165">
        <f>$E69*1000</f>
        <v/>
      </c>
      <c r="H69" s="150">
        <f>IFERROR(INDEX('04 SKU Master'!$AM$5:$AM$165,MATCH($B69,'04 SKU Master'!$A$5:$A$165,0)),"")</f>
        <v/>
      </c>
      <c r="I69" s="150">
        <f>IF(OR($H69="",$G69=""),"",$H69*$G69)</f>
        <v/>
      </c>
      <c r="J69" s="116" t="inlineStr">
        <is>
          <t>Long-chain, soluble fibre &gt;=90%; 1:1 swap with baobab. CEILING ~12%</t>
        </is>
      </c>
    </row>
    <row r="70" ht="19.4" customHeight="1" s="106">
      <c r="A70" s="163" t="inlineStr">
        <is>
          <t>Protein+ Pro</t>
        </is>
      </c>
      <c r="B70" s="134" t="inlineStr">
        <is>
          <t>PP-MUSHROOM-LIGHT</t>
        </is>
      </c>
      <c r="C70" s="113" t="inlineStr">
        <is>
          <t>Light mushroom powder</t>
        </is>
      </c>
      <c r="D70" s="139" t="inlineStr">
        <is>
          <t>1%</t>
        </is>
      </c>
      <c r="E70" s="147" t="n">
        <v>0.1</v>
      </c>
      <c r="F70" s="164" t="inlineStr">
        <is>
          <t>kg</t>
        </is>
      </c>
      <c r="G70" s="165">
        <f>$E70*1000</f>
        <v/>
      </c>
      <c r="H70" s="150">
        <f>IFERROR(INDEX('04 SKU Master'!$AM$5:$AM$165,MATCH($B70,'04 SKU Master'!$A$5:$A$165,0)),"")</f>
        <v/>
      </c>
      <c r="I70" s="150">
        <f>IF(OR($H70="",$G70=""),"",$H70*$G70)</f>
        <v/>
      </c>
      <c r="J70" s="116" t="inlineStr">
        <is>
          <t>Light-coloured; savoury depth</t>
        </is>
      </c>
    </row>
    <row r="71" ht="28.35" customHeight="1" s="106">
      <c r="A71" s="163" t="inlineStr">
        <is>
          <t>Protein+ Pro</t>
        </is>
      </c>
      <c r="B71" s="134" t="inlineStr">
        <is>
          <t>PP-FLAX-GOLDEN</t>
        </is>
      </c>
      <c r="C71" s="113" t="inlineStr">
        <is>
          <t>Golden flaxseed, cold-milled</t>
        </is>
      </c>
      <c r="D71" s="139" t="inlineStr">
        <is>
          <t>2%</t>
        </is>
      </c>
      <c r="E71" s="147" t="n">
        <v>0.2</v>
      </c>
      <c r="F71" s="164" t="inlineStr">
        <is>
          <t>kg</t>
        </is>
      </c>
      <c r="G71" s="165">
        <f>$E71*1000</f>
        <v/>
      </c>
      <c r="H71" s="150">
        <f>IFERROR(INDEX('04 SKU Master'!$AM$5:$AM$165,MATCH($B71,'04 SKU Master'!$A$5:$A$165,0)),"")</f>
        <v/>
      </c>
      <c r="I71" s="150">
        <f>IF(OR($H71="",$G71=""),"",$H71*$G71)</f>
        <v/>
      </c>
      <c r="J71" s="116" t="inlineStr">
        <is>
          <t>Fresh-milled, refrigerated (oxidation control)</t>
        </is>
      </c>
    </row>
    <row r="72" ht="28.35" customHeight="1" s="106">
      <c r="A72" s="163" t="inlineStr">
        <is>
          <t>Protein+ Pro</t>
        </is>
      </c>
      <c r="B72" s="134" t="inlineStr">
        <is>
          <t>PP-EVOO</t>
        </is>
      </c>
      <c r="C72" s="113" t="inlineStr">
        <is>
          <t>Extra-virgin olive oil</t>
        </is>
      </c>
      <c r="D72" s="139" t="inlineStr">
        <is>
          <t>0.5%</t>
        </is>
      </c>
      <c r="E72" s="147" t="n">
        <v>0.05</v>
      </c>
      <c r="F72" s="164" t="inlineStr">
        <is>
          <t>L</t>
        </is>
      </c>
      <c r="G72" s="165">
        <f>$E72*1000</f>
        <v/>
      </c>
      <c r="H72" s="150">
        <f>IFERROR(INDEX('04 SKU Master'!$AM$5:$AM$165,MATCH($B72,'04 SKU Master'!$A$5:$A$165,0)),"")</f>
        <v/>
      </c>
      <c r="I72" s="150">
        <f>IF(OR($H72="",$G72=""),"",$H72*$G72)</f>
        <v/>
      </c>
      <c r="J72" s="116" t="inlineStr">
        <is>
          <t>Mouthfeel / aroma carrier; also a finishing item</t>
        </is>
      </c>
    </row>
    <row r="73" ht="19.4" customHeight="1" s="106">
      <c r="A73" s="163" t="inlineStr">
        <is>
          <t>Protein+ Pro</t>
        </is>
      </c>
      <c r="B73" s="134" t="inlineStr">
        <is>
          <t>PP-WATER-PURIFIED</t>
        </is>
      </c>
      <c r="C73" s="113" t="inlineStr">
        <is>
          <t>Purified water (38-40 C)</t>
        </is>
      </c>
      <c r="D73" s="139" t="inlineStr">
        <is>
          <t>33-35%</t>
        </is>
      </c>
      <c r="E73" s="147" t="n">
        <v>3.4</v>
      </c>
      <c r="F73" s="164" t="inlineStr">
        <is>
          <t>L</t>
        </is>
      </c>
      <c r="G73" s="165">
        <f>$E73*1000</f>
        <v/>
      </c>
      <c r="H73" s="150">
        <f>IFERROR(INDEX('04 SKU Master'!$AM$5:$AM$165,MATCH($B73,'04 SKU Master'!$A$5:$A$165,0)),"")</f>
        <v/>
      </c>
      <c r="I73" s="150">
        <f>IF(OR($H73="",$G73=""),"",$H73*$G73)</f>
        <v/>
      </c>
      <c r="J73" s="116" t="inlineStr">
        <is>
          <t>Fresh-daily hydration water</t>
        </is>
      </c>
    </row>
    <row r="74" ht="37.3" customHeight="1" s="106">
      <c r="A74" s="163" t="inlineStr">
        <is>
          <t>Protein+ Pro</t>
        </is>
      </c>
      <c r="B74" s="134" t="inlineStr">
        <is>
          <t>PP-SALT</t>
        </is>
      </c>
      <c r="C74" s="113" t="inlineStr">
        <is>
          <t>Salt</t>
        </is>
      </c>
      <c r="D74" s="139" t="inlineStr">
        <is>
          <t>1-1.5%</t>
        </is>
      </c>
      <c r="E74" s="147" t="n">
        <v>0.125</v>
      </c>
      <c r="F74" s="164" t="inlineStr">
        <is>
          <t>kg</t>
        </is>
      </c>
      <c r="G74" s="165">
        <f>$E74*1000</f>
        <v/>
      </c>
      <c r="H74" s="150">
        <f>IFERROR(INDEX('04 SKU Master'!$AM$5:$AM$165,MATCH($B74,'04 SKU Master'!$A$5:$A$165,0)),"")</f>
        <v/>
      </c>
      <c r="I74" s="150">
        <f>IF(OR($H74="",$G74=""),"",$H74*$G74)</f>
        <v/>
      </c>
      <c r="J74" s="116" t="inlineStr">
        <is>
          <t>Optional/recommended at 1-1.5% of dry weight</t>
        </is>
      </c>
    </row>
    <row r="76" ht="15" customHeight="1" s="106">
      <c r="B76" s="113" t="inlineStr">
        <is>
          <t>Total dry blend (g)</t>
        </is>
      </c>
      <c r="C76" s="111" t="n"/>
      <c r="D76" s="157">
        <f>$G$66+$G$67+$G$68+$G$69+$G$70+$G$71+$G$72</f>
        <v/>
      </c>
    </row>
    <row r="77" ht="15" customHeight="1" s="106">
      <c r="B77" s="113" t="inlineStr">
        <is>
          <t>Salt (g)</t>
        </is>
      </c>
      <c r="C77" s="111" t="n"/>
      <c r="D77" s="157">
        <f>$G$74</f>
        <v/>
      </c>
    </row>
    <row r="78" ht="15" customHeight="1" s="106">
      <c r="B78" s="113" t="inlineStr">
        <is>
          <t>Hydration water added (ml)</t>
        </is>
      </c>
      <c r="C78" s="111" t="n"/>
      <c r="D78" s="157">
        <f>$G$73</f>
        <v/>
      </c>
    </row>
    <row r="79" ht="15" customHeight="1" s="106">
      <c r="B79" s="113" t="inlineStr">
        <is>
          <t>Flour as-received moisture %</t>
        </is>
      </c>
      <c r="C79" s="111" t="n"/>
      <c r="D79" s="166">
        <f>'01 Control'!$C$10</f>
        <v/>
      </c>
    </row>
    <row r="80" ht="15" customHeight="1" s="106">
      <c r="B80" s="113" t="inlineStr">
        <is>
          <t>Dry solids (g)</t>
        </is>
      </c>
      <c r="C80" s="111" t="n"/>
      <c r="D80" s="157">
        <f>$D$76*(1-$D$79)+$D$77</f>
        <v/>
      </c>
    </row>
    <row r="81" ht="15" customHeight="1" s="106">
      <c r="B81" s="113" t="inlineStr">
        <is>
          <t>Finished dried pasta moisture %</t>
        </is>
      </c>
      <c r="C81" s="111" t="n"/>
      <c r="D81" s="166">
        <f>'01 Control'!$C$11</f>
        <v/>
      </c>
    </row>
    <row r="82" ht="15" customHeight="1" s="106">
      <c r="B82" s="113" t="inlineStr">
        <is>
          <t>DRIED PASTA OUTPUT (g)</t>
        </is>
      </c>
      <c r="C82" s="111" t="n"/>
      <c r="D82" s="157">
        <f>$D$80/(1-$D$81)</f>
        <v/>
      </c>
    </row>
    <row r="83" ht="15" customHeight="1" s="106">
      <c r="B83" s="113" t="inlineStr">
        <is>
          <t>Extruded WET weight onto the racks (g)</t>
        </is>
      </c>
      <c r="C83" s="111" t="n"/>
      <c r="D83" s="157">
        <f>$D$76+$D$77+$D$78</f>
        <v/>
      </c>
    </row>
    <row r="84" ht="15" customHeight="1" s="106">
      <c r="B84" s="113" t="inlineStr">
        <is>
          <t>Water evaporated during drying (g)</t>
        </is>
      </c>
      <c r="C84" s="111" t="n"/>
      <c r="D84" s="157">
        <f>$D$83-$D$82</f>
        <v/>
      </c>
    </row>
    <row r="85" ht="15" customHeight="1" s="106">
      <c r="B85" s="113" t="inlineStr">
        <is>
          <t>Servings per portion - theoretical ceiling</t>
        </is>
      </c>
      <c r="C85" s="111" t="n"/>
      <c r="D85" s="165">
        <f>$D$82/'01 Control'!$C$8</f>
        <v/>
      </c>
    </row>
    <row r="86" ht="15" customHeight="1" s="106">
      <c r="B86" s="113" t="inlineStr">
        <is>
          <t>Process loss %</t>
        </is>
      </c>
      <c r="C86" s="111" t="n"/>
      <c r="D86" s="166">
        <f>'01 Control'!$C$12</f>
        <v/>
      </c>
    </row>
    <row r="87" ht="15" customHeight="1" s="106">
      <c r="B87" s="113" t="inlineStr">
        <is>
          <t>Net dried pasta after process loss (g)</t>
        </is>
      </c>
      <c r="C87" s="111" t="n"/>
      <c r="D87" s="157">
        <f>$D$82*(1-$D$86)</f>
        <v/>
      </c>
    </row>
    <row r="88" ht="15" customHeight="1" s="106">
      <c r="B88" s="134" t="inlineStr">
        <is>
          <t>SERVINGS PER PORTION - PLANNING</t>
        </is>
      </c>
      <c r="C88" s="111" t="n"/>
      <c r="D88" s="167">
        <f>$D$87/'01 Control'!$C$8</f>
        <v/>
      </c>
    </row>
    <row r="89" ht="15" customHeight="1" s="106">
      <c r="B89" s="134" t="inlineStr">
        <is>
          <t>Aug-2026 manual figure (worst case, ref only)</t>
        </is>
      </c>
      <c r="C89" s="111" t="n"/>
      <c r="D89" s="168" t="n">
        <v>70</v>
      </c>
    </row>
    <row r="90" ht="15" customHeight="1" s="106">
      <c r="B90" s="113" t="inlineStr">
        <is>
          <t>Lines still unpriced</t>
        </is>
      </c>
      <c r="C90" s="111" t="n"/>
      <c r="D90" s="157">
        <f>COUNTA($B$66:$B$74)-COUNT($I$66:$I$74)</f>
        <v/>
      </c>
    </row>
    <row r="91" ht="15" customHeight="1" s="106">
      <c r="B91" s="113" t="inlineStr">
        <is>
          <t>Batch cost of priced lines (partial)</t>
        </is>
      </c>
      <c r="C91" s="111" t="n"/>
      <c r="D91" s="150">
        <f>IF(COUNT($I$66:$I$74)=0,"",SUM($I$66:$I$74))</f>
        <v/>
      </c>
    </row>
    <row r="92" ht="15" customHeight="1" s="106">
      <c r="B92" s="113" t="inlineStr">
        <is>
          <t>Batch ingredient cost (all lines priced)</t>
        </is>
      </c>
      <c r="C92" s="111" t="n"/>
      <c r="D92" s="150">
        <f>IF($D$90&gt;0,"",SUM($I$66:$I$74))</f>
        <v/>
      </c>
    </row>
    <row r="93" ht="15" customHeight="1" s="106">
      <c r="B93" s="134" t="inlineStr">
        <is>
          <t>COST PER SERVING</t>
        </is>
      </c>
      <c r="C93" s="111" t="n"/>
      <c r="D93" s="151">
        <f>IF(OR($D$92="",$D$88=0),"",$D$92/$D$88)</f>
        <v/>
      </c>
    </row>
    <row r="94" ht="15" customHeight="1" s="106">
      <c r="B94" s="134" t="inlineStr">
        <is>
          <t>Cost per gram of dried pasta</t>
        </is>
      </c>
      <c r="C94" s="111" t="n"/>
      <c r="D94" s="151">
        <f>IF($D$93="","",$D$93/'01 Control'!$C$8)</f>
        <v/>
      </c>
    </row>
    <row r="95" ht="15" customHeight="1" s="106">
      <c r="B95" s="113" t="inlineStr">
        <is>
          <t>Dry matter per serving (g)</t>
        </is>
      </c>
      <c r="C95" s="111" t="n"/>
      <c r="D95" s="165">
        <f>'01 Control'!$C$8*(1-$D$81)</f>
        <v/>
      </c>
    </row>
    <row r="96" ht="15" customHeight="1" s="106">
      <c r="B96" s="113" t="inlineStr">
        <is>
          <t>Cooked plate weight per serving (g)</t>
        </is>
      </c>
      <c r="C96" s="111" t="n"/>
      <c r="D96" s="157">
        <f>'01 Control'!$C$8*'01 Control'!$C$9</f>
        <v/>
      </c>
    </row>
    <row r="97" ht="15" customHeight="1" s="106">
      <c r="B97" s="134" t="inlineStr">
        <is>
          <t>Benchmark raw cost / serving - low</t>
        </is>
      </c>
      <c r="C97" s="111" t="n"/>
      <c r="D97" s="169" t="n">
        <v>5.7</v>
      </c>
    </row>
    <row r="98" ht="15" customHeight="1" s="106">
      <c r="B98" s="134" t="inlineStr">
        <is>
          <t>Benchmark raw cost / serving - high</t>
        </is>
      </c>
      <c r="C98" s="111" t="n"/>
      <c r="D98" s="169" t="n">
        <v>7.4</v>
      </c>
    </row>
    <row r="99" ht="22.35" customHeight="1" s="106">
      <c r="B99" s="113" t="inlineStr">
        <is>
          <t>Benchmark check</t>
        </is>
      </c>
      <c r="C99" s="111" t="n"/>
      <c r="D99" s="170">
        <f>IF($D$93="","Waiting on supplier quotes",IF($D$93&lt;$D$97,"BELOW the Aug-2026 planning band",IF($D$93&gt;$D$98,"ABOVE the Aug-2026 planning band - investigate","WITHIN the Aug-2026 planning band")))</f>
        <v/>
      </c>
    </row>
    <row r="100" ht="15" customHeight="1" s="106">
      <c r="B100" s="113" t="inlineStr">
        <is>
          <t>Cost per serving at the worst-case 70</t>
        </is>
      </c>
      <c r="C100" s="111" t="n"/>
      <c r="D100" s="150">
        <f>IF($D$92="","",$D$92/$D$89)</f>
        <v/>
      </c>
    </row>
    <row r="101" ht="55.2" customHeight="1" s="106">
      <c r="B101" s="134" t="inlineStr">
        <is>
          <t>MAKE POINT</t>
        </is>
      </c>
      <c r="C101" s="111" t="n"/>
      <c r="D101" s="171" t="inlineStr">
        <is>
          <t>CENTRAL KITCHEN</t>
        </is>
      </c>
      <c r="E101" s="172" t="inlineStr">
        <is>
          <t>LUPIN allergen needs a dedicated line or full deep-clean. Not a job for a 40 sqm store.</t>
        </is>
      </c>
    </row>
    <row r="102" ht="15" customHeight="1" s="106">
      <c r="B102" s="134" t="inlineStr">
        <is>
          <t>In-store labour minutes per batch</t>
        </is>
      </c>
      <c r="C102" s="111" t="n"/>
      <c r="D102" s="168" t="n">
        <v>55</v>
      </c>
    </row>
    <row r="103" ht="15" customHeight="1" s="106">
      <c r="B103" s="134" t="inlineStr">
        <is>
          <t>In-store energy kWh per batch</t>
        </is>
      </c>
      <c r="C103" s="111" t="n"/>
      <c r="D103" s="173" t="n">
        <v>4.5</v>
      </c>
    </row>
    <row r="104" ht="15" customHeight="1" s="106">
      <c r="B104" s="113" t="inlineStr">
        <is>
          <t>In-store labour cost per batch</t>
        </is>
      </c>
      <c r="C104" s="111" t="n"/>
      <c r="D104" s="150">
        <f>$D$102/60*'01 Control'!$C$24</f>
        <v/>
      </c>
    </row>
    <row r="105" ht="15" customHeight="1" s="106">
      <c r="B105" s="113" t="inlineStr">
        <is>
          <t>In-store energy cost per batch</t>
        </is>
      </c>
      <c r="C105" s="111" t="n"/>
      <c r="D105" s="150">
        <f>$D$103*'01 Control'!$C$25</f>
        <v/>
      </c>
    </row>
    <row r="106" ht="15" customHeight="1" s="106">
      <c r="B106" s="113" t="inlineStr">
        <is>
          <t>IN-STORE batch cost (ingredients + labour + energy)</t>
        </is>
      </c>
      <c r="C106" s="111" t="n"/>
      <c r="D106" s="150">
        <f>IF($D$92="","",$D$92+$D$104+$D$105)</f>
        <v/>
      </c>
    </row>
    <row r="107" ht="15" customHeight="1" s="106">
      <c r="B107" s="113" t="inlineStr">
        <is>
          <t>IN-STORE cost per serving</t>
        </is>
      </c>
      <c r="C107" s="111" t="n"/>
      <c r="D107" s="150">
        <f>IF(OR($D$106="",$D$88=0),"",$D$106/$D$88)</f>
        <v/>
      </c>
    </row>
    <row r="108" ht="15" customHeight="1" s="106">
      <c r="B108" s="113" t="inlineStr">
        <is>
          <t>IN-STORE cost per gram</t>
        </is>
      </c>
      <c r="C108" s="111" t="n"/>
      <c r="D108" s="150">
        <f>IF($D$107="","",$D$107/'01 Control'!$C$8)</f>
        <v/>
      </c>
    </row>
    <row r="109" ht="15" customHeight="1" s="106">
      <c r="B109" s="113" t="inlineStr">
        <is>
          <t>CK cost per batch (ingredients + CK labour + overhead)</t>
        </is>
      </c>
      <c r="C109" s="111" t="n"/>
      <c r="D109" s="150">
        <f>IF($D$92="","",$D$92+($D$82/1000)*('01 Control'!$C$13+'01 Control'!$C$14))</f>
        <v/>
      </c>
    </row>
    <row r="110" ht="15" customHeight="1" s="106">
      <c r="B110" s="113" t="inlineStr">
        <is>
          <t>CK TRANSFER PRICE per serving</t>
        </is>
      </c>
      <c r="C110" s="111" t="n"/>
      <c r="D110" s="150">
        <f>IF(OR($D$109="",$D$88=0),"",$D$109/$D$88*(1+'01 Control'!$C$15))</f>
        <v/>
      </c>
    </row>
    <row r="111" ht="15" customHeight="1" s="106">
      <c r="B111" s="113" t="inlineStr">
        <is>
          <t>CK transfer price per gram</t>
        </is>
      </c>
      <c r="C111" s="111" t="n"/>
      <c r="D111" s="150">
        <f>IF($D$110="","",$D$110/'01 Control'!$C$8)</f>
        <v/>
      </c>
    </row>
    <row r="112" ht="15" customHeight="1" s="106">
      <c r="B112" s="134" t="inlineStr">
        <is>
          <t>FRANCHISEE COST PER SERVING (live, per make point)</t>
        </is>
      </c>
      <c r="C112" s="111" t="n"/>
      <c r="D112" s="151">
        <f>IF($D$101="IN-STORE",$D$107,$D$110)</f>
        <v/>
      </c>
    </row>
    <row r="113" ht="15" customHeight="1" s="106">
      <c r="B113" s="134" t="inlineStr">
        <is>
          <t>FRANCHISEE cost per gram (live)</t>
        </is>
      </c>
      <c r="C113" s="111" t="n"/>
      <c r="D113" s="151">
        <f>IF($D$112="","",$D$112/'01 Control'!$C$8)</f>
        <v/>
      </c>
    </row>
    <row r="114" ht="15" customHeight="1" s="106">
      <c r="B114" s="113" t="inlineStr">
        <is>
          <t>In-store vs CK, per serving</t>
        </is>
      </c>
      <c r="C114" s="111" t="n"/>
      <c r="D114" s="150">
        <f>IF(OR($D$107="",$D$110=""),"",$D$107-$D$110)</f>
        <v/>
      </c>
    </row>
    <row r="115" ht="15" customHeight="1" s="106">
      <c r="B115" s="113" t="inlineStr">
        <is>
          <t>CK margin earned per serving</t>
        </is>
      </c>
      <c r="C115" s="111" t="n"/>
      <c r="D115" s="150">
        <f>IF(OR($D$101&lt;&gt;"CENTRAL KITCHEN",$D$110=""),0,$D$110-$D$109/$D$88)</f>
        <v/>
      </c>
    </row>
    <row r="118" ht="15" customHeight="1" s="106">
      <c r="A118" s="109" t="inlineStr">
        <is>
          <t>Farmhouse   |   PP-DOUGH-FARMHOUSE   |   Signature hero / differentiator   |   SKILL: Intermediate   |   Retail 500 g R59-69 at 55-65% GM</t>
        </is>
      </c>
      <c r="B118" s="110" t="n"/>
      <c r="C118" s="110" t="n"/>
      <c r="D118" s="110" t="n"/>
      <c r="E118" s="110" t="n"/>
      <c r="F118" s="110" t="n"/>
      <c r="G118" s="110" t="n"/>
      <c r="H118" s="110" t="n"/>
      <c r="I118" s="110" t="n"/>
      <c r="J118" s="110" t="n"/>
      <c r="K118" s="110" t="n"/>
      <c r="L118" s="110" t="n"/>
      <c r="M118" s="111" t="n"/>
    </row>
    <row r="119" ht="33.75" customHeight="1" s="106">
      <c r="A119" s="112" t="inlineStr">
        <is>
          <t>Recipe</t>
        </is>
      </c>
      <c r="B119" s="112" t="inlineStr">
        <is>
          <t>Ingredient SKU</t>
        </is>
      </c>
      <c r="C119" s="112" t="inlineStr">
        <is>
          <t>Ingredient</t>
        </is>
      </c>
      <c r="D119" s="112" t="inlineStr">
        <is>
          <t>Baker's %</t>
        </is>
      </c>
      <c r="E119" s="112" t="inlineStr">
        <is>
          <t>Batch Qty</t>
        </is>
      </c>
      <c r="F119" s="112" t="inlineStr">
        <is>
          <t>Unit</t>
        </is>
      </c>
      <c r="G119" s="112" t="inlineStr">
        <is>
          <t>Base Qty (g/ml)</t>
        </is>
      </c>
      <c r="H119" s="112" t="inlineStr">
        <is>
          <t>Usable Cost per
Base Unit</t>
        </is>
      </c>
      <c r="I119" s="112" t="inlineStr">
        <is>
          <t>Line Cost</t>
        </is>
      </c>
      <c r="J119" s="112" t="inlineStr">
        <is>
          <t>Specification</t>
        </is>
      </c>
    </row>
    <row r="120" ht="37.3" customHeight="1" s="106">
      <c r="A120" s="163" t="inlineStr">
        <is>
          <t>Farmhouse</t>
        </is>
      </c>
      <c r="B120" s="134" t="inlineStr">
        <is>
          <t>PP-DURUM-WHOLE</t>
        </is>
      </c>
      <c r="C120" s="113" t="inlineStr">
        <is>
          <t>Whole durum wheat flour</t>
        </is>
      </c>
      <c r="D120" s="139" t="inlineStr">
        <is>
          <t>60%</t>
        </is>
      </c>
      <c r="E120" s="147" t="n">
        <v>6</v>
      </c>
      <c r="F120" s="164" t="inlineStr">
        <is>
          <t>kg</t>
        </is>
      </c>
      <c r="G120" s="165">
        <f>$E120*1000</f>
        <v/>
      </c>
      <c r="H120" s="150">
        <f>IFERROR(INDEX('04 SKU Master'!$AM$5:$AM$165,MATCH($B120,'04 SKU Master'!$A$5:$A$165,0)),"")</f>
        <v/>
      </c>
      <c r="I120" s="150">
        <f>IF(OR($H120="",$G120=""),"",$H120*$G120)</f>
        <v/>
      </c>
      <c r="J120" s="116" t="inlineStr">
        <is>
          <t>Stone-milled, protein &gt;=13-14%; Protein+ prefers &gt;=14%</t>
        </is>
      </c>
    </row>
    <row r="121" ht="19.4" customHeight="1" s="106">
      <c r="A121" s="163" t="inlineStr">
        <is>
          <t>Farmhouse</t>
        </is>
      </c>
      <c r="B121" s="134" t="inlineStr">
        <is>
          <t>PP-SORGHUM-WHITE</t>
        </is>
      </c>
      <c r="C121" s="113" t="inlineStr">
        <is>
          <t>SA white sorghum flour</t>
        </is>
      </c>
      <c r="D121" s="139" t="inlineStr">
        <is>
          <t>18%</t>
        </is>
      </c>
      <c r="E121" s="147" t="n">
        <v>1.8</v>
      </c>
      <c r="F121" s="164" t="inlineStr">
        <is>
          <t>kg</t>
        </is>
      </c>
      <c r="G121" s="165">
        <f>$E121*1000</f>
        <v/>
      </c>
      <c r="H121" s="150">
        <f>IFERROR(INDEX('04 SKU Master'!$AM$5:$AM$165,MATCH($B121,'04 SKU Master'!$A$5:$A$165,0)),"")</f>
        <v/>
      </c>
      <c r="I121" s="150">
        <f>IF(OR($H121="",$G121=""),"",$H121*$G121)</f>
        <v/>
      </c>
      <c r="J121" s="116" t="inlineStr">
        <is>
          <t>Dehulled, fine mill &lt;=200 um</t>
        </is>
      </c>
    </row>
    <row r="122" ht="64.15000000000001" customHeight="1" s="106">
      <c r="A122" s="163" t="inlineStr">
        <is>
          <t>Farmhouse</t>
        </is>
      </c>
      <c r="B122" s="134" t="inlineStr">
        <is>
          <t>PP-BAOBAB</t>
        </is>
      </c>
      <c r="C122" s="113" t="inlineStr">
        <is>
          <t>SA baobab fruit powder</t>
        </is>
      </c>
      <c r="D122" s="139" t="inlineStr">
        <is>
          <t>8%</t>
        </is>
      </c>
      <c r="E122" s="147" t="n">
        <v>0.8</v>
      </c>
      <c r="F122" s="164" t="inlineStr">
        <is>
          <t>kg</t>
        </is>
      </c>
      <c r="G122" s="165">
        <f>$E122*1000</f>
        <v/>
      </c>
      <c r="H122" s="150">
        <f>IFERROR(INDEX('04 SKU Master'!$AM$5:$AM$165,MATCH($B122,'04 SKU Master'!$A$5:$A$165,0)),"")</f>
        <v/>
      </c>
      <c r="I122" s="150">
        <f>IF(OR($H122="",$G122=""),"",$H122*$G122)</f>
        <v/>
      </c>
      <c r="J122" s="116" t="inlineStr">
        <is>
          <t>Soluble fibre + vitamin C. LARGEST SINGLE COST SWING in 3 of 4 formulas - quote this first</t>
        </is>
      </c>
    </row>
    <row r="123" ht="28.35" customHeight="1" s="106">
      <c r="A123" s="163" t="inlineStr">
        <is>
          <t>Farmhouse</t>
        </is>
      </c>
      <c r="B123" s="134" t="inlineStr">
        <is>
          <t>PP-OYSTER-POWDER</t>
        </is>
      </c>
      <c r="C123" s="113" t="inlineStr">
        <is>
          <t>Oyster mushroom powder (TLF)</t>
        </is>
      </c>
      <c r="D123" s="139" t="inlineStr">
        <is>
          <t>6%</t>
        </is>
      </c>
      <c r="E123" s="147" t="n">
        <v>0.6</v>
      </c>
      <c r="F123" s="164" t="inlineStr">
        <is>
          <t>kg</t>
        </is>
      </c>
      <c r="G123" s="165">
        <f>$E123*1000</f>
        <v/>
      </c>
      <c r="H123" s="150">
        <f>IFERROR(INDEX('04 SKU Master'!$AM$5:$AM$165,MATCH($B123,'04 SKU Master'!$A$5:$A$165,0)),"")</f>
        <v/>
      </c>
      <c r="I123" s="150">
        <f>IF(OR($H123="",$G123=""),"",$H123*$G123)</f>
        <v/>
      </c>
      <c r="J123" s="116" t="inlineStr">
        <is>
          <t>Freeze-dried preferred; fine mill &lt;=200 um</t>
        </is>
      </c>
    </row>
    <row r="124" ht="19.4" customHeight="1" s="106">
      <c r="A124" s="163" t="inlineStr">
        <is>
          <t>Farmhouse</t>
        </is>
      </c>
      <c r="B124" s="134" t="inlineStr">
        <is>
          <t>PP-LIONSMANE-POWDER</t>
        </is>
      </c>
      <c r="C124" s="113" t="inlineStr">
        <is>
          <t>Lion's mane powder (TLF)</t>
        </is>
      </c>
      <c r="D124" s="139" t="inlineStr">
        <is>
          <t>5%</t>
        </is>
      </c>
      <c r="E124" s="147" t="n">
        <v>0.5</v>
      </c>
      <c r="F124" s="164" t="inlineStr">
        <is>
          <t>kg</t>
        </is>
      </c>
      <c r="G124" s="165">
        <f>$E124*1000</f>
        <v/>
      </c>
      <c r="H124" s="150">
        <f>IFERROR(INDEX('04 SKU Master'!$AM$5:$AM$165,MATCH($B124,'04 SKU Master'!$A$5:$A$165,0)),"")</f>
        <v/>
      </c>
      <c r="I124" s="150">
        <f>IF(OR($H124="",$G124=""),"",$H124*$G124)</f>
        <v/>
      </c>
      <c r="J124" s="116" t="inlineStr">
        <is>
          <t>CEILING 5% - sensory limit</t>
        </is>
      </c>
    </row>
    <row r="125" ht="37.3" customHeight="1" s="106">
      <c r="A125" s="163" t="inlineStr">
        <is>
          <t>Farmhouse</t>
        </is>
      </c>
      <c r="B125" s="134" t="inlineStr">
        <is>
          <t>PP-MICROGREEN-POWDER</t>
        </is>
      </c>
      <c r="C125" s="113" t="inlineStr">
        <is>
          <t>Microgreen powder (TLF)</t>
        </is>
      </c>
      <c r="D125" s="139" t="inlineStr">
        <is>
          <t>3%</t>
        </is>
      </c>
      <c r="E125" s="147" t="n">
        <v>0.3</v>
      </c>
      <c r="F125" s="164" t="inlineStr">
        <is>
          <t>kg</t>
        </is>
      </c>
      <c r="G125" s="165">
        <f>$E125*1000</f>
        <v/>
      </c>
      <c r="H125" s="150">
        <f>IFERROR(INDEX('04 SKU Master'!$AM$5:$AM$165,MATCH($B125,'04 SKU Master'!$A$5:$A$165,0)),"")</f>
        <v/>
      </c>
      <c r="I125" s="150">
        <f>IF(OR($H125="",$G125=""),"",$H125*$G125)</f>
        <v/>
      </c>
      <c r="J125" s="116" t="inlineStr">
        <is>
          <t>CEILING 3%; freeze-dry preferred for colour</t>
        </is>
      </c>
    </row>
    <row r="126" ht="28.35" customHeight="1" s="106">
      <c r="A126" s="163" t="inlineStr">
        <is>
          <t>Farmhouse</t>
        </is>
      </c>
      <c r="B126" s="134" t="inlineStr">
        <is>
          <t>PP-FLAX-GOLDEN</t>
        </is>
      </c>
      <c r="C126" s="113" t="inlineStr">
        <is>
          <t>Golden flaxseed, cold-milled</t>
        </is>
      </c>
      <c r="D126" s="139" t="inlineStr">
        <is>
          <t>2%</t>
        </is>
      </c>
      <c r="E126" s="147" t="n">
        <v>0.2</v>
      </c>
      <c r="F126" s="164" t="inlineStr">
        <is>
          <t>kg</t>
        </is>
      </c>
      <c r="G126" s="165">
        <f>$E126*1000</f>
        <v/>
      </c>
      <c r="H126" s="150">
        <f>IFERROR(INDEX('04 SKU Master'!$AM$5:$AM$165,MATCH($B126,'04 SKU Master'!$A$5:$A$165,0)),"")</f>
        <v/>
      </c>
      <c r="I126" s="150">
        <f>IF(OR($H126="",$G126=""),"",$H126*$G126)</f>
        <v/>
      </c>
      <c r="J126" s="116" t="inlineStr">
        <is>
          <t>Fresh-milled, refrigerated (oxidation control)</t>
        </is>
      </c>
    </row>
    <row r="127" ht="19.4" customHeight="1" s="106">
      <c r="A127" s="163" t="inlineStr">
        <is>
          <t>Farmhouse</t>
        </is>
      </c>
      <c r="B127" s="134" t="inlineStr">
        <is>
          <t>PP-WATER-PURIFIED</t>
        </is>
      </c>
      <c r="C127" s="113" t="inlineStr">
        <is>
          <t>Purified water (38-40 C)</t>
        </is>
      </c>
      <c r="D127" s="139" t="inlineStr">
        <is>
          <t>32-34%</t>
        </is>
      </c>
      <c r="E127" s="147" t="n">
        <v>3.3</v>
      </c>
      <c r="F127" s="164" t="inlineStr">
        <is>
          <t>L</t>
        </is>
      </c>
      <c r="G127" s="165">
        <f>$E127*1000</f>
        <v/>
      </c>
      <c r="H127" s="150">
        <f>IFERROR(INDEX('04 SKU Master'!$AM$5:$AM$165,MATCH($B127,'04 SKU Master'!$A$5:$A$165,0)),"")</f>
        <v/>
      </c>
      <c r="I127" s="150">
        <f>IF(OR($H127="",$G127=""),"",$H127*$G127)</f>
        <v/>
      </c>
      <c r="J127" s="116" t="inlineStr">
        <is>
          <t>Fresh-daily hydration water</t>
        </is>
      </c>
    </row>
    <row r="128" ht="37.3" customHeight="1" s="106">
      <c r="A128" s="163" t="inlineStr">
        <is>
          <t>Farmhouse</t>
        </is>
      </c>
      <c r="B128" s="134" t="inlineStr">
        <is>
          <t>PP-SALT</t>
        </is>
      </c>
      <c r="C128" s="113" t="inlineStr">
        <is>
          <t>Salt</t>
        </is>
      </c>
      <c r="D128" s="139" t="inlineStr">
        <is>
          <t>1-1.5%</t>
        </is>
      </c>
      <c r="E128" s="147" t="n">
        <v>0.125</v>
      </c>
      <c r="F128" s="164" t="inlineStr">
        <is>
          <t>kg</t>
        </is>
      </c>
      <c r="G128" s="165">
        <f>$E128*1000</f>
        <v/>
      </c>
      <c r="H128" s="150">
        <f>IFERROR(INDEX('04 SKU Master'!$AM$5:$AM$165,MATCH($B128,'04 SKU Master'!$A$5:$A$165,0)),"")</f>
        <v/>
      </c>
      <c r="I128" s="150">
        <f>IF(OR($H128="",$G128=""),"",$H128*$G128)</f>
        <v/>
      </c>
      <c r="J128" s="116" t="inlineStr">
        <is>
          <t>Optional/recommended at 1-1.5% of dry weight</t>
        </is>
      </c>
    </row>
    <row r="130" ht="15" customHeight="1" s="106">
      <c r="B130" s="113" t="inlineStr">
        <is>
          <t>Total dry blend (g)</t>
        </is>
      </c>
      <c r="C130" s="111" t="n"/>
      <c r="D130" s="157">
        <f>$G$120+$G$121+$G$122+$G$123+$G$124+$G$125+$G$126</f>
        <v/>
      </c>
    </row>
    <row r="131" ht="15" customHeight="1" s="106">
      <c r="B131" s="113" t="inlineStr">
        <is>
          <t>Salt (g)</t>
        </is>
      </c>
      <c r="C131" s="111" t="n"/>
      <c r="D131" s="157">
        <f>$G$128</f>
        <v/>
      </c>
    </row>
    <row r="132" ht="15" customHeight="1" s="106">
      <c r="B132" s="113" t="inlineStr">
        <is>
          <t>Hydration water added (ml)</t>
        </is>
      </c>
      <c r="C132" s="111" t="n"/>
      <c r="D132" s="157">
        <f>$G$127</f>
        <v/>
      </c>
    </row>
    <row r="133" ht="15" customHeight="1" s="106">
      <c r="B133" s="113" t="inlineStr">
        <is>
          <t>Flour as-received moisture %</t>
        </is>
      </c>
      <c r="C133" s="111" t="n"/>
      <c r="D133" s="166">
        <f>'01 Control'!$C$10</f>
        <v/>
      </c>
    </row>
    <row r="134" ht="15" customHeight="1" s="106">
      <c r="B134" s="113" t="inlineStr">
        <is>
          <t>Dry solids (g)</t>
        </is>
      </c>
      <c r="C134" s="111" t="n"/>
      <c r="D134" s="157">
        <f>$D$130*(1-$D$133)+$D$131</f>
        <v/>
      </c>
    </row>
    <row r="135" ht="15" customHeight="1" s="106">
      <c r="B135" s="113" t="inlineStr">
        <is>
          <t>Finished dried pasta moisture %</t>
        </is>
      </c>
      <c r="C135" s="111" t="n"/>
      <c r="D135" s="166">
        <f>'01 Control'!$C$11</f>
        <v/>
      </c>
    </row>
    <row r="136" ht="15" customHeight="1" s="106">
      <c r="B136" s="113" t="inlineStr">
        <is>
          <t>DRIED PASTA OUTPUT (g)</t>
        </is>
      </c>
      <c r="C136" s="111" t="n"/>
      <c r="D136" s="157">
        <f>$D$134/(1-$D$135)</f>
        <v/>
      </c>
    </row>
    <row r="137" ht="15" customHeight="1" s="106">
      <c r="B137" s="113" t="inlineStr">
        <is>
          <t>Extruded WET weight onto the racks (g)</t>
        </is>
      </c>
      <c r="C137" s="111" t="n"/>
      <c r="D137" s="157">
        <f>$D$130+$D$131+$D$132</f>
        <v/>
      </c>
    </row>
    <row r="138" ht="15" customHeight="1" s="106">
      <c r="B138" s="113" t="inlineStr">
        <is>
          <t>Water evaporated during drying (g)</t>
        </is>
      </c>
      <c r="C138" s="111" t="n"/>
      <c r="D138" s="157">
        <f>$D$137-$D$136</f>
        <v/>
      </c>
    </row>
    <row r="139" ht="15" customHeight="1" s="106">
      <c r="B139" s="113" t="inlineStr">
        <is>
          <t>Servings per portion - theoretical ceiling</t>
        </is>
      </c>
      <c r="C139" s="111" t="n"/>
      <c r="D139" s="165">
        <f>$D$136/'01 Control'!$C$8</f>
        <v/>
      </c>
    </row>
    <row r="140" ht="15" customHeight="1" s="106">
      <c r="B140" s="113" t="inlineStr">
        <is>
          <t>Process loss %</t>
        </is>
      </c>
      <c r="C140" s="111" t="n"/>
      <c r="D140" s="166">
        <f>'01 Control'!$C$12</f>
        <v/>
      </c>
    </row>
    <row r="141" ht="15" customHeight="1" s="106">
      <c r="B141" s="113" t="inlineStr">
        <is>
          <t>Net dried pasta after process loss (g)</t>
        </is>
      </c>
      <c r="C141" s="111" t="n"/>
      <c r="D141" s="157">
        <f>$D$136*(1-$D$140)</f>
        <v/>
      </c>
    </row>
    <row r="142" ht="15" customHeight="1" s="106">
      <c r="B142" s="134" t="inlineStr">
        <is>
          <t>SERVINGS PER PORTION - PLANNING</t>
        </is>
      </c>
      <c r="C142" s="111" t="n"/>
      <c r="D142" s="167">
        <f>$D$141/'01 Control'!$C$8</f>
        <v/>
      </c>
    </row>
    <row r="143" ht="15" customHeight="1" s="106">
      <c r="B143" s="134" t="inlineStr">
        <is>
          <t>Aug-2026 manual figure (worst case, ref only)</t>
        </is>
      </c>
      <c r="C143" s="111" t="n"/>
      <c r="D143" s="168" t="n">
        <v>70</v>
      </c>
    </row>
    <row r="144" ht="15" customHeight="1" s="106">
      <c r="B144" s="113" t="inlineStr">
        <is>
          <t>Lines still unpriced</t>
        </is>
      </c>
      <c r="C144" s="111" t="n"/>
      <c r="D144" s="157">
        <f>COUNTA($B$120:$B$128)-COUNT($I$120:$I$128)</f>
        <v/>
      </c>
    </row>
    <row r="145" ht="15" customHeight="1" s="106">
      <c r="B145" s="113" t="inlineStr">
        <is>
          <t>Batch cost of priced lines (partial)</t>
        </is>
      </c>
      <c r="C145" s="111" t="n"/>
      <c r="D145" s="150">
        <f>IF(COUNT($I$120:$I$128)=0,"",SUM($I$120:$I$128))</f>
        <v/>
      </c>
    </row>
    <row r="146" ht="15" customHeight="1" s="106">
      <c r="B146" s="113" t="inlineStr">
        <is>
          <t>Batch ingredient cost (all lines priced)</t>
        </is>
      </c>
      <c r="C146" s="111" t="n"/>
      <c r="D146" s="150">
        <f>IF($D$144&gt;0,"",SUM($I$120:$I$128))</f>
        <v/>
      </c>
    </row>
    <row r="147" ht="15" customHeight="1" s="106">
      <c r="B147" s="134" t="inlineStr">
        <is>
          <t>COST PER SERVING</t>
        </is>
      </c>
      <c r="C147" s="111" t="n"/>
      <c r="D147" s="151">
        <f>IF(OR($D$146="",$D$142=0),"",$D$146/$D$142)</f>
        <v/>
      </c>
    </row>
    <row r="148" ht="15" customHeight="1" s="106">
      <c r="B148" s="134" t="inlineStr">
        <is>
          <t>Cost per gram of dried pasta</t>
        </is>
      </c>
      <c r="C148" s="111" t="n"/>
      <c r="D148" s="151">
        <f>IF($D$147="","",$D$147/'01 Control'!$C$8)</f>
        <v/>
      </c>
    </row>
    <row r="149" ht="15" customHeight="1" s="106">
      <c r="B149" s="113" t="inlineStr">
        <is>
          <t>Dry matter per serving (g)</t>
        </is>
      </c>
      <c r="C149" s="111" t="n"/>
      <c r="D149" s="165">
        <f>'01 Control'!$C$8*(1-$D$135)</f>
        <v/>
      </c>
    </row>
    <row r="150" ht="15" customHeight="1" s="106">
      <c r="B150" s="113" t="inlineStr">
        <is>
          <t>Cooked plate weight per serving (g)</t>
        </is>
      </c>
      <c r="C150" s="111" t="n"/>
      <c r="D150" s="157">
        <f>'01 Control'!$C$8*'01 Control'!$C$9</f>
        <v/>
      </c>
    </row>
    <row r="151" ht="15" customHeight="1" s="106">
      <c r="B151" s="134" t="inlineStr">
        <is>
          <t>Benchmark raw cost / serving - low</t>
        </is>
      </c>
      <c r="C151" s="111" t="n"/>
      <c r="D151" s="169" t="n">
        <v>2.8</v>
      </c>
    </row>
    <row r="152" ht="15" customHeight="1" s="106">
      <c r="B152" s="134" t="inlineStr">
        <is>
          <t>Benchmark raw cost / serving - high</t>
        </is>
      </c>
      <c r="C152" s="111" t="n"/>
      <c r="D152" s="169" t="n">
        <v>4.2</v>
      </c>
    </row>
    <row r="153" ht="22.35" customHeight="1" s="106">
      <c r="B153" s="113" t="inlineStr">
        <is>
          <t>Benchmark check</t>
        </is>
      </c>
      <c r="C153" s="111" t="n"/>
      <c r="D153" s="170">
        <f>IF($D$147="","Waiting on supplier quotes",IF($D$147&lt;$D$151,"BELOW the Aug-2026 planning band",IF($D$147&gt;$D$152,"ABOVE the Aug-2026 planning band - investigate","WITHIN the Aug-2026 planning band")))</f>
        <v/>
      </c>
    </row>
    <row r="154" ht="15" customHeight="1" s="106">
      <c r="B154" s="113" t="inlineStr">
        <is>
          <t>Cost per serving at the worst-case 70</t>
        </is>
      </c>
      <c r="C154" s="111" t="n"/>
      <c r="D154" s="150">
        <f>IF($D$146="","",$D$146/$D$143)</f>
        <v/>
      </c>
    </row>
    <row r="155" ht="55.2" customHeight="1" s="106">
      <c r="B155" s="134" t="inlineStr">
        <is>
          <t>MAKE POINT</t>
        </is>
      </c>
      <c r="C155" s="111" t="n"/>
      <c r="D155" s="171" t="inlineStr">
        <is>
          <t>CENTRAL KITCHEN</t>
        </is>
      </c>
      <c r="E155" s="172" t="inlineStr">
        <is>
          <t>Runs on The Local Farmer powders - keep that supply chain and the milling at the CK.</t>
        </is>
      </c>
    </row>
    <row r="156" ht="15" customHeight="1" s="106">
      <c r="B156" s="134" t="inlineStr">
        <is>
          <t>In-store labour minutes per batch</t>
        </is>
      </c>
      <c r="C156" s="111" t="n"/>
      <c r="D156" s="168" t="n">
        <v>50</v>
      </c>
    </row>
    <row r="157" ht="15" customHeight="1" s="106">
      <c r="B157" s="134" t="inlineStr">
        <is>
          <t>In-store energy kWh per batch</t>
        </is>
      </c>
      <c r="C157" s="111" t="n"/>
      <c r="D157" s="173" t="n">
        <v>4</v>
      </c>
    </row>
    <row r="158" ht="15" customHeight="1" s="106">
      <c r="B158" s="113" t="inlineStr">
        <is>
          <t>In-store labour cost per batch</t>
        </is>
      </c>
      <c r="C158" s="111" t="n"/>
      <c r="D158" s="150">
        <f>$D$156/60*'01 Control'!$C$24</f>
        <v/>
      </c>
    </row>
    <row r="159" ht="15" customHeight="1" s="106">
      <c r="B159" s="113" t="inlineStr">
        <is>
          <t>In-store energy cost per batch</t>
        </is>
      </c>
      <c r="C159" s="111" t="n"/>
      <c r="D159" s="150">
        <f>$D$157*'01 Control'!$C$25</f>
        <v/>
      </c>
    </row>
    <row r="160" ht="15" customHeight="1" s="106">
      <c r="B160" s="113" t="inlineStr">
        <is>
          <t>IN-STORE batch cost (ingredients + labour + energy)</t>
        </is>
      </c>
      <c r="C160" s="111" t="n"/>
      <c r="D160" s="150">
        <f>IF($D$146="","",$D$146+$D$158+$D$159)</f>
        <v/>
      </c>
    </row>
    <row r="161" ht="15" customHeight="1" s="106">
      <c r="B161" s="113" t="inlineStr">
        <is>
          <t>IN-STORE cost per serving</t>
        </is>
      </c>
      <c r="C161" s="111" t="n"/>
      <c r="D161" s="150">
        <f>IF(OR($D$160="",$D$142=0),"",$D$160/$D$142)</f>
        <v/>
      </c>
    </row>
    <row r="162" ht="15" customHeight="1" s="106">
      <c r="B162" s="113" t="inlineStr">
        <is>
          <t>IN-STORE cost per gram</t>
        </is>
      </c>
      <c r="C162" s="111" t="n"/>
      <c r="D162" s="150">
        <f>IF($D$161="","",$D$161/'01 Control'!$C$8)</f>
        <v/>
      </c>
    </row>
    <row r="163" ht="15" customHeight="1" s="106">
      <c r="B163" s="113" t="inlineStr">
        <is>
          <t>CK cost per batch (ingredients + CK labour + overhead)</t>
        </is>
      </c>
      <c r="C163" s="111" t="n"/>
      <c r="D163" s="150">
        <f>IF($D$146="","",$D$146+($D$136/1000)*('01 Control'!$C$13+'01 Control'!$C$14))</f>
        <v/>
      </c>
    </row>
    <row r="164" ht="15" customHeight="1" s="106">
      <c r="B164" s="113" t="inlineStr">
        <is>
          <t>CK TRANSFER PRICE per serving</t>
        </is>
      </c>
      <c r="C164" s="111" t="n"/>
      <c r="D164" s="150">
        <f>IF(OR($D$163="",$D$142=0),"",$D$163/$D$142*(1+'01 Control'!$C$15))</f>
        <v/>
      </c>
    </row>
    <row r="165" ht="15" customHeight="1" s="106">
      <c r="B165" s="113" t="inlineStr">
        <is>
          <t>CK transfer price per gram</t>
        </is>
      </c>
      <c r="C165" s="111" t="n"/>
      <c r="D165" s="150">
        <f>IF($D$164="","",$D$164/'01 Control'!$C$8)</f>
        <v/>
      </c>
    </row>
    <row r="166" ht="15" customHeight="1" s="106">
      <c r="B166" s="134" t="inlineStr">
        <is>
          <t>FRANCHISEE COST PER SERVING (live, per make point)</t>
        </is>
      </c>
      <c r="C166" s="111" t="n"/>
      <c r="D166" s="151">
        <f>IF($D$155="IN-STORE",$D$161,$D$164)</f>
        <v/>
      </c>
    </row>
    <row r="167" ht="15" customHeight="1" s="106">
      <c r="B167" s="134" t="inlineStr">
        <is>
          <t>FRANCHISEE cost per gram (live)</t>
        </is>
      </c>
      <c r="C167" s="111" t="n"/>
      <c r="D167" s="151">
        <f>IF($D$166="","",$D$166/'01 Control'!$C$8)</f>
        <v/>
      </c>
    </row>
    <row r="168" ht="15" customHeight="1" s="106">
      <c r="B168" s="113" t="inlineStr">
        <is>
          <t>In-store vs CK, per serving</t>
        </is>
      </c>
      <c r="C168" s="111" t="n"/>
      <c r="D168" s="150">
        <f>IF(OR($D$161="",$D$164=""),"",$D$161-$D$164)</f>
        <v/>
      </c>
    </row>
    <row r="169" ht="15" customHeight="1" s="106">
      <c r="B169" s="113" t="inlineStr">
        <is>
          <t>CK margin earned per serving</t>
        </is>
      </c>
      <c r="C169" s="111" t="n"/>
      <c r="D169" s="150">
        <f>IF(OR($D$155&lt;&gt;"CENTRAL KITCHEN",$D$164=""),0,$D$164-$D$163/$D$142)</f>
        <v/>
      </c>
    </row>
    <row r="172" ht="15" customHeight="1" s="106">
      <c r="A172" s="109" t="inlineStr">
        <is>
          <t>Chickpea Power Pro   |   PP-DOUGH-CHICKPEA   |   Health daily driver / repeat order   |   SKILL: Intermediate   |   Retail 500 g R59-69 at 50-60% GM</t>
        </is>
      </c>
      <c r="B172" s="110" t="n"/>
      <c r="C172" s="110" t="n"/>
      <c r="D172" s="110" t="n"/>
      <c r="E172" s="110" t="n"/>
      <c r="F172" s="110" t="n"/>
      <c r="G172" s="110" t="n"/>
      <c r="H172" s="110" t="n"/>
      <c r="I172" s="110" t="n"/>
      <c r="J172" s="110" t="n"/>
      <c r="K172" s="110" t="n"/>
      <c r="L172" s="110" t="n"/>
      <c r="M172" s="111" t="n"/>
    </row>
    <row r="173" ht="33.75" customHeight="1" s="106">
      <c r="A173" s="112" t="inlineStr">
        <is>
          <t>Recipe</t>
        </is>
      </c>
      <c r="B173" s="112" t="inlineStr">
        <is>
          <t>Ingredient SKU</t>
        </is>
      </c>
      <c r="C173" s="112" t="inlineStr">
        <is>
          <t>Ingredient</t>
        </is>
      </c>
      <c r="D173" s="112" t="inlineStr">
        <is>
          <t>Baker's %</t>
        </is>
      </c>
      <c r="E173" s="112" t="inlineStr">
        <is>
          <t>Batch Qty</t>
        </is>
      </c>
      <c r="F173" s="112" t="inlineStr">
        <is>
          <t>Unit</t>
        </is>
      </c>
      <c r="G173" s="112" t="inlineStr">
        <is>
          <t>Base Qty (g/ml)</t>
        </is>
      </c>
      <c r="H173" s="112" t="inlineStr">
        <is>
          <t>Usable Cost per
Base Unit</t>
        </is>
      </c>
      <c r="I173" s="112" t="inlineStr">
        <is>
          <t>Line Cost</t>
        </is>
      </c>
      <c r="J173" s="112" t="inlineStr">
        <is>
          <t>Specification</t>
        </is>
      </c>
    </row>
    <row r="174" ht="37.3" customHeight="1" s="106">
      <c r="A174" s="163" t="inlineStr">
        <is>
          <t>Chickpea Power Pro</t>
        </is>
      </c>
      <c r="B174" s="134" t="inlineStr">
        <is>
          <t>PP-DURUM-WHOLE</t>
        </is>
      </c>
      <c r="C174" s="113" t="inlineStr">
        <is>
          <t>Whole durum wheat flour</t>
        </is>
      </c>
      <c r="D174" s="139" t="inlineStr">
        <is>
          <t>55%</t>
        </is>
      </c>
      <c r="E174" s="147" t="n">
        <v>5.5</v>
      </c>
      <c r="F174" s="164" t="inlineStr">
        <is>
          <t>kg</t>
        </is>
      </c>
      <c r="G174" s="165">
        <f>$E174*1000</f>
        <v/>
      </c>
      <c r="H174" s="150">
        <f>IFERROR(INDEX('04 SKU Master'!$AM$5:$AM$165,MATCH($B174,'04 SKU Master'!$A$5:$A$165,0)),"")</f>
        <v/>
      </c>
      <c r="I174" s="150">
        <f>IF(OR($H174="",$G174=""),"",$H174*$G174)</f>
        <v/>
      </c>
      <c r="J174" s="116" t="inlineStr">
        <is>
          <t>Stone-milled, protein &gt;=13-14%; Protein+ prefers &gt;=14%</t>
        </is>
      </c>
    </row>
    <row r="175" ht="55.2" customHeight="1" s="106">
      <c r="A175" s="163" t="inlineStr">
        <is>
          <t>Chickpea Power Pro</t>
        </is>
      </c>
      <c r="B175" s="134" t="inlineStr">
        <is>
          <t>PP-CHICKPEA-KABULI</t>
        </is>
      </c>
      <c r="C175" s="113" t="inlineStr">
        <is>
          <t>Kabuli chickpea flour, roasted+fermented</t>
        </is>
      </c>
      <c r="D175" s="139" t="inlineStr">
        <is>
          <t>25%</t>
        </is>
      </c>
      <c r="E175" s="147" t="n">
        <v>2.5</v>
      </c>
      <c r="F175" s="164" t="inlineStr">
        <is>
          <t>kg</t>
        </is>
      </c>
      <c r="G175" s="165">
        <f>$E175*1000</f>
        <v/>
      </c>
      <c r="H175" s="150">
        <f>IFERROR(INDEX('04 SKU Master'!$AM$5:$AM$165,MATCH($B175,'04 SKU Master'!$A$5:$A$165,0)),"")</f>
        <v/>
      </c>
      <c r="I175" s="150">
        <f>IF(OR($H175="",$G175=""),"",$H175*$G175)</f>
        <v/>
      </c>
      <c r="J175" s="116" t="inlineStr">
        <is>
          <t>Roast/de-hull then ferment. CEILING 25%. Declare voluntarily (not an SA declared allergen)</t>
        </is>
      </c>
    </row>
    <row r="176" ht="19.4" customHeight="1" s="106">
      <c r="A176" s="163" t="inlineStr">
        <is>
          <t>Chickpea Power Pro</t>
        </is>
      </c>
      <c r="B176" s="134" t="inlineStr">
        <is>
          <t>PP-SORGHUM-WHITE</t>
        </is>
      </c>
      <c r="C176" s="113" t="inlineStr">
        <is>
          <t>SA white sorghum flour</t>
        </is>
      </c>
      <c r="D176" s="139" t="inlineStr">
        <is>
          <t>12%</t>
        </is>
      </c>
      <c r="E176" s="147" t="n">
        <v>1.2</v>
      </c>
      <c r="F176" s="164" t="inlineStr">
        <is>
          <t>kg</t>
        </is>
      </c>
      <c r="G176" s="165">
        <f>$E176*1000</f>
        <v/>
      </c>
      <c r="H176" s="150">
        <f>IFERROR(INDEX('04 SKU Master'!$AM$5:$AM$165,MATCH($B176,'04 SKU Master'!$A$5:$A$165,0)),"")</f>
        <v/>
      </c>
      <c r="I176" s="150">
        <f>IF(OR($H176="",$G176=""),"",$H176*$G176)</f>
        <v/>
      </c>
      <c r="J176" s="116" t="inlineStr">
        <is>
          <t>Dehulled, fine mill &lt;=200 um</t>
        </is>
      </c>
    </row>
    <row r="177" ht="64.15000000000001" customHeight="1" s="106">
      <c r="A177" s="163" t="inlineStr">
        <is>
          <t>Chickpea Power Pro</t>
        </is>
      </c>
      <c r="B177" s="134" t="inlineStr">
        <is>
          <t>PP-BAOBAB</t>
        </is>
      </c>
      <c r="C177" s="113" t="inlineStr">
        <is>
          <t>SA baobab fruit powder</t>
        </is>
      </c>
      <c r="D177" s="139" t="inlineStr">
        <is>
          <t>6%</t>
        </is>
      </c>
      <c r="E177" s="147" t="n">
        <v>0.6</v>
      </c>
      <c r="F177" s="164" t="inlineStr">
        <is>
          <t>kg</t>
        </is>
      </c>
      <c r="G177" s="165">
        <f>$E177*1000</f>
        <v/>
      </c>
      <c r="H177" s="150">
        <f>IFERROR(INDEX('04 SKU Master'!$AM$5:$AM$165,MATCH($B177,'04 SKU Master'!$A$5:$A$165,0)),"")</f>
        <v/>
      </c>
      <c r="I177" s="150">
        <f>IF(OR($H177="",$G177=""),"",$H177*$G177)</f>
        <v/>
      </c>
      <c r="J177" s="116" t="inlineStr">
        <is>
          <t>Soluble fibre + vitamin C. LARGEST SINGLE COST SWING in 3 of 4 formulas - quote this first</t>
        </is>
      </c>
    </row>
    <row r="178" ht="19.4" customHeight="1" s="106">
      <c r="A178" s="163" t="inlineStr">
        <is>
          <t>Chickpea Power Pro</t>
        </is>
      </c>
      <c r="B178" s="134" t="inlineStr">
        <is>
          <t>PP-MUSHROOM-LIGHT</t>
        </is>
      </c>
      <c r="C178" s="113" t="inlineStr">
        <is>
          <t>Light mushroom powder</t>
        </is>
      </c>
      <c r="D178" s="139" t="inlineStr">
        <is>
          <t>1%</t>
        </is>
      </c>
      <c r="E178" s="147" t="n">
        <v>0.1</v>
      </c>
      <c r="F178" s="164" t="inlineStr">
        <is>
          <t>kg</t>
        </is>
      </c>
      <c r="G178" s="165">
        <f>$E178*1000</f>
        <v/>
      </c>
      <c r="H178" s="150">
        <f>IFERROR(INDEX('04 SKU Master'!$AM$5:$AM$165,MATCH($B178,'04 SKU Master'!$A$5:$A$165,0)),"")</f>
        <v/>
      </c>
      <c r="I178" s="150">
        <f>IF(OR($H178="",$G178=""),"",$H178*$G178)</f>
        <v/>
      </c>
      <c r="J178" s="116" t="inlineStr">
        <is>
          <t>Light-coloured; savoury depth</t>
        </is>
      </c>
    </row>
    <row r="179" ht="28.35" customHeight="1" s="106">
      <c r="A179" s="163" t="inlineStr">
        <is>
          <t>Chickpea Power Pro</t>
        </is>
      </c>
      <c r="B179" s="134" t="inlineStr">
        <is>
          <t>PP-FLAX-GOLDEN</t>
        </is>
      </c>
      <c r="C179" s="113" t="inlineStr">
        <is>
          <t>Golden flaxseed, cold-milled</t>
        </is>
      </c>
      <c r="D179" s="139" t="inlineStr">
        <is>
          <t>2%</t>
        </is>
      </c>
      <c r="E179" s="147" t="n">
        <v>0.2</v>
      </c>
      <c r="F179" s="164" t="inlineStr">
        <is>
          <t>kg</t>
        </is>
      </c>
      <c r="G179" s="165">
        <f>$E179*1000</f>
        <v/>
      </c>
      <c r="H179" s="150">
        <f>IFERROR(INDEX('04 SKU Master'!$AM$5:$AM$165,MATCH($B179,'04 SKU Master'!$A$5:$A$165,0)),"")</f>
        <v/>
      </c>
      <c r="I179" s="150">
        <f>IF(OR($H179="",$G179=""),"",$H179*$G179)</f>
        <v/>
      </c>
      <c r="J179" s="116" t="inlineStr">
        <is>
          <t>Fresh-milled, refrigerated (oxidation control)</t>
        </is>
      </c>
    </row>
    <row r="180" ht="19.4" customHeight="1" s="106">
      <c r="A180" s="163" t="inlineStr">
        <is>
          <t>Chickpea Power Pro</t>
        </is>
      </c>
      <c r="B180" s="134" t="inlineStr">
        <is>
          <t>PP-WATER-PURIFIED</t>
        </is>
      </c>
      <c r="C180" s="113" t="inlineStr">
        <is>
          <t>Purified water (38-40 C)</t>
        </is>
      </c>
      <c r="D180" s="139" t="inlineStr">
        <is>
          <t>34-36%</t>
        </is>
      </c>
      <c r="E180" s="147" t="n">
        <v>3.5</v>
      </c>
      <c r="F180" s="164" t="inlineStr">
        <is>
          <t>L</t>
        </is>
      </c>
      <c r="G180" s="165">
        <f>$E180*1000</f>
        <v/>
      </c>
      <c r="H180" s="150">
        <f>IFERROR(INDEX('04 SKU Master'!$AM$5:$AM$165,MATCH($B180,'04 SKU Master'!$A$5:$A$165,0)),"")</f>
        <v/>
      </c>
      <c r="I180" s="150">
        <f>IF(OR($H180="",$G180=""),"",$H180*$G180)</f>
        <v/>
      </c>
      <c r="J180" s="116" t="inlineStr">
        <is>
          <t>Fresh-daily hydration water</t>
        </is>
      </c>
    </row>
    <row r="181" ht="37.3" customHeight="1" s="106">
      <c r="A181" s="163" t="inlineStr">
        <is>
          <t>Chickpea Power Pro</t>
        </is>
      </c>
      <c r="B181" s="134" t="inlineStr">
        <is>
          <t>PP-SALT</t>
        </is>
      </c>
      <c r="C181" s="113" t="inlineStr">
        <is>
          <t>Salt</t>
        </is>
      </c>
      <c r="D181" s="139" t="inlineStr">
        <is>
          <t>1-1.5%</t>
        </is>
      </c>
      <c r="E181" s="147" t="n">
        <v>0.125</v>
      </c>
      <c r="F181" s="164" t="inlineStr">
        <is>
          <t>kg</t>
        </is>
      </c>
      <c r="G181" s="165">
        <f>$E181*1000</f>
        <v/>
      </c>
      <c r="H181" s="150">
        <f>IFERROR(INDEX('04 SKU Master'!$AM$5:$AM$165,MATCH($B181,'04 SKU Master'!$A$5:$A$165,0)),"")</f>
        <v/>
      </c>
      <c r="I181" s="150">
        <f>IF(OR($H181="",$G181=""),"",$H181*$G181)</f>
        <v/>
      </c>
      <c r="J181" s="116" t="inlineStr">
        <is>
          <t>Optional/recommended at 1-1.5% of dry weight</t>
        </is>
      </c>
    </row>
    <row r="183" ht="15" customHeight="1" s="106">
      <c r="B183" s="113" t="inlineStr">
        <is>
          <t>Total dry blend (g)</t>
        </is>
      </c>
      <c r="C183" s="111" t="n"/>
      <c r="D183" s="157">
        <f>$G$174+$G$175+$G$176+$G$177+$G$178+$G$179</f>
        <v/>
      </c>
    </row>
    <row r="184" ht="15" customHeight="1" s="106">
      <c r="B184" s="113" t="inlineStr">
        <is>
          <t>Salt (g)</t>
        </is>
      </c>
      <c r="C184" s="111" t="n"/>
      <c r="D184" s="157">
        <f>$G$181</f>
        <v/>
      </c>
    </row>
    <row r="185" ht="15" customHeight="1" s="106">
      <c r="B185" s="113" t="inlineStr">
        <is>
          <t>Hydration water added (ml)</t>
        </is>
      </c>
      <c r="C185" s="111" t="n"/>
      <c r="D185" s="157">
        <f>$G$180</f>
        <v/>
      </c>
    </row>
    <row r="186" ht="15" customHeight="1" s="106">
      <c r="B186" s="113" t="inlineStr">
        <is>
          <t>Flour as-received moisture %</t>
        </is>
      </c>
      <c r="C186" s="111" t="n"/>
      <c r="D186" s="166">
        <f>'01 Control'!$C$10</f>
        <v/>
      </c>
    </row>
    <row r="187" ht="15" customHeight="1" s="106">
      <c r="B187" s="113" t="inlineStr">
        <is>
          <t>Dry solids (g)</t>
        </is>
      </c>
      <c r="C187" s="111" t="n"/>
      <c r="D187" s="157">
        <f>$D$183*(1-$D$186)+$D$184</f>
        <v/>
      </c>
    </row>
    <row r="188" ht="15" customHeight="1" s="106">
      <c r="B188" s="113" t="inlineStr">
        <is>
          <t>Finished dried pasta moisture %</t>
        </is>
      </c>
      <c r="C188" s="111" t="n"/>
      <c r="D188" s="166">
        <f>'01 Control'!$C$11</f>
        <v/>
      </c>
    </row>
    <row r="189" ht="15" customHeight="1" s="106">
      <c r="B189" s="113" t="inlineStr">
        <is>
          <t>DRIED PASTA OUTPUT (g)</t>
        </is>
      </c>
      <c r="C189" s="111" t="n"/>
      <c r="D189" s="157">
        <f>$D$187/(1-$D$188)</f>
        <v/>
      </c>
    </row>
    <row r="190" ht="15" customHeight="1" s="106">
      <c r="B190" s="113" t="inlineStr">
        <is>
          <t>Extruded WET weight onto the racks (g)</t>
        </is>
      </c>
      <c r="C190" s="111" t="n"/>
      <c r="D190" s="157">
        <f>$D$183+$D$184+$D$185</f>
        <v/>
      </c>
    </row>
    <row r="191" ht="15" customHeight="1" s="106">
      <c r="B191" s="113" t="inlineStr">
        <is>
          <t>Water evaporated during drying (g)</t>
        </is>
      </c>
      <c r="C191" s="111" t="n"/>
      <c r="D191" s="157">
        <f>$D$190-$D$189</f>
        <v/>
      </c>
    </row>
    <row r="192" ht="15" customHeight="1" s="106">
      <c r="B192" s="113" t="inlineStr">
        <is>
          <t>Servings per portion - theoretical ceiling</t>
        </is>
      </c>
      <c r="C192" s="111" t="n"/>
      <c r="D192" s="165">
        <f>$D$189/'01 Control'!$C$8</f>
        <v/>
      </c>
    </row>
    <row r="193" ht="15" customHeight="1" s="106">
      <c r="B193" s="113" t="inlineStr">
        <is>
          <t>Process loss %</t>
        </is>
      </c>
      <c r="C193" s="111" t="n"/>
      <c r="D193" s="166">
        <f>'01 Control'!$C$12</f>
        <v/>
      </c>
    </row>
    <row r="194" ht="15" customHeight="1" s="106">
      <c r="B194" s="113" t="inlineStr">
        <is>
          <t>Net dried pasta after process loss (g)</t>
        </is>
      </c>
      <c r="C194" s="111" t="n"/>
      <c r="D194" s="157">
        <f>$D$189*(1-$D$193)</f>
        <v/>
      </c>
    </row>
    <row r="195" ht="15" customHeight="1" s="106">
      <c r="B195" s="134" t="inlineStr">
        <is>
          <t>SERVINGS PER PORTION - PLANNING</t>
        </is>
      </c>
      <c r="C195" s="111" t="n"/>
      <c r="D195" s="167">
        <f>$D$194/'01 Control'!$C$8</f>
        <v/>
      </c>
    </row>
    <row r="196" ht="15" customHeight="1" s="106">
      <c r="B196" s="134" t="inlineStr">
        <is>
          <t>Aug-2026 manual figure (worst case, ref only)</t>
        </is>
      </c>
      <c r="C196" s="111" t="n"/>
      <c r="D196" s="168" t="n">
        <v>70</v>
      </c>
    </row>
    <row r="197" ht="15" customHeight="1" s="106">
      <c r="B197" s="113" t="inlineStr">
        <is>
          <t>Lines still unpriced</t>
        </is>
      </c>
      <c r="C197" s="111" t="n"/>
      <c r="D197" s="157">
        <f>COUNTA($B$174:$B$181)-COUNT($I$174:$I$181)</f>
        <v/>
      </c>
    </row>
    <row r="198" ht="15" customHeight="1" s="106">
      <c r="B198" s="113" t="inlineStr">
        <is>
          <t>Batch cost of priced lines (partial)</t>
        </is>
      </c>
      <c r="C198" s="111" t="n"/>
      <c r="D198" s="150">
        <f>IF(COUNT($I$174:$I$181)=0,"",SUM($I$174:$I$181))</f>
        <v/>
      </c>
    </row>
    <row r="199" ht="15" customHeight="1" s="106">
      <c r="B199" s="113" t="inlineStr">
        <is>
          <t>Batch ingredient cost (all lines priced)</t>
        </is>
      </c>
      <c r="C199" s="111" t="n"/>
      <c r="D199" s="150">
        <f>IF($D$197&gt;0,"",SUM($I$174:$I$181))</f>
        <v/>
      </c>
    </row>
    <row r="200" ht="15" customHeight="1" s="106">
      <c r="B200" s="134" t="inlineStr">
        <is>
          <t>COST PER SERVING</t>
        </is>
      </c>
      <c r="C200" s="111" t="n"/>
      <c r="D200" s="151">
        <f>IF(OR($D$199="",$D$195=0),"",$D$199/$D$195)</f>
        <v/>
      </c>
    </row>
    <row r="201" ht="15" customHeight="1" s="106">
      <c r="B201" s="134" t="inlineStr">
        <is>
          <t>Cost per gram of dried pasta</t>
        </is>
      </c>
      <c r="C201" s="111" t="n"/>
      <c r="D201" s="151">
        <f>IF($D$200="","",$D$200/'01 Control'!$C$8)</f>
        <v/>
      </c>
    </row>
    <row r="202" ht="15" customHeight="1" s="106">
      <c r="B202" s="113" t="inlineStr">
        <is>
          <t>Dry matter per serving (g)</t>
        </is>
      </c>
      <c r="C202" s="111" t="n"/>
      <c r="D202" s="165">
        <f>'01 Control'!$C$8*(1-$D$188)</f>
        <v/>
      </c>
    </row>
    <row r="203" ht="15" customHeight="1" s="106">
      <c r="B203" s="113" t="inlineStr">
        <is>
          <t>Cooked plate weight per serving (g)</t>
        </is>
      </c>
      <c r="C203" s="111" t="n"/>
      <c r="D203" s="157">
        <f>'01 Control'!$C$8*'01 Control'!$C$9</f>
        <v/>
      </c>
    </row>
    <row r="204" ht="15" customHeight="1" s="106">
      <c r="B204" s="134" t="inlineStr">
        <is>
          <t>Benchmark raw cost / serving - low</t>
        </is>
      </c>
      <c r="C204" s="111" t="n"/>
      <c r="D204" s="169" t="n">
        <v>3.5</v>
      </c>
    </row>
    <row r="205" ht="15" customHeight="1" s="106">
      <c r="B205" s="134" t="inlineStr">
        <is>
          <t>Benchmark raw cost / serving - high</t>
        </is>
      </c>
      <c r="C205" s="111" t="n"/>
      <c r="D205" s="169" t="n">
        <v>4.9</v>
      </c>
    </row>
    <row r="206" ht="22.35" customHeight="1" s="106">
      <c r="B206" s="113" t="inlineStr">
        <is>
          <t>Benchmark check</t>
        </is>
      </c>
      <c r="C206" s="111" t="n"/>
      <c r="D206" s="170">
        <f>IF($D$200="","Waiting on supplier quotes",IF($D$200&lt;$D$204,"BELOW the Aug-2026 planning band",IF($D$200&gt;$D$205,"ABOVE the Aug-2026 planning band - investigate","WITHIN the Aug-2026 planning band")))</f>
        <v/>
      </c>
    </row>
    <row r="207" ht="15" customHeight="1" s="106">
      <c r="B207" s="113" t="inlineStr">
        <is>
          <t>Cost per serving at the worst-case 70</t>
        </is>
      </c>
      <c r="C207" s="111" t="n"/>
      <c r="D207" s="150">
        <f>IF($D$199="","",$D$199/$D$196)</f>
        <v/>
      </c>
    </row>
    <row r="208" ht="55.2" customHeight="1" s="106">
      <c r="B208" s="134" t="inlineStr">
        <is>
          <t>MAKE POINT</t>
        </is>
      </c>
      <c r="C208" s="111" t="n"/>
      <c r="D208" s="171" t="inlineStr">
        <is>
          <t>CENTRAL KITCHEN</t>
        </is>
      </c>
      <c r="E208" s="172" t="inlineStr">
        <is>
          <t>Needs roasted + fermented chickpea flour. Pre-treatment belongs at the CK.</t>
        </is>
      </c>
    </row>
    <row r="209" ht="15" customHeight="1" s="106">
      <c r="B209" s="134" t="inlineStr">
        <is>
          <t>In-store labour minutes per batch</t>
        </is>
      </c>
      <c r="C209" s="111" t="n"/>
      <c r="D209" s="168" t="n">
        <v>50</v>
      </c>
    </row>
    <row r="210" ht="15" customHeight="1" s="106">
      <c r="B210" s="134" t="inlineStr">
        <is>
          <t>In-store energy kWh per batch</t>
        </is>
      </c>
      <c r="C210" s="111" t="n"/>
      <c r="D210" s="173" t="n">
        <v>4.2</v>
      </c>
    </row>
    <row r="211" ht="15" customHeight="1" s="106">
      <c r="B211" s="113" t="inlineStr">
        <is>
          <t>In-store labour cost per batch</t>
        </is>
      </c>
      <c r="C211" s="111" t="n"/>
      <c r="D211" s="150">
        <f>$D$209/60*'01 Control'!$C$24</f>
        <v/>
      </c>
    </row>
    <row r="212" ht="15" customHeight="1" s="106">
      <c r="B212" s="113" t="inlineStr">
        <is>
          <t>In-store energy cost per batch</t>
        </is>
      </c>
      <c r="C212" s="111" t="n"/>
      <c r="D212" s="150">
        <f>$D$210*'01 Control'!$C$25</f>
        <v/>
      </c>
    </row>
    <row r="213" ht="15" customHeight="1" s="106">
      <c r="B213" s="113" t="inlineStr">
        <is>
          <t>IN-STORE batch cost (ingredients + labour + energy)</t>
        </is>
      </c>
      <c r="C213" s="111" t="n"/>
      <c r="D213" s="150">
        <f>IF($D$199="","",$D$199+$D$211+$D$212)</f>
        <v/>
      </c>
    </row>
    <row r="214" ht="15" customHeight="1" s="106">
      <c r="B214" s="113" t="inlineStr">
        <is>
          <t>IN-STORE cost per serving</t>
        </is>
      </c>
      <c r="C214" s="111" t="n"/>
      <c r="D214" s="150">
        <f>IF(OR($D$213="",$D$195=0),"",$D$213/$D$195)</f>
        <v/>
      </c>
    </row>
    <row r="215" ht="15" customHeight="1" s="106">
      <c r="B215" s="113" t="inlineStr">
        <is>
          <t>IN-STORE cost per gram</t>
        </is>
      </c>
      <c r="C215" s="111" t="n"/>
      <c r="D215" s="150">
        <f>IF($D$214="","",$D$214/'01 Control'!$C$8)</f>
        <v/>
      </c>
    </row>
    <row r="216" ht="15" customHeight="1" s="106">
      <c r="B216" s="113" t="inlineStr">
        <is>
          <t>CK cost per batch (ingredients + CK labour + overhead)</t>
        </is>
      </c>
      <c r="C216" s="111" t="n"/>
      <c r="D216" s="150">
        <f>IF($D$199="","",$D$199+($D$189/1000)*('01 Control'!$C$13+'01 Control'!$C$14))</f>
        <v/>
      </c>
    </row>
    <row r="217" ht="15" customHeight="1" s="106">
      <c r="B217" s="113" t="inlineStr">
        <is>
          <t>CK TRANSFER PRICE per serving</t>
        </is>
      </c>
      <c r="C217" s="111" t="n"/>
      <c r="D217" s="150">
        <f>IF(OR($D$216="",$D$195=0),"",$D$216/$D$195*(1+'01 Control'!$C$15))</f>
        <v/>
      </c>
    </row>
    <row r="218" ht="15" customHeight="1" s="106">
      <c r="B218" s="113" t="inlineStr">
        <is>
          <t>CK transfer price per gram</t>
        </is>
      </c>
      <c r="C218" s="111" t="n"/>
      <c r="D218" s="150">
        <f>IF($D$217="","",$D$217/'01 Control'!$C$8)</f>
        <v/>
      </c>
    </row>
    <row r="219" ht="15" customHeight="1" s="106">
      <c r="B219" s="134" t="inlineStr">
        <is>
          <t>FRANCHISEE COST PER SERVING (live, per make point)</t>
        </is>
      </c>
      <c r="C219" s="111" t="n"/>
      <c r="D219" s="151">
        <f>IF($D$208="IN-STORE",$D$214,$D$217)</f>
        <v/>
      </c>
    </row>
    <row r="220" ht="15" customHeight="1" s="106">
      <c r="B220" s="134" t="inlineStr">
        <is>
          <t>FRANCHISEE cost per gram (live)</t>
        </is>
      </c>
      <c r="C220" s="111" t="n"/>
      <c r="D220" s="151">
        <f>IF($D$219="","",$D$219/'01 Control'!$C$8)</f>
        <v/>
      </c>
    </row>
    <row r="221" ht="15" customHeight="1" s="106">
      <c r="B221" s="113" t="inlineStr">
        <is>
          <t>In-store vs CK, per serving</t>
        </is>
      </c>
      <c r="C221" s="111" t="n"/>
      <c r="D221" s="150">
        <f>IF(OR($D$214="",$D$217=""),"",$D$214-$D$217)</f>
        <v/>
      </c>
    </row>
    <row r="222" ht="15" customHeight="1" s="106">
      <c r="B222" s="113" t="inlineStr">
        <is>
          <t>CK margin earned per serving</t>
        </is>
      </c>
      <c r="C222" s="111" t="n"/>
      <c r="D222" s="150">
        <f>IF(OR($D$208&lt;&gt;"CENTRAL KITCHEN",$D$217=""),0,$D$217-$D$216/$D$195)</f>
        <v/>
      </c>
    </row>
  </sheetData>
  <sheetProtection selectLockedCells="0" selectUnlockedCells="0" sheet="1" objects="0" insertRows="1" insertHyperlinks="1" autoFilter="0" scenarios="0" formatColumns="0" deleteColumns="1" insertColumns="1" pivotTables="1" deleteRows="1" formatCells="0" formatRows="0" sort="0"/>
  <mergeCells count="168">
    <mergeCell ref="B91:C91"/>
    <mergeCell ref="B100:C100"/>
    <mergeCell ref="B165:C165"/>
    <mergeCell ref="B141:C141"/>
    <mergeCell ref="B22:C22"/>
    <mergeCell ref="B115:C115"/>
    <mergeCell ref="B93:C93"/>
    <mergeCell ref="B149:C149"/>
    <mergeCell ref="B31:C31"/>
    <mergeCell ref="B155:C155"/>
    <mergeCell ref="B102:C102"/>
    <mergeCell ref="B193:C193"/>
    <mergeCell ref="B215:C215"/>
    <mergeCell ref="B110:C110"/>
    <mergeCell ref="B77:C77"/>
    <mergeCell ref="A13:M13"/>
    <mergeCell ref="B86:C86"/>
    <mergeCell ref="B151:C151"/>
    <mergeCell ref="B61:C61"/>
    <mergeCell ref="B101:C101"/>
    <mergeCell ref="A64:M64"/>
    <mergeCell ref="B38:C38"/>
    <mergeCell ref="B78:C78"/>
    <mergeCell ref="B191:C191"/>
    <mergeCell ref="B112:C112"/>
    <mergeCell ref="B205:C205"/>
    <mergeCell ref="B40:C40"/>
    <mergeCell ref="B211:C211"/>
    <mergeCell ref="A172:M172"/>
    <mergeCell ref="B49:C49"/>
    <mergeCell ref="B55:C55"/>
    <mergeCell ref="B183:C183"/>
    <mergeCell ref="B24:C24"/>
    <mergeCell ref="B33:C33"/>
    <mergeCell ref="B104:C104"/>
    <mergeCell ref="B51:C51"/>
    <mergeCell ref="B164:C164"/>
    <mergeCell ref="B32:C32"/>
    <mergeCell ref="B197:C197"/>
    <mergeCell ref="B154:C154"/>
    <mergeCell ref="B212:C212"/>
    <mergeCell ref="B26:C26"/>
    <mergeCell ref="B35:C35"/>
    <mergeCell ref="B206:C206"/>
    <mergeCell ref="B41:C41"/>
    <mergeCell ref="A2:M2"/>
    <mergeCell ref="B106:C106"/>
    <mergeCell ref="B200:C200"/>
    <mergeCell ref="B138:C138"/>
    <mergeCell ref="B209:C209"/>
    <mergeCell ref="B25:C25"/>
    <mergeCell ref="B90:C90"/>
    <mergeCell ref="B156:C156"/>
    <mergeCell ref="B131:C131"/>
    <mergeCell ref="B27:C27"/>
    <mergeCell ref="B140:C140"/>
    <mergeCell ref="B220:C220"/>
    <mergeCell ref="B130:C130"/>
    <mergeCell ref="B195:C195"/>
    <mergeCell ref="B157:C157"/>
    <mergeCell ref="B132:C132"/>
    <mergeCell ref="A11:M11"/>
    <mergeCell ref="B53:C53"/>
    <mergeCell ref="B166:C166"/>
    <mergeCell ref="B29:C29"/>
    <mergeCell ref="B103:C103"/>
    <mergeCell ref="B37:C37"/>
    <mergeCell ref="B196:C196"/>
    <mergeCell ref="B186:C186"/>
    <mergeCell ref="B168:C168"/>
    <mergeCell ref="B84:C84"/>
    <mergeCell ref="B158:C158"/>
    <mergeCell ref="B142:C142"/>
    <mergeCell ref="B80:C80"/>
    <mergeCell ref="B95:C95"/>
    <mergeCell ref="B213:C213"/>
    <mergeCell ref="B89:C89"/>
    <mergeCell ref="B160:C160"/>
    <mergeCell ref="B169:C169"/>
    <mergeCell ref="B79:C79"/>
    <mergeCell ref="B144:C144"/>
    <mergeCell ref="B97:C97"/>
    <mergeCell ref="B153:C153"/>
    <mergeCell ref="B54:C54"/>
    <mergeCell ref="B185:C185"/>
    <mergeCell ref="B134:C134"/>
    <mergeCell ref="B199:C199"/>
    <mergeCell ref="B81:C81"/>
    <mergeCell ref="B194:C194"/>
    <mergeCell ref="B208:C208"/>
    <mergeCell ref="B56:C56"/>
    <mergeCell ref="B96:C96"/>
    <mergeCell ref="B184:C184"/>
    <mergeCell ref="B105:C105"/>
    <mergeCell ref="B43:C43"/>
    <mergeCell ref="B58:C58"/>
    <mergeCell ref="B214:C214"/>
    <mergeCell ref="B52:C52"/>
    <mergeCell ref="B210:C210"/>
    <mergeCell ref="B98:C98"/>
    <mergeCell ref="B42:C42"/>
    <mergeCell ref="B107:C107"/>
    <mergeCell ref="B60:C60"/>
    <mergeCell ref="B57:C57"/>
    <mergeCell ref="B88:C88"/>
    <mergeCell ref="B148:C148"/>
    <mergeCell ref="B82:C82"/>
    <mergeCell ref="B162:C162"/>
    <mergeCell ref="B44:C44"/>
    <mergeCell ref="A1:M1"/>
    <mergeCell ref="B34:C34"/>
    <mergeCell ref="B146:C146"/>
    <mergeCell ref="B28:C28"/>
    <mergeCell ref="B99:C99"/>
    <mergeCell ref="B108:C108"/>
    <mergeCell ref="B187:C187"/>
    <mergeCell ref="B83:C83"/>
    <mergeCell ref="B143:C143"/>
    <mergeCell ref="B92:C92"/>
    <mergeCell ref="B30:C30"/>
    <mergeCell ref="B133:C133"/>
    <mergeCell ref="B76:C76"/>
    <mergeCell ref="B189:C189"/>
    <mergeCell ref="B45:C45"/>
    <mergeCell ref="B204:C204"/>
    <mergeCell ref="B85:C85"/>
    <mergeCell ref="B198:C198"/>
    <mergeCell ref="B216:C216"/>
    <mergeCell ref="B94:C94"/>
    <mergeCell ref="B188:C188"/>
    <mergeCell ref="B135:C135"/>
    <mergeCell ref="B109:C109"/>
    <mergeCell ref="B47:C47"/>
    <mergeCell ref="B218:C218"/>
    <mergeCell ref="B59:C59"/>
    <mergeCell ref="B150:C150"/>
    <mergeCell ref="B190:C190"/>
    <mergeCell ref="B202:C202"/>
    <mergeCell ref="A4:M4"/>
    <mergeCell ref="B46:C46"/>
    <mergeCell ref="B159:C159"/>
    <mergeCell ref="B39:C39"/>
    <mergeCell ref="B152:C152"/>
    <mergeCell ref="B167:C167"/>
    <mergeCell ref="B48:C48"/>
    <mergeCell ref="B161:C161"/>
    <mergeCell ref="B219:C219"/>
    <mergeCell ref="B136:C136"/>
    <mergeCell ref="B111:C111"/>
    <mergeCell ref="B23:C23"/>
    <mergeCell ref="B145:C145"/>
    <mergeCell ref="B87:C87"/>
    <mergeCell ref="B147:C147"/>
    <mergeCell ref="B137:C137"/>
    <mergeCell ref="B217:C217"/>
    <mergeCell ref="B192:C192"/>
    <mergeCell ref="B201:C201"/>
    <mergeCell ref="B139:C139"/>
    <mergeCell ref="A118:M118"/>
    <mergeCell ref="B222:C222"/>
    <mergeCell ref="B114:C114"/>
    <mergeCell ref="B36:C36"/>
    <mergeCell ref="B207:C207"/>
    <mergeCell ref="B50:C50"/>
    <mergeCell ref="B163:C163"/>
    <mergeCell ref="B203:C203"/>
    <mergeCell ref="B221:C221"/>
    <mergeCell ref="B113:C113"/>
  </mergeCells>
  <dataValidations count="1">
    <dataValidation sqref="D47 D101 D155 D208" showDropDown="0" showInputMessage="0" showErrorMessage="1" allowBlank="0" errorTitle="Make point" error="Choose IN-STORE or CENTRAL KITCHEN." type="list" errorStyle="stop" operator="between">
      <formula1>"IN-STORE,CENTRAL KITCHEN"</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K421"/>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 customWidth="1" style="105" min="1" max="1"/>
    <col width="22" customWidth="1" style="105" min="2" max="2"/>
    <col width="44" customWidth="1" style="105" min="3" max="3"/>
    <col width="12" customWidth="1" style="105" min="4" max="4"/>
    <col width="8" customWidth="1" style="105" min="5" max="5"/>
    <col width="14" customWidth="1" style="105" min="6" max="7"/>
    <col width="16" customWidth="1" style="105" min="8" max="8"/>
    <col width="14" customWidth="1" style="105" min="9" max="10"/>
    <col width="44" customWidth="1" style="105" min="11" max="11"/>
  </cols>
  <sheetData>
    <row r="1" ht="30" customHeight="1" s="106">
      <c r="A1" s="107" t="inlineStr">
        <is>
          <t>CENTRAL KITCHEN SAUCE BOM  -  THE NINE CORE SAUCES</t>
        </is>
      </c>
    </row>
    <row r="2" ht="18" customHeight="1" s="106">
      <c r="A2" s="108" t="inlineStr">
        <is>
          <t>Tier 1. The CK cooks, chills and freezes; the franchisee defrosts and uses within one trading day. This tab turns a batch recipe into the transfer price a franchisee pays per kg, and then per portion. SERVICE METHOD in each block is the taste rule: WARMER for the sauces that hold at 63 C without loss, WOK TO ORDER for the ones that would be ruined by holding, COLD for the raw ones. Change it and the loadout on 18 Production Capacity follows.</t>
        </is>
      </c>
    </row>
    <row r="4" ht="15" customHeight="1" s="106">
      <c r="A4" s="128" t="inlineStr">
        <is>
          <t>SUMMARY  -  BATCH COST  -&gt;  CK COST  -&gt;  FRANCHISEE TRANSFER PRICE</t>
        </is>
      </c>
      <c r="B4" s="110" t="n"/>
      <c r="C4" s="110" t="n"/>
      <c r="D4" s="110" t="n"/>
      <c r="E4" s="110" t="n"/>
      <c r="F4" s="110" t="n"/>
      <c r="G4" s="110" t="n"/>
      <c r="H4" s="110" t="n"/>
      <c r="I4" s="110" t="n"/>
      <c r="J4" s="110" t="n"/>
      <c r="K4" s="111" t="n"/>
    </row>
    <row r="5" ht="43.5" customHeight="1" s="106">
      <c r="A5" s="112" t="inlineStr">
        <is>
          <t>Sauce</t>
        </is>
      </c>
      <c r="B5" s="112" t="inlineStr">
        <is>
          <t>Cost Index Code</t>
        </is>
      </c>
      <c r="C5" s="112" t="inlineStr">
        <is>
          <t>What it is</t>
        </is>
      </c>
      <c r="D5" s="112" t="inlineStr">
        <is>
          <t>Batch
(kg)</t>
        </is>
      </c>
      <c r="E5" s="112" t="inlineStr">
        <is>
          <t>Portion
(g)</t>
        </is>
      </c>
      <c r="F5" s="112" t="inlineStr">
        <is>
          <t>Batch Ingredient
Cost</t>
        </is>
      </c>
      <c r="G5" s="112" t="inlineStr">
        <is>
          <t>Ingredient
Cost / kg</t>
        </is>
      </c>
      <c r="H5" s="112" t="inlineStr">
        <is>
          <t>CK Total
Cost / kg</t>
        </is>
      </c>
      <c r="I5" s="112" t="inlineStr">
        <is>
          <t>Transfer Price
/ kg</t>
        </is>
      </c>
      <c r="J5" s="112" t="inlineStr">
        <is>
          <t>Franchisee Cost
per Portion</t>
        </is>
      </c>
      <c r="K5" s="112" t="inlineStr">
        <is>
          <t>Cost Status</t>
        </is>
      </c>
    </row>
    <row r="6" ht="25.5" customHeight="1" s="106">
      <c r="A6" s="134" t="inlineStr">
        <is>
          <t>Napoletana (Pomodoro)</t>
        </is>
      </c>
      <c r="B6" s="113" t="inlineStr">
        <is>
          <t>PP-SAUCE-NAP</t>
        </is>
      </c>
      <c r="C6" s="116" t="inlineStr">
        <is>
          <t>The mother sauce. Vegan. Also the base for Arrabbiata and Bolognese.</t>
        </is>
      </c>
      <c r="D6" s="137" t="n">
        <v>20</v>
      </c>
      <c r="E6" s="152">
        <f>$D$42</f>
        <v/>
      </c>
      <c r="F6" s="150">
        <f>$D$33</f>
        <v/>
      </c>
      <c r="G6" s="150">
        <f>$D$34</f>
        <v/>
      </c>
      <c r="H6" s="150">
        <f>$D$39</f>
        <v/>
      </c>
      <c r="I6" s="151">
        <f>$D$41</f>
        <v/>
      </c>
      <c r="J6" s="151">
        <f>$D$54</f>
        <v/>
      </c>
      <c r="K6" s="162">
        <f>IF($D$31&gt;0,"INCOMPLETE - "&amp;$D$31&amp;" line(s) unpriced. Priced so far: "&amp;"R "&amp;TEXT(N($D$32),"#,##0.00"),"READY")</f>
        <v/>
      </c>
    </row>
    <row r="7" ht="25.5" customHeight="1" s="106">
      <c r="A7" s="134" t="inlineStr">
        <is>
          <t>Papa's Bolognese</t>
        </is>
      </c>
      <c r="B7" s="113" t="inlineStr">
        <is>
          <t>PP-SAUCE-BOL</t>
        </is>
      </c>
      <c r="C7" s="116" t="inlineStr">
        <is>
          <t>All-beef ragu, halaal, alcohol-free. Fully braised at commissary.</t>
        </is>
      </c>
      <c r="D7" s="137" t="n">
        <v>20</v>
      </c>
      <c r="E7" s="152">
        <f>$D$91</f>
        <v/>
      </c>
      <c r="F7" s="150">
        <f>$D$82</f>
        <v/>
      </c>
      <c r="G7" s="150">
        <f>$D$83</f>
        <v/>
      </c>
      <c r="H7" s="150">
        <f>$D$88</f>
        <v/>
      </c>
      <c r="I7" s="151">
        <f>$D$90</f>
        <v/>
      </c>
      <c r="J7" s="151">
        <f>$D$103</f>
        <v/>
      </c>
      <c r="K7" s="162">
        <f>IF($D$80&gt;0,"INCOMPLETE - "&amp;$D$80&amp;" line(s) unpriced. Priced so far: "&amp;"R "&amp;TEXT(N($D$81),"#,##0.00"),"READY")</f>
        <v/>
      </c>
    </row>
    <row r="8" ht="25.5" customHeight="1" s="106">
      <c r="A8" s="134" t="inlineStr">
        <is>
          <t>Creamy Alfredo</t>
        </is>
      </c>
      <c r="B8" s="113" t="inlineStr">
        <is>
          <t>PP-SAUCE-ALF</t>
        </is>
      </c>
      <c r="C8" s="116" t="inlineStr">
        <is>
          <t>Stabilised parmesan-garlic cream base, engineered to reheat without splitting.</t>
        </is>
      </c>
      <c r="D8" s="137" t="n">
        <v>20</v>
      </c>
      <c r="E8" s="152">
        <f>$D$135</f>
        <v/>
      </c>
      <c r="F8" s="150">
        <f>$D$126</f>
        <v/>
      </c>
      <c r="G8" s="150">
        <f>$D$127</f>
        <v/>
      </c>
      <c r="H8" s="150">
        <f>$D$132</f>
        <v/>
      </c>
      <c r="I8" s="151">
        <f>$D$134</f>
        <v/>
      </c>
      <c r="J8" s="151">
        <f>$D$147</f>
        <v/>
      </c>
      <c r="K8" s="162">
        <f>IF($D$124&gt;0,"INCOMPLETE - "&amp;$D$124&amp;" line(s) unpriced. Priced so far: "&amp;"R "&amp;TEXT(N($D$125),"#,##0.00"),"READY")</f>
        <v/>
      </c>
    </row>
    <row r="9" ht="25.5" customHeight="1" s="106">
      <c r="A9" s="134" t="inlineStr">
        <is>
          <t>Carbonara Base</t>
        </is>
      </c>
      <c r="B9" s="113" t="inlineStr">
        <is>
          <t>PP-SAUCE-CAR</t>
        </is>
      </c>
      <c r="C9" s="116" t="inlineStr">
        <is>
          <t>Pasteurised egg-pecorino emulsion. NO CREAM. Beef bacon added at store.</t>
        </is>
      </c>
      <c r="D9" s="137" t="n">
        <v>20</v>
      </c>
      <c r="E9" s="152">
        <f>$D$178</f>
        <v/>
      </c>
      <c r="F9" s="150">
        <f>$D$169</f>
        <v/>
      </c>
      <c r="G9" s="150">
        <f>$D$170</f>
        <v/>
      </c>
      <c r="H9" s="150">
        <f>$D$175</f>
        <v/>
      </c>
      <c r="I9" s="151">
        <f>$D$177</f>
        <v/>
      </c>
      <c r="J9" s="151">
        <f>$D$190</f>
        <v/>
      </c>
      <c r="K9" s="162">
        <f>IF($D$167&gt;0,"INCOMPLETE - "&amp;$D$167&amp;" line(s) unpriced. Priced so far: "&amp;"R "&amp;TEXT(N($D$168),"#,##0.00"),"READY")</f>
        <v/>
      </c>
    </row>
    <row r="10" ht="25.5" customHeight="1" s="106">
      <c r="A10" s="134" t="inlineStr">
        <is>
          <t>Arrabbiata</t>
        </is>
      </c>
      <c r="B10" s="113" t="inlineStr">
        <is>
          <t>PP-SAUCE-ARR</t>
        </is>
      </c>
      <c r="C10" s="116" t="inlineStr">
        <is>
          <t>Napoletana rebuilt angry. Heat dialled at store via finishing chilli oil.</t>
        </is>
      </c>
      <c r="D10" s="137" t="n">
        <v>20</v>
      </c>
      <c r="E10" s="152">
        <f>$D$225</f>
        <v/>
      </c>
      <c r="F10" s="150">
        <f>$D$216</f>
        <v/>
      </c>
      <c r="G10" s="150">
        <f>$D$217</f>
        <v/>
      </c>
      <c r="H10" s="150">
        <f>$D$222</f>
        <v/>
      </c>
      <c r="I10" s="151">
        <f>$D$224</f>
        <v/>
      </c>
      <c r="J10" s="151">
        <f>$D$237</f>
        <v/>
      </c>
      <c r="K10" s="162">
        <f>IF($D$214&gt;0,"INCOMPLETE - "&amp;$D$214&amp;" line(s) unpriced. Priced so far: "&amp;"R "&amp;TEXT(N($D$215),"#,##0.00"),"READY")</f>
        <v/>
      </c>
    </row>
    <row r="11" ht="25.5" customHeight="1" s="106">
      <c r="A11" s="134" t="inlineStr">
        <is>
          <t>Basil Pesto</t>
        </is>
      </c>
      <c r="B11" s="113" t="inlineStr">
        <is>
          <t>PP-SAUCE-PES</t>
        </is>
      </c>
      <c r="C11" s="116" t="inlineStr">
        <is>
          <t>Raw cold sauce, snap-chilled. Short-dated, &lt;=4 C. NUT + DAIRY allergen.</t>
        </is>
      </c>
      <c r="D11" s="137" t="n">
        <v>10</v>
      </c>
      <c r="E11" s="152">
        <f>$D$269</f>
        <v/>
      </c>
      <c r="F11" s="150">
        <f>$D$260</f>
        <v/>
      </c>
      <c r="G11" s="150">
        <f>$D$261</f>
        <v/>
      </c>
      <c r="H11" s="150">
        <f>$D$266</f>
        <v/>
      </c>
      <c r="I11" s="151">
        <f>$D$268</f>
        <v/>
      </c>
      <c r="J11" s="151">
        <f>$D$281</f>
        <v/>
      </c>
      <c r="K11" s="162">
        <f>IF($D$258&gt;0,"INCOMPLETE - "&amp;$D$258&amp;" line(s) unpriced. Priced so far: "&amp;"R "&amp;TEXT(N($D$259),"#,##0.00"),"READY")</f>
        <v/>
      </c>
    </row>
    <row r="12" ht="25.5" customHeight="1" s="106">
      <c r="A12" s="134" t="inlineStr">
        <is>
          <t>Boscaiola</t>
        </is>
      </c>
      <c r="B12" s="113" t="inlineStr">
        <is>
          <t>PP-SAUCE-BOSC</t>
        </is>
      </c>
      <c r="C12" s="116" t="inlineStr">
        <is>
          <t>Reheat-safe mushroom-cream base. Beef or mushroom-only build at store.</t>
        </is>
      </c>
      <c r="D12" s="137" t="n">
        <v>20</v>
      </c>
      <c r="E12" s="152">
        <f>$D$315</f>
        <v/>
      </c>
      <c r="F12" s="150">
        <f>$D$306</f>
        <v/>
      </c>
      <c r="G12" s="150">
        <f>$D$307</f>
        <v/>
      </c>
      <c r="H12" s="150">
        <f>$D$312</f>
        <v/>
      </c>
      <c r="I12" s="151">
        <f>$D$314</f>
        <v/>
      </c>
      <c r="J12" s="151">
        <f>$D$327</f>
        <v/>
      </c>
      <c r="K12" s="162">
        <f>IF($D$304&gt;0,"INCOMPLETE - "&amp;$D$304&amp;" line(s) unpriced. Priced so far: "&amp;"R "&amp;TEXT(N($D$305),"#,##0.00"),"READY")</f>
        <v/>
      </c>
    </row>
    <row r="13" ht="25.5" customHeight="1" s="106">
      <c r="A13" s="134" t="inlineStr">
        <is>
          <t>Quattro Formaggi</t>
        </is>
      </c>
      <c r="B13" s="113" t="inlineStr">
        <is>
          <t>PP-SAUCE-QF</t>
        </is>
      </c>
      <c r="C13" s="116" t="inlineStr">
        <is>
          <t>Four-cheese cream base, melts smooth and reheats without splitting.</t>
        </is>
      </c>
      <c r="D13" s="137" t="n">
        <v>20</v>
      </c>
      <c r="E13" s="152">
        <f>$D$360</f>
        <v/>
      </c>
      <c r="F13" s="150">
        <f>$D$351</f>
        <v/>
      </c>
      <c r="G13" s="150">
        <f>$D$352</f>
        <v/>
      </c>
      <c r="H13" s="150">
        <f>$D$357</f>
        <v/>
      </c>
      <c r="I13" s="151">
        <f>$D$359</f>
        <v/>
      </c>
      <c r="J13" s="151">
        <f>$D$372</f>
        <v/>
      </c>
      <c r="K13" s="162">
        <f>IF($D$349&gt;0,"INCOMPLETE - "&amp;$D$349&amp;" line(s) unpriced. Priced so far: "&amp;"R "&amp;TEXT(N($D$350),"#,##0.00"),"READY")</f>
        <v/>
      </c>
    </row>
    <row r="14" ht="25.5" customHeight="1" s="106">
      <c r="A14" s="134" t="inlineStr">
        <is>
          <t>Aglio e Olio Kit</t>
        </is>
      </c>
      <c r="B14" s="113" t="inlineStr">
        <is>
          <t>PP-SAUCE-ALO</t>
        </is>
      </c>
      <c r="C14" s="116" t="inlineStr">
        <is>
          <t>Prep kit, not a cooked base - confit garlic, calibrated chilli, EVOO blend.</t>
        </is>
      </c>
      <c r="D14" s="137" t="n">
        <v>10</v>
      </c>
      <c r="E14" s="152">
        <f>$D$402</f>
        <v/>
      </c>
      <c r="F14" s="150">
        <f>$D$393</f>
        <v/>
      </c>
      <c r="G14" s="150">
        <f>$D$394</f>
        <v/>
      </c>
      <c r="H14" s="150">
        <f>$D$399</f>
        <v/>
      </c>
      <c r="I14" s="151">
        <f>$D$401</f>
        <v/>
      </c>
      <c r="J14" s="151">
        <f>$D$414</f>
        <v/>
      </c>
      <c r="K14" s="162">
        <f>IF($D$391&gt;0,"INCOMPLETE - "&amp;$D$391&amp;" line(s) unpriced. Priced so far: "&amp;"R "&amp;TEXT(N($D$392),"#,##0.00"),"READY")</f>
        <v/>
      </c>
    </row>
    <row r="16" ht="15" customHeight="1" s="106">
      <c r="A16" s="135" t="inlineStr">
        <is>
          <t>Transfer price = (ingredients + CK labour + CK overhead + pouch, label and carton) x (1 + CK margin). All four levers live on 01 Control. Portions per pouch tells you how many bowls one thawed pouch serves - the pouch should be sized to one trading day.</t>
        </is>
      </c>
    </row>
    <row r="17" ht="15" customHeight="1" s="106">
      <c r="A17" s="109" t="inlineStr">
        <is>
          <t>Napoletana (Pomodoro)   |   PP-SAUCE-NAP   |   The mother sauce. Vegan. Also the base for Arrabbiata and Bolognese.</t>
        </is>
      </c>
      <c r="B17" s="110" t="n"/>
      <c r="C17" s="110" t="n"/>
      <c r="D17" s="110" t="n"/>
      <c r="E17" s="110" t="n"/>
      <c r="F17" s="110" t="n"/>
      <c r="G17" s="110" t="n"/>
      <c r="H17" s="110" t="n"/>
      <c r="I17" s="110" t="n"/>
      <c r="J17" s="110" t="n"/>
      <c r="K17" s="111" t="n"/>
    </row>
    <row r="18" ht="33.75" customHeight="1" s="106">
      <c r="A18" s="112" t="inlineStr">
        <is>
          <t>Sauce</t>
        </is>
      </c>
      <c r="B18" s="112" t="inlineStr">
        <is>
          <t>Ingredient SKU</t>
        </is>
      </c>
      <c r="C18" s="112" t="inlineStr">
        <is>
          <t>Ingredient</t>
        </is>
      </c>
      <c r="D18" s="112" t="inlineStr">
        <is>
          <t>Batch Qty</t>
        </is>
      </c>
      <c r="E18" s="112" t="inlineStr">
        <is>
          <t>Unit</t>
        </is>
      </c>
      <c r="F18" s="112" t="inlineStr">
        <is>
          <t>Base Qty (g/ml)</t>
        </is>
      </c>
      <c r="G18" s="112" t="inlineStr">
        <is>
          <t>Usable Cost per
Base Unit</t>
        </is>
      </c>
      <c r="H18" s="112" t="inlineStr">
        <is>
          <t>Line Cost</t>
        </is>
      </c>
      <c r="I18" s="112" t="inlineStr">
        <is>
          <t>% of Batch
Cost</t>
        </is>
      </c>
      <c r="J18" s="112" t="n"/>
      <c r="K18" s="112" t="inlineStr">
        <is>
          <t>Specification</t>
        </is>
      </c>
    </row>
    <row r="19" ht="15" customHeight="1" s="106">
      <c r="A19" s="163" t="inlineStr">
        <is>
          <t>Napoletana (Pomodoro)</t>
        </is>
      </c>
      <c r="B19" s="134" t="inlineStr">
        <is>
          <t>PP-TOM-PLUM</t>
        </is>
      </c>
      <c r="C19" s="113" t="inlineStr">
        <is>
          <t>San Marzano-style plum tomatoes</t>
        </is>
      </c>
      <c r="D19" s="174" t="n">
        <v>14600</v>
      </c>
      <c r="E19" s="164" t="inlineStr">
        <is>
          <t>g</t>
        </is>
      </c>
      <c r="F19" s="157">
        <f>$D19</f>
        <v/>
      </c>
      <c r="G19" s="150">
        <f>IFERROR(INDEX('04 SKU Master'!$AM$5:$AM$165,MATCH($B19,'04 SKU Master'!$A$5:$A$165,0)),"")</f>
        <v/>
      </c>
      <c r="H19" s="150">
        <f>IF(OR($G19="",$F19=""),"",$G19*$F19)</f>
        <v/>
      </c>
      <c r="I19" s="153">
        <f>IF(OR($H19="",SUM($H$19:$H$28)=0),"",$H19/SUM($H$19:$H$28))</f>
        <v/>
      </c>
      <c r="J19" s="175" t="n"/>
      <c r="K19" s="116" t="inlineStr">
        <is>
          <t>Napoletana / Bolognese / Arrabbiata base</t>
        </is>
      </c>
    </row>
    <row r="20" ht="15" customHeight="1" s="106">
      <c r="A20" s="163" t="inlineStr">
        <is>
          <t>Napoletana (Pomodoro)</t>
        </is>
      </c>
      <c r="B20" s="134" t="inlineStr">
        <is>
          <t>PP-TOM-PASTE</t>
        </is>
      </c>
      <c r="C20" s="113" t="inlineStr">
        <is>
          <t>Tomato paste</t>
        </is>
      </c>
      <c r="D20" s="174" t="n">
        <v>900</v>
      </c>
      <c r="E20" s="164" t="inlineStr">
        <is>
          <t>g</t>
        </is>
      </c>
      <c r="F20" s="157">
        <f>$D20</f>
        <v/>
      </c>
      <c r="G20" s="150">
        <f>IFERROR(INDEX('04 SKU Master'!$AM$5:$AM$165,MATCH($B20,'04 SKU Master'!$A$5:$A$165,0)),"")</f>
        <v/>
      </c>
      <c r="H20" s="150">
        <f>IF(OR($G20="",$F20=""),"",$G20*$F20)</f>
        <v/>
      </c>
      <c r="I20" s="153">
        <f>IF(OR($H20="",SUM($H$19:$H$28)=0),"",$H20/SUM($H$19:$H$28))</f>
        <v/>
      </c>
      <c r="J20" s="175" t="n"/>
      <c r="K20" s="116" t="inlineStr">
        <is>
          <t>Depth without wine (alcohol-free build)</t>
        </is>
      </c>
    </row>
    <row r="21" ht="15" customHeight="1" s="106">
      <c r="A21" s="163" t="inlineStr">
        <is>
          <t>Napoletana (Pomodoro)</t>
        </is>
      </c>
      <c r="B21" s="134" t="inlineStr">
        <is>
          <t>PP-ONION</t>
        </is>
      </c>
      <c r="C21" s="113" t="inlineStr">
        <is>
          <t>Onion (soffritto)</t>
        </is>
      </c>
      <c r="D21" s="174" t="n">
        <v>1600</v>
      </c>
      <c r="E21" s="164" t="inlineStr">
        <is>
          <t>g</t>
        </is>
      </c>
      <c r="F21" s="157">
        <f>$D21</f>
        <v/>
      </c>
      <c r="G21" s="150">
        <f>IFERROR(INDEX('04 SKU Master'!$AM$5:$AM$165,MATCH($B21,'04 SKU Master'!$A$5:$A$165,0)),"")</f>
        <v/>
      </c>
      <c r="H21" s="150">
        <f>IF(OR($G21="",$F21=""),"",$G21*$F21)</f>
        <v/>
      </c>
      <c r="I21" s="153">
        <f>IF(OR($H21="",SUM($H$19:$H$28)=0),"",$H21/SUM($H$19:$H$28))</f>
        <v/>
      </c>
      <c r="J21" s="175" t="n"/>
      <c r="K21" s="116" t="inlineStr">
        <is>
          <t>Soffritto base</t>
        </is>
      </c>
    </row>
    <row r="22" ht="15" customHeight="1" s="106">
      <c r="A22" s="163" t="inlineStr">
        <is>
          <t>Napoletana (Pomodoro)</t>
        </is>
      </c>
      <c r="B22" s="134" t="inlineStr">
        <is>
          <t>PP-GARLIC</t>
        </is>
      </c>
      <c r="C22" s="113" t="inlineStr">
        <is>
          <t>Garlic</t>
        </is>
      </c>
      <c r="D22" s="174" t="n">
        <v>300</v>
      </c>
      <c r="E22" s="164" t="inlineStr">
        <is>
          <t>g</t>
        </is>
      </c>
      <c r="F22" s="157">
        <f>$D22</f>
        <v/>
      </c>
      <c r="G22" s="150">
        <f>IFERROR(INDEX('04 SKU Master'!$AM$5:$AM$165,MATCH($B22,'04 SKU Master'!$A$5:$A$165,0)),"")</f>
        <v/>
      </c>
      <c r="H22" s="150">
        <f>IF(OR($G22="",$F22=""),"",$G22*$F22)</f>
        <v/>
      </c>
      <c r="I22" s="153">
        <f>IF(OR($H22="",SUM($H$19:$H$28)=0),"",$H22/SUM($H$19:$H$28))</f>
        <v/>
      </c>
      <c r="J22" s="175" t="n"/>
      <c r="K22" s="116" t="inlineStr">
        <is>
          <t>Every sauce</t>
        </is>
      </c>
    </row>
    <row r="23" ht="15" customHeight="1" s="106">
      <c r="A23" s="163" t="inlineStr">
        <is>
          <t>Napoletana (Pomodoro)</t>
        </is>
      </c>
      <c r="B23" s="134" t="inlineStr">
        <is>
          <t>PP-VEG-CARROT</t>
        </is>
      </c>
      <c r="C23" s="113" t="inlineStr">
        <is>
          <t>Carrot (soffritto)</t>
        </is>
      </c>
      <c r="D23" s="174" t="n">
        <v>900</v>
      </c>
      <c r="E23" s="164" t="inlineStr">
        <is>
          <t>g</t>
        </is>
      </c>
      <c r="F23" s="157">
        <f>$D23</f>
        <v/>
      </c>
      <c r="G23" s="150">
        <f>IFERROR(INDEX('04 SKU Master'!$AM$5:$AM$165,MATCH($B23,'04 SKU Master'!$A$5:$A$165,0)),"")</f>
        <v/>
      </c>
      <c r="H23" s="150">
        <f>IF(OR($G23="",$F23=""),"",$G23*$F23)</f>
        <v/>
      </c>
      <c r="I23" s="153">
        <f>IF(OR($H23="",SUM($H$19:$H$28)=0),"",$H23/SUM($H$19:$H$28))</f>
        <v/>
      </c>
      <c r="J23" s="175" t="n"/>
      <c r="K23" s="116" t="inlineStr">
        <is>
          <t>Soffritto base</t>
        </is>
      </c>
    </row>
    <row r="24" ht="15" customHeight="1" s="106">
      <c r="A24" s="163" t="inlineStr">
        <is>
          <t>Napoletana (Pomodoro)</t>
        </is>
      </c>
      <c r="B24" s="134" t="inlineStr">
        <is>
          <t>PP-CELERY</t>
        </is>
      </c>
      <c r="C24" s="113" t="inlineStr">
        <is>
          <t>Celery (soffritto)</t>
        </is>
      </c>
      <c r="D24" s="174" t="n">
        <v>600</v>
      </c>
      <c r="E24" s="164" t="inlineStr">
        <is>
          <t>g</t>
        </is>
      </c>
      <c r="F24" s="157">
        <f>$D24</f>
        <v/>
      </c>
      <c r="G24" s="150">
        <f>IFERROR(INDEX('04 SKU Master'!$AM$5:$AM$165,MATCH($B24,'04 SKU Master'!$A$5:$A$165,0)),"")</f>
        <v/>
      </c>
      <c r="H24" s="150">
        <f>IF(OR($G24="",$F24=""),"",$G24*$F24)</f>
        <v/>
      </c>
      <c r="I24" s="153">
        <f>IF(OR($H24="",SUM($H$19:$H$28)=0),"",$H24/SUM($H$19:$H$28))</f>
        <v/>
      </c>
      <c r="J24" s="175" t="n"/>
      <c r="K24" s="116" t="inlineStr">
        <is>
          <t>Soffritto base</t>
        </is>
      </c>
    </row>
    <row r="25" ht="15" customHeight="1" s="106">
      <c r="A25" s="163" t="inlineStr">
        <is>
          <t>Napoletana (Pomodoro)</t>
        </is>
      </c>
      <c r="B25" s="134" t="inlineStr">
        <is>
          <t>PP-OIL</t>
        </is>
      </c>
      <c r="C25" s="113" t="inlineStr">
        <is>
          <t>Cooking oil</t>
        </is>
      </c>
      <c r="D25" s="174" t="n">
        <v>900</v>
      </c>
      <c r="E25" s="164" t="inlineStr">
        <is>
          <t>ml</t>
        </is>
      </c>
      <c r="F25" s="157">
        <f>$D25</f>
        <v/>
      </c>
      <c r="G25" s="150">
        <f>IFERROR(INDEX('04 SKU Master'!$AM$5:$AM$165,MATCH($B25,'04 SKU Master'!$A$5:$A$165,0)),"")</f>
        <v/>
      </c>
      <c r="H25" s="150">
        <f>IF(OR($G25="",$F25=""),"",$G25*$F25)</f>
        <v/>
      </c>
      <c r="I25" s="153">
        <f>IF(OR($H25="",SUM($H$19:$H$28)=0),"",$H25/SUM($H$19:$H$28))</f>
        <v/>
      </c>
      <c r="J25" s="175" t="n"/>
      <c r="K25" s="116" t="inlineStr">
        <is>
          <t>Commissary soffritto base</t>
        </is>
      </c>
    </row>
    <row r="26" ht="15" customHeight="1" s="106">
      <c r="A26" s="163" t="inlineStr">
        <is>
          <t>Napoletana (Pomodoro)</t>
        </is>
      </c>
      <c r="B26" s="134" t="inlineStr">
        <is>
          <t>PP-SUGAR</t>
        </is>
      </c>
      <c r="C26" s="113" t="inlineStr">
        <is>
          <t>Sugar (acidity balance)</t>
        </is>
      </c>
      <c r="D26" s="174" t="n">
        <v>120</v>
      </c>
      <c r="E26" s="164" t="inlineStr">
        <is>
          <t>g</t>
        </is>
      </c>
      <c r="F26" s="157">
        <f>$D26</f>
        <v/>
      </c>
      <c r="G26" s="150">
        <f>IFERROR(INDEX('04 SKU Master'!$AM$5:$AM$165,MATCH($B26,'04 SKU Master'!$A$5:$A$165,0)),"")</f>
        <v/>
      </c>
      <c r="H26" s="150">
        <f>IF(OR($G26="",$F26=""),"",$G26*$F26)</f>
        <v/>
      </c>
      <c r="I26" s="153">
        <f>IF(OR($H26="",SUM($H$19:$H$28)=0),"",$H26/SUM($H$19:$H$28))</f>
        <v/>
      </c>
      <c r="J26" s="175" t="n"/>
      <c r="K26" s="116" t="inlineStr">
        <is>
          <t>Whisper only - balance, not sweetness</t>
        </is>
      </c>
    </row>
    <row r="27" ht="15" customHeight="1" s="106">
      <c r="A27" s="163" t="inlineStr">
        <is>
          <t>Napoletana (Pomodoro)</t>
        </is>
      </c>
      <c r="B27" s="134" t="inlineStr">
        <is>
          <t>PP-SALT</t>
        </is>
      </c>
      <c r="C27" s="113" t="inlineStr">
        <is>
          <t>Salt</t>
        </is>
      </c>
      <c r="D27" s="174" t="n">
        <v>180</v>
      </c>
      <c r="E27" s="164" t="inlineStr">
        <is>
          <t>g</t>
        </is>
      </c>
      <c r="F27" s="157">
        <f>$D27</f>
        <v/>
      </c>
      <c r="G27" s="150">
        <f>IFERROR(INDEX('04 SKU Master'!$AM$5:$AM$165,MATCH($B27,'04 SKU Master'!$A$5:$A$165,0)),"")</f>
        <v/>
      </c>
      <c r="H27" s="150">
        <f>IF(OR($G27="",$F27=""),"",$G27*$F27)</f>
        <v/>
      </c>
      <c r="I27" s="153">
        <f>IF(OR($H27="",SUM($H$19:$H$28)=0),"",$H27/SUM($H$19:$H$28))</f>
        <v/>
      </c>
      <c r="J27" s="175" t="n"/>
      <c r="K27" s="116" t="inlineStr">
        <is>
          <t>Optional/recommended at 1-1.5% of dry weight</t>
        </is>
      </c>
    </row>
    <row r="28" ht="15" customHeight="1" s="106">
      <c r="A28" s="163" t="inlineStr">
        <is>
          <t>Napoletana (Pomodoro)</t>
        </is>
      </c>
      <c r="B28" s="134" t="inlineStr">
        <is>
          <t>PP-HERB-BASIL-DRY</t>
        </is>
      </c>
      <c r="C28" s="113" t="inlineStr">
        <is>
          <t>Dried basil / oregano</t>
        </is>
      </c>
      <c r="D28" s="174" t="n">
        <v>80</v>
      </c>
      <c r="E28" s="164" t="inlineStr">
        <is>
          <t>g</t>
        </is>
      </c>
      <c r="F28" s="157">
        <f>$D28</f>
        <v/>
      </c>
      <c r="G28" s="150">
        <f>IFERROR(INDEX('04 SKU Master'!$AM$5:$AM$165,MATCH($B28,'04 SKU Master'!$A$5:$A$165,0)),"")</f>
        <v/>
      </c>
      <c r="H28" s="150">
        <f>IF(OR($G28="",$F28=""),"",$G28*$F28)</f>
        <v/>
      </c>
      <c r="I28" s="153">
        <f>IF(OR($H28="",SUM($H$19:$H$28)=0),"",$H28/SUM($H$19:$H$28))</f>
        <v/>
      </c>
      <c r="J28" s="175" t="n"/>
      <c r="K28" s="116" t="inlineStr">
        <is>
          <t>Commissary sauce bases</t>
        </is>
      </c>
    </row>
    <row r="30" ht="15" customHeight="1" s="106">
      <c r="B30" s="113" t="inlineStr">
        <is>
          <t>Batch net weight (g)</t>
        </is>
      </c>
      <c r="C30" s="111" t="n"/>
      <c r="D30" s="157">
        <f>SUM($F$19:$F$28)</f>
        <v/>
      </c>
    </row>
    <row r="31" ht="15" customHeight="1" s="106">
      <c r="B31" s="113" t="inlineStr">
        <is>
          <t>Lines still unpriced</t>
        </is>
      </c>
      <c r="C31" s="111" t="n"/>
      <c r="D31" s="157">
        <f>COUNTA($B$19:$B$28)-COUNT($H$19:$H$28)</f>
        <v/>
      </c>
    </row>
    <row r="32" ht="15" customHeight="1" s="106">
      <c r="B32" s="113" t="inlineStr">
        <is>
          <t>Batch cost of priced lines (partial)</t>
        </is>
      </c>
      <c r="C32" s="111" t="n"/>
      <c r="D32" s="150">
        <f>IF(COUNT($H$19:$H$28)=0,"",SUM($H$19:$H$28))</f>
        <v/>
      </c>
    </row>
    <row r="33" ht="15" customHeight="1" s="106">
      <c r="B33" s="113" t="inlineStr">
        <is>
          <t>Batch ingredient cost</t>
        </is>
      </c>
      <c r="C33" s="111" t="n"/>
      <c r="D33" s="150">
        <f>IF($D$31&gt;0,"",SUM($H$19:$H$28))</f>
        <v/>
      </c>
    </row>
    <row r="34" ht="15" customHeight="1" s="106">
      <c r="B34" s="113" t="inlineStr">
        <is>
          <t>Ingredient cost per kg</t>
        </is>
      </c>
      <c r="C34" s="111" t="n"/>
      <c r="D34" s="150">
        <f>IF(OR($D$33="",$D$30=0),"",$D$33/($D$30/1000))</f>
        <v/>
      </c>
    </row>
    <row r="35" ht="15" customHeight="1" s="106">
      <c r="B35" s="113" t="inlineStr">
        <is>
          <t xml:space="preserve">  add: CK labour &amp; energy per kg</t>
        </is>
      </c>
      <c r="C35" s="111" t="n"/>
      <c r="D35" s="150">
        <f>'01 Control'!$C$13</f>
        <v/>
      </c>
    </row>
    <row r="36" ht="15" customHeight="1" s="106">
      <c r="B36" s="113" t="inlineStr">
        <is>
          <t xml:space="preserve">  add: CK overhead &amp; distribution per kg</t>
        </is>
      </c>
      <c r="C36" s="111" t="n"/>
      <c r="D36" s="150">
        <f>'01 Control'!$C$14</f>
        <v/>
      </c>
    </row>
    <row r="37" ht="15" customHeight="1" s="106">
      <c r="B37" s="134" t="inlineStr">
        <is>
          <t>Pouch size (kg)</t>
        </is>
      </c>
      <c r="C37" s="111" t="n"/>
      <c r="D37" s="173" t="n">
        <v>2</v>
      </c>
    </row>
    <row r="38" ht="15" customHeight="1" s="106">
      <c r="B38" s="113" t="inlineStr">
        <is>
          <t xml:space="preserve">  add: Pouch, label &amp; carton per kg</t>
        </is>
      </c>
      <c r="C38" s="111" t="n"/>
      <c r="D38" s="150">
        <f>IFERROR((INDEX('05 Packaging Master'!$AM$5:$AM$50,MATCH("PP-PACK-CK-POUCH",'05 Packaging Master'!$A$5:$A$50,0))+INDEX('05 Packaging Master'!$AM$5:$AM$50,MATCH("PP-PACK-CK-LABEL",'05 Packaging Master'!$A$5:$A$50,0))+INDEX('05 Packaging Master'!$AM$5:$AM$50,MATCH("PP-PACK-CK-CARTON",'05 Packaging Master'!$A$5:$A$50,0))/6)/$D$37,0)</f>
        <v/>
      </c>
    </row>
    <row r="39" ht="15" customHeight="1" s="106">
      <c r="B39" s="134" t="inlineStr">
        <is>
          <t>CK TOTAL COST per kg</t>
        </is>
      </c>
      <c r="C39" s="111" t="n"/>
      <c r="D39" s="151">
        <f>IF($D$34="","",$D$34+$D$35+$D$36+$D$38)</f>
        <v/>
      </c>
    </row>
    <row r="40" ht="15" customHeight="1" s="106">
      <c r="B40" s="113" t="inlineStr">
        <is>
          <t>CK margin to franchisee</t>
        </is>
      </c>
      <c r="C40" s="111" t="n"/>
      <c r="D40" s="166">
        <f>'01 Control'!$C$15</f>
        <v/>
      </c>
    </row>
    <row r="41" ht="15" customHeight="1" s="106">
      <c r="B41" s="134" t="inlineStr">
        <is>
          <t>TRANSFER PRICE per kg</t>
        </is>
      </c>
      <c r="C41" s="111" t="n"/>
      <c r="D41" s="151">
        <f>IF($D$39="","",$D$39*(1+$D$40))</f>
        <v/>
      </c>
    </row>
    <row r="42" ht="15" customHeight="1" s="106">
      <c r="B42" s="134" t="inlineStr">
        <is>
          <t>Store portion (g)</t>
        </is>
      </c>
      <c r="C42" s="111" t="n"/>
      <c r="D42" s="168" t="n">
        <v>160</v>
      </c>
    </row>
    <row r="43" ht="15" customHeight="1" s="106">
      <c r="B43" s="134" t="inlineStr">
        <is>
          <t>SERVICE METHOD</t>
        </is>
      </c>
      <c r="C43" s="111" t="n"/>
      <c r="D43" s="171" t="inlineStr">
        <is>
          <t>WARMER</t>
        </is>
      </c>
      <c r="E43" s="172" t="inlineStr">
        <is>
          <t>Tomato base. Holding concentrates it - it is better at hour three than hour one.</t>
        </is>
      </c>
    </row>
    <row r="44" ht="15" customHeight="1" s="106">
      <c r="B44" s="134" t="inlineStr">
        <is>
          <t>MAKE POINT</t>
        </is>
      </c>
      <c r="C44" s="111" t="n"/>
      <c r="D44" s="171" t="inlineStr">
        <is>
          <t>CENTRAL KITCHEN</t>
        </is>
      </c>
    </row>
    <row r="45" ht="15" customHeight="1" s="106">
      <c r="B45" s="134" t="inlineStr">
        <is>
          <t>In-store labour minutes per batch</t>
        </is>
      </c>
      <c r="C45" s="111" t="n"/>
      <c r="D45" s="168" t="n">
        <v>90</v>
      </c>
    </row>
    <row r="46" ht="15" customHeight="1" s="106">
      <c r="B46" s="134" t="inlineStr">
        <is>
          <t>In-store energy kWh per batch</t>
        </is>
      </c>
      <c r="C46" s="111" t="n"/>
      <c r="D46" s="173" t="n">
        <v>14</v>
      </c>
    </row>
    <row r="47" ht="15" customHeight="1" s="106">
      <c r="B47" s="113" t="inlineStr">
        <is>
          <t>In-store labour cost per batch</t>
        </is>
      </c>
      <c r="C47" s="111" t="n"/>
      <c r="D47" s="150">
        <f>$D$45/60*'01 Control'!$C$24</f>
        <v/>
      </c>
    </row>
    <row r="48" ht="15" customHeight="1" s="106">
      <c r="B48" s="113" t="inlineStr">
        <is>
          <t>In-store energy cost per batch</t>
        </is>
      </c>
      <c r="C48" s="111" t="n"/>
      <c r="D48" s="150">
        <f>$D$46*'01 Control'!$C$25</f>
        <v/>
      </c>
    </row>
    <row r="49" ht="15" customHeight="1" s="106">
      <c r="B49" s="113" t="inlineStr">
        <is>
          <t>IN-STORE batch cost</t>
        </is>
      </c>
      <c r="C49" s="111" t="n"/>
      <c r="D49" s="150">
        <f>IF($D$33="","",$D$33+$D$47+$D$48)</f>
        <v/>
      </c>
    </row>
    <row r="50" ht="15" customHeight="1" s="106">
      <c r="B50" s="113" t="inlineStr">
        <is>
          <t>IN-STORE cost per kg</t>
        </is>
      </c>
      <c r="C50" s="111" t="n"/>
      <c r="D50" s="150">
        <f>IF(OR($D$49="",$D$30=0),"",$D$49/($D$30/1000))</f>
        <v/>
      </c>
    </row>
    <row r="51" ht="15" customHeight="1" s="106">
      <c r="B51" s="113" t="inlineStr">
        <is>
          <t>IN-STORE cost per portion</t>
        </is>
      </c>
      <c r="C51" s="111" t="n"/>
      <c r="D51" s="150">
        <f>IF($D$50="","",$D$50/1000*$D$42)</f>
        <v/>
      </c>
    </row>
    <row r="52" ht="15" customHeight="1" s="106">
      <c r="B52" s="113" t="inlineStr">
        <is>
          <t>CK cost per portion</t>
        </is>
      </c>
      <c r="C52" s="111" t="n"/>
      <c r="D52" s="150">
        <f>IF($D$39="","",$D$39/1000*$D$42)</f>
        <v/>
      </c>
    </row>
    <row r="53" ht="15" customHeight="1" s="106">
      <c r="B53" s="113" t="inlineStr">
        <is>
          <t>CK TRANSFER PRICE per portion</t>
        </is>
      </c>
      <c r="C53" s="111" t="n"/>
      <c r="D53" s="150">
        <f>IF($D$41="","",$D$41/1000*$D$42)</f>
        <v/>
      </c>
    </row>
    <row r="54" ht="15" customHeight="1" s="106">
      <c r="B54" s="134" t="inlineStr">
        <is>
          <t>FRANCHISEE COST PER PORTION</t>
        </is>
      </c>
      <c r="C54" s="111" t="n"/>
      <c r="D54" s="151">
        <f>IF($D$44="IN-STORE",$D$51,$D$53)</f>
        <v/>
      </c>
    </row>
    <row r="55" ht="15" customHeight="1" s="106">
      <c r="B55" s="134" t="inlineStr">
        <is>
          <t>Franchisee cost per gram (live)</t>
        </is>
      </c>
      <c r="C55" s="111" t="n"/>
      <c r="D55" s="151">
        <f>IF(OR($D$54="",$D$42=0),"",$D$54/$D$42)</f>
        <v/>
      </c>
    </row>
    <row r="56" ht="15" customHeight="1" s="106">
      <c r="B56" s="113" t="inlineStr">
        <is>
          <t>In-store vs CK, per portion</t>
        </is>
      </c>
      <c r="C56" s="111" t="n"/>
      <c r="D56" s="150">
        <f>IF(OR($D$51="",$D$53=""),"",$D$51-$D$53)</f>
        <v/>
      </c>
    </row>
    <row r="57" ht="15" customHeight="1" s="106">
      <c r="B57" s="113" t="inlineStr">
        <is>
          <t>CK margin earned per portion</t>
        </is>
      </c>
      <c r="C57" s="111" t="n"/>
      <c r="D57" s="150">
        <f>IF(OR($D$44&lt;&gt;"CENTRAL KITCHEN",$D$53=""),0,$D$53-$D$52)</f>
        <v/>
      </c>
    </row>
    <row r="58" ht="15" customHeight="1" s="106">
      <c r="B58" s="113" t="inlineStr">
        <is>
          <t>Portions per batch</t>
        </is>
      </c>
      <c r="C58" s="111" t="n"/>
      <c r="D58" s="157">
        <f>$D$30/$D$42</f>
        <v/>
      </c>
    </row>
    <row r="59" ht="15" customHeight="1" s="106">
      <c r="B59" s="113" t="inlineStr">
        <is>
          <t>Pouches per batch</t>
        </is>
      </c>
      <c r="C59" s="111" t="n"/>
      <c r="D59" s="165">
        <f>$D$30/1000/$D$37</f>
        <v/>
      </c>
    </row>
    <row r="60" ht="15" customHeight="1" s="106">
      <c r="B60" s="113" t="inlineStr">
        <is>
          <t>Portions per pouch (= one day-part)</t>
        </is>
      </c>
      <c r="C60" s="111" t="n"/>
      <c r="D60" s="157">
        <f>$D$37*1000/$D$42</f>
        <v/>
      </c>
    </row>
    <row r="61" ht="15" customHeight="1" s="106">
      <c r="B61" s="113" t="inlineStr">
        <is>
          <t>Thawed shelf life (hours)</t>
        </is>
      </c>
      <c r="C61" s="111" t="n"/>
      <c r="D61" s="157">
        <f>'01 Control'!$C$22</f>
        <v/>
      </c>
    </row>
    <row r="64" ht="15" customHeight="1" s="106">
      <c r="A64" s="109" t="inlineStr">
        <is>
          <t>Papa's Bolognese   |   PP-SAUCE-BOL   |   All-beef ragu, halaal, alcohol-free. Fully braised at commissary.</t>
        </is>
      </c>
      <c r="B64" s="110" t="n"/>
      <c r="C64" s="110" t="n"/>
      <c r="D64" s="110" t="n"/>
      <c r="E64" s="110" t="n"/>
      <c r="F64" s="110" t="n"/>
      <c r="G64" s="110" t="n"/>
      <c r="H64" s="110" t="n"/>
      <c r="I64" s="110" t="n"/>
      <c r="J64" s="110" t="n"/>
      <c r="K64" s="111" t="n"/>
    </row>
    <row r="65" ht="33.75" customHeight="1" s="106">
      <c r="A65" s="112" t="inlineStr">
        <is>
          <t>Sauce</t>
        </is>
      </c>
      <c r="B65" s="112" t="inlineStr">
        <is>
          <t>Ingredient SKU</t>
        </is>
      </c>
      <c r="C65" s="112" t="inlineStr">
        <is>
          <t>Ingredient</t>
        </is>
      </c>
      <c r="D65" s="112" t="inlineStr">
        <is>
          <t>Batch Qty</t>
        </is>
      </c>
      <c r="E65" s="112" t="inlineStr">
        <is>
          <t>Unit</t>
        </is>
      </c>
      <c r="F65" s="112" t="inlineStr">
        <is>
          <t>Base Qty (g/ml)</t>
        </is>
      </c>
      <c r="G65" s="112" t="inlineStr">
        <is>
          <t>Usable Cost per
Base Unit</t>
        </is>
      </c>
      <c r="H65" s="112" t="inlineStr">
        <is>
          <t>Line Cost</t>
        </is>
      </c>
      <c r="I65" s="112" t="inlineStr">
        <is>
          <t>% of Batch
Cost</t>
        </is>
      </c>
      <c r="J65" s="112" t="n"/>
      <c r="K65" s="112" t="inlineStr">
        <is>
          <t>Specification</t>
        </is>
      </c>
    </row>
    <row r="66" ht="15" customHeight="1" s="106">
      <c r="A66" s="163" t="inlineStr">
        <is>
          <t>Papa's Bolognese</t>
        </is>
      </c>
      <c r="B66" s="134" t="inlineStr">
        <is>
          <t>PP-BEEF-MINCE</t>
        </is>
      </c>
      <c r="C66" s="113" t="inlineStr">
        <is>
          <t>Beef mince (halaal)</t>
        </is>
      </c>
      <c r="D66" s="174" t="n">
        <v>6000</v>
      </c>
      <c r="E66" s="164" t="inlineStr">
        <is>
          <t>g</t>
        </is>
      </c>
      <c r="F66" s="157">
        <f>$D66</f>
        <v/>
      </c>
      <c r="G66" s="150">
        <f>IFERROR(INDEX('04 SKU Master'!$AM$5:$AM$165,MATCH($B66,'04 SKU Master'!$A$5:$A$165,0)),"")</f>
        <v/>
      </c>
      <c r="H66" s="150">
        <f>IF(OR($G66="",$F66=""),"",$G66*$F66)</f>
        <v/>
      </c>
      <c r="I66" s="153">
        <f>IF(OR($H66="",SUM($H$66:$H$77)=0),"",$H66/SUM($H$66:$H$77))</f>
        <v/>
      </c>
      <c r="J66" s="175" t="n"/>
      <c r="K66" s="116" t="inlineStr">
        <is>
          <t>Cooking loss on braise; confirm on prep test</t>
        </is>
      </c>
    </row>
    <row r="67" ht="15" customHeight="1" s="106">
      <c r="A67" s="163" t="inlineStr">
        <is>
          <t>Papa's Bolognese</t>
        </is>
      </c>
      <c r="B67" s="134" t="inlineStr">
        <is>
          <t>PP-BEEF-CHUNK</t>
        </is>
      </c>
      <c r="C67" s="113" t="inlineStr">
        <is>
          <t>Beef chunks, finely diced</t>
        </is>
      </c>
      <c r="D67" s="174" t="n">
        <v>1500</v>
      </c>
      <c r="E67" s="164" t="inlineStr">
        <is>
          <t>g</t>
        </is>
      </c>
      <c r="F67" s="157">
        <f>$D67</f>
        <v/>
      </c>
      <c r="G67" s="150">
        <f>IFERROR(INDEX('04 SKU Master'!$AM$5:$AM$165,MATCH($B67,'04 SKU Master'!$A$5:$A$165,0)),"")</f>
        <v/>
      </c>
      <c r="H67" s="150">
        <f>IF(OR($G67="",$F67=""),"",$G67*$F67)</f>
        <v/>
      </c>
      <c r="I67" s="153">
        <f>IF(OR($H67="",SUM($H$66:$H$77)=0),"",$H67/SUM($H$66:$H$77))</f>
        <v/>
      </c>
      <c r="J67" s="175" t="n"/>
      <c r="K67" s="116" t="inlineStr">
        <is>
          <t>Ragu texture layer</t>
        </is>
      </c>
    </row>
    <row r="68" ht="15" customHeight="1" s="106">
      <c r="A68" s="163" t="inlineStr">
        <is>
          <t>Papa's Bolognese</t>
        </is>
      </c>
      <c r="B68" s="134" t="inlineStr">
        <is>
          <t>PP-TOM-PLUM</t>
        </is>
      </c>
      <c r="C68" s="113" t="inlineStr">
        <is>
          <t>Plum tomatoes</t>
        </is>
      </c>
      <c r="D68" s="174" t="n">
        <v>6500</v>
      </c>
      <c r="E68" s="164" t="inlineStr">
        <is>
          <t>g</t>
        </is>
      </c>
      <c r="F68" s="157">
        <f>$D68</f>
        <v/>
      </c>
      <c r="G68" s="150">
        <f>IFERROR(INDEX('04 SKU Master'!$AM$5:$AM$165,MATCH($B68,'04 SKU Master'!$A$5:$A$165,0)),"")</f>
        <v/>
      </c>
      <c r="H68" s="150">
        <f>IF(OR($G68="",$F68=""),"",$G68*$F68)</f>
        <v/>
      </c>
      <c r="I68" s="153">
        <f>IF(OR($H68="",SUM($H$66:$H$77)=0),"",$H68/SUM($H$66:$H$77))</f>
        <v/>
      </c>
      <c r="J68" s="175" t="n"/>
      <c r="K68" s="116" t="inlineStr">
        <is>
          <t>Napoletana / Bolognese / Arrabbiata base</t>
        </is>
      </c>
    </row>
    <row r="69" ht="15" customHeight="1" s="106">
      <c r="A69" s="163" t="inlineStr">
        <is>
          <t>Papa's Bolognese</t>
        </is>
      </c>
      <c r="B69" s="134" t="inlineStr">
        <is>
          <t>PP-TOM-PASTE</t>
        </is>
      </c>
      <c r="C69" s="113" t="inlineStr">
        <is>
          <t>Tomato paste (depth, no wine)</t>
        </is>
      </c>
      <c r="D69" s="174" t="n">
        <v>800</v>
      </c>
      <c r="E69" s="164" t="inlineStr">
        <is>
          <t>g</t>
        </is>
      </c>
      <c r="F69" s="157">
        <f>$D69</f>
        <v/>
      </c>
      <c r="G69" s="150">
        <f>IFERROR(INDEX('04 SKU Master'!$AM$5:$AM$165,MATCH($B69,'04 SKU Master'!$A$5:$A$165,0)),"")</f>
        <v/>
      </c>
      <c r="H69" s="150">
        <f>IF(OR($G69="",$F69=""),"",$G69*$F69)</f>
        <v/>
      </c>
      <c r="I69" s="153">
        <f>IF(OR($H69="",SUM($H$66:$H$77)=0),"",$H69/SUM($H$66:$H$77))</f>
        <v/>
      </c>
      <c r="J69" s="175" t="n"/>
      <c r="K69" s="116" t="inlineStr">
        <is>
          <t>Depth without wine (alcohol-free build)</t>
        </is>
      </c>
    </row>
    <row r="70" ht="15" customHeight="1" s="106">
      <c r="A70" s="163" t="inlineStr">
        <is>
          <t>Papa's Bolognese</t>
        </is>
      </c>
      <c r="B70" s="134" t="inlineStr">
        <is>
          <t>PP-ONION</t>
        </is>
      </c>
      <c r="C70" s="113" t="inlineStr">
        <is>
          <t>Onion (soffritto)</t>
        </is>
      </c>
      <c r="D70" s="174" t="n">
        <v>1400</v>
      </c>
      <c r="E70" s="164" t="inlineStr">
        <is>
          <t>g</t>
        </is>
      </c>
      <c r="F70" s="157">
        <f>$D70</f>
        <v/>
      </c>
      <c r="G70" s="150">
        <f>IFERROR(INDEX('04 SKU Master'!$AM$5:$AM$165,MATCH($B70,'04 SKU Master'!$A$5:$A$165,0)),"")</f>
        <v/>
      </c>
      <c r="H70" s="150">
        <f>IF(OR($G70="",$F70=""),"",$G70*$F70)</f>
        <v/>
      </c>
      <c r="I70" s="153">
        <f>IF(OR($H70="",SUM($H$66:$H$77)=0),"",$H70/SUM($H$66:$H$77))</f>
        <v/>
      </c>
      <c r="J70" s="175" t="n"/>
      <c r="K70" s="116" t="inlineStr">
        <is>
          <t>Soffritto base</t>
        </is>
      </c>
    </row>
    <row r="71" ht="15" customHeight="1" s="106">
      <c r="A71" s="163" t="inlineStr">
        <is>
          <t>Papa's Bolognese</t>
        </is>
      </c>
      <c r="B71" s="134" t="inlineStr">
        <is>
          <t>PP-GARLIC</t>
        </is>
      </c>
      <c r="C71" s="113" t="inlineStr">
        <is>
          <t>Garlic</t>
        </is>
      </c>
      <c r="D71" s="174" t="n">
        <v>250</v>
      </c>
      <c r="E71" s="164" t="inlineStr">
        <is>
          <t>g</t>
        </is>
      </c>
      <c r="F71" s="157">
        <f>$D71</f>
        <v/>
      </c>
      <c r="G71" s="150">
        <f>IFERROR(INDEX('04 SKU Master'!$AM$5:$AM$165,MATCH($B71,'04 SKU Master'!$A$5:$A$165,0)),"")</f>
        <v/>
      </c>
      <c r="H71" s="150">
        <f>IF(OR($G71="",$F71=""),"",$G71*$F71)</f>
        <v/>
      </c>
      <c r="I71" s="153">
        <f>IF(OR($H71="",SUM($H$66:$H$77)=0),"",$H71/SUM($H$66:$H$77))</f>
        <v/>
      </c>
      <c r="J71" s="175" t="n"/>
      <c r="K71" s="116" t="inlineStr">
        <is>
          <t>Every sauce</t>
        </is>
      </c>
    </row>
    <row r="72" ht="15" customHeight="1" s="106">
      <c r="A72" s="163" t="inlineStr">
        <is>
          <t>Papa's Bolognese</t>
        </is>
      </c>
      <c r="B72" s="134" t="inlineStr">
        <is>
          <t>PP-VEG-CARROT</t>
        </is>
      </c>
      <c r="C72" s="113" t="inlineStr">
        <is>
          <t>Carrot (soffritto)</t>
        </is>
      </c>
      <c r="D72" s="174" t="n">
        <v>800</v>
      </c>
      <c r="E72" s="164" t="inlineStr">
        <is>
          <t>g</t>
        </is>
      </c>
      <c r="F72" s="157">
        <f>$D72</f>
        <v/>
      </c>
      <c r="G72" s="150">
        <f>IFERROR(INDEX('04 SKU Master'!$AM$5:$AM$165,MATCH($B72,'04 SKU Master'!$A$5:$A$165,0)),"")</f>
        <v/>
      </c>
      <c r="H72" s="150">
        <f>IF(OR($G72="",$F72=""),"",$G72*$F72)</f>
        <v/>
      </c>
      <c r="I72" s="153">
        <f>IF(OR($H72="",SUM($H$66:$H$77)=0),"",$H72/SUM($H$66:$H$77))</f>
        <v/>
      </c>
      <c r="J72" s="175" t="n"/>
      <c r="K72" s="116" t="inlineStr">
        <is>
          <t>Soffritto base</t>
        </is>
      </c>
    </row>
    <row r="73" ht="15" customHeight="1" s="106">
      <c r="A73" s="163" t="inlineStr">
        <is>
          <t>Papa's Bolognese</t>
        </is>
      </c>
      <c r="B73" s="134" t="inlineStr">
        <is>
          <t>PP-CELERY</t>
        </is>
      </c>
      <c r="C73" s="113" t="inlineStr">
        <is>
          <t>Celery (soffritto)</t>
        </is>
      </c>
      <c r="D73" s="174" t="n">
        <v>500</v>
      </c>
      <c r="E73" s="164" t="inlineStr">
        <is>
          <t>g</t>
        </is>
      </c>
      <c r="F73" s="157">
        <f>$D73</f>
        <v/>
      </c>
      <c r="G73" s="150">
        <f>IFERROR(INDEX('04 SKU Master'!$AM$5:$AM$165,MATCH($B73,'04 SKU Master'!$A$5:$A$165,0)),"")</f>
        <v/>
      </c>
      <c r="H73" s="150">
        <f>IF(OR($G73="",$F73=""),"",$G73*$F73)</f>
        <v/>
      </c>
      <c r="I73" s="153">
        <f>IF(OR($H73="",SUM($H$66:$H$77)=0),"",$H73/SUM($H$66:$H$77))</f>
        <v/>
      </c>
      <c r="J73" s="175" t="n"/>
      <c r="K73" s="116" t="inlineStr">
        <is>
          <t>Soffritto base</t>
        </is>
      </c>
    </row>
    <row r="74" ht="15" customHeight="1" s="106">
      <c r="A74" s="163" t="inlineStr">
        <is>
          <t>Papa's Bolognese</t>
        </is>
      </c>
      <c r="B74" s="134" t="inlineStr">
        <is>
          <t>PP-OIL</t>
        </is>
      </c>
      <c r="C74" s="113" t="inlineStr">
        <is>
          <t>Cooking oil</t>
        </is>
      </c>
      <c r="D74" s="174" t="n">
        <v>600</v>
      </c>
      <c r="E74" s="164" t="inlineStr">
        <is>
          <t>ml</t>
        </is>
      </c>
      <c r="F74" s="157">
        <f>$D74</f>
        <v/>
      </c>
      <c r="G74" s="150">
        <f>IFERROR(INDEX('04 SKU Master'!$AM$5:$AM$165,MATCH($B74,'04 SKU Master'!$A$5:$A$165,0)),"")</f>
        <v/>
      </c>
      <c r="H74" s="150">
        <f>IF(OR($G74="",$F74=""),"",$G74*$F74)</f>
        <v/>
      </c>
      <c r="I74" s="153">
        <f>IF(OR($H74="",SUM($H$66:$H$77)=0),"",$H74/SUM($H$66:$H$77))</f>
        <v/>
      </c>
      <c r="J74" s="175" t="n"/>
      <c r="K74" s="116" t="inlineStr">
        <is>
          <t>Commissary soffritto base</t>
        </is>
      </c>
    </row>
    <row r="75" ht="15" customHeight="1" s="106">
      <c r="A75" s="163" t="inlineStr">
        <is>
          <t>Papa's Bolognese</t>
        </is>
      </c>
      <c r="B75" s="134" t="inlineStr">
        <is>
          <t>PP-STOCK-BEEF</t>
        </is>
      </c>
      <c r="C75" s="113" t="inlineStr">
        <is>
          <t>Beef stock (halaal)</t>
        </is>
      </c>
      <c r="D75" s="174" t="n">
        <v>1400</v>
      </c>
      <c r="E75" s="164" t="inlineStr">
        <is>
          <t>ml</t>
        </is>
      </c>
      <c r="F75" s="157">
        <f>$D75</f>
        <v/>
      </c>
      <c r="G75" s="150">
        <f>IFERROR(INDEX('04 SKU Master'!$AM$5:$AM$165,MATCH($B75,'04 SKU Master'!$A$5:$A$165,0)),"")</f>
        <v/>
      </c>
      <c r="H75" s="150">
        <f>IF(OR($G75="",$F75=""),"",$G75*$F75)</f>
        <v/>
      </c>
      <c r="I75" s="153">
        <f>IF(OR($H75="",SUM($H$66:$H$77)=0),"",$H75/SUM($H$66:$H$77))</f>
        <v/>
      </c>
      <c r="J75" s="175" t="n"/>
      <c r="K75" s="116" t="inlineStr">
        <is>
          <t>Halaal-certified</t>
        </is>
      </c>
    </row>
    <row r="76" ht="15" customHeight="1" s="106">
      <c r="A76" s="163" t="inlineStr">
        <is>
          <t>Papa's Bolognese</t>
        </is>
      </c>
      <c r="B76" s="134" t="inlineStr">
        <is>
          <t>PP-SALT</t>
        </is>
      </c>
      <c r="C76" s="113" t="inlineStr">
        <is>
          <t>Salt</t>
        </is>
      </c>
      <c r="D76" s="174" t="n">
        <v>150</v>
      </c>
      <c r="E76" s="164" t="inlineStr">
        <is>
          <t>g</t>
        </is>
      </c>
      <c r="F76" s="157">
        <f>$D76</f>
        <v/>
      </c>
      <c r="G76" s="150">
        <f>IFERROR(INDEX('04 SKU Master'!$AM$5:$AM$165,MATCH($B76,'04 SKU Master'!$A$5:$A$165,0)),"")</f>
        <v/>
      </c>
      <c r="H76" s="150">
        <f>IF(OR($G76="",$F76=""),"",$G76*$F76)</f>
        <v/>
      </c>
      <c r="I76" s="153">
        <f>IF(OR($H76="",SUM($H$66:$H$77)=0),"",$H76/SUM($H$66:$H$77))</f>
        <v/>
      </c>
      <c r="J76" s="175" t="n"/>
      <c r="K76" s="116" t="inlineStr">
        <is>
          <t>Optional/recommended at 1-1.5% of dry weight</t>
        </is>
      </c>
    </row>
    <row r="77" ht="15" customHeight="1" s="106">
      <c r="A77" s="163" t="inlineStr">
        <is>
          <t>Papa's Bolognese</t>
        </is>
      </c>
      <c r="B77" s="134" t="inlineStr">
        <is>
          <t>PP-HERB-BASIL-DRY</t>
        </is>
      </c>
      <c r="C77" s="113" t="inlineStr">
        <is>
          <t>Dried herbs</t>
        </is>
      </c>
      <c r="D77" s="174" t="n">
        <v>100</v>
      </c>
      <c r="E77" s="164" t="inlineStr">
        <is>
          <t>g</t>
        </is>
      </c>
      <c r="F77" s="157">
        <f>$D77</f>
        <v/>
      </c>
      <c r="G77" s="150">
        <f>IFERROR(INDEX('04 SKU Master'!$AM$5:$AM$165,MATCH($B77,'04 SKU Master'!$A$5:$A$165,0)),"")</f>
        <v/>
      </c>
      <c r="H77" s="150">
        <f>IF(OR($G77="",$F77=""),"",$G77*$F77)</f>
        <v/>
      </c>
      <c r="I77" s="153">
        <f>IF(OR($H77="",SUM($H$66:$H$77)=0),"",$H77/SUM($H$66:$H$77))</f>
        <v/>
      </c>
      <c r="J77" s="175" t="n"/>
      <c r="K77" s="116" t="inlineStr">
        <is>
          <t>Commissary sauce bases</t>
        </is>
      </c>
    </row>
    <row r="79" ht="15" customHeight="1" s="106">
      <c r="B79" s="113" t="inlineStr">
        <is>
          <t>Batch net weight (g)</t>
        </is>
      </c>
      <c r="C79" s="111" t="n"/>
      <c r="D79" s="157">
        <f>SUM($F$66:$F$77)</f>
        <v/>
      </c>
    </row>
    <row r="80" ht="15" customHeight="1" s="106">
      <c r="B80" s="113" t="inlineStr">
        <is>
          <t>Lines still unpriced</t>
        </is>
      </c>
      <c r="C80" s="111" t="n"/>
      <c r="D80" s="157">
        <f>COUNTA($B$66:$B$77)-COUNT($H$66:$H$77)</f>
        <v/>
      </c>
    </row>
    <row r="81" ht="15" customHeight="1" s="106">
      <c r="B81" s="113" t="inlineStr">
        <is>
          <t>Batch cost of priced lines (partial)</t>
        </is>
      </c>
      <c r="C81" s="111" t="n"/>
      <c r="D81" s="150">
        <f>IF(COUNT($H$66:$H$77)=0,"",SUM($H$66:$H$77))</f>
        <v/>
      </c>
    </row>
    <row r="82" ht="15" customHeight="1" s="106">
      <c r="B82" s="113" t="inlineStr">
        <is>
          <t>Batch ingredient cost</t>
        </is>
      </c>
      <c r="C82" s="111" t="n"/>
      <c r="D82" s="150">
        <f>IF($D$80&gt;0,"",SUM($H$66:$H$77))</f>
        <v/>
      </c>
    </row>
    <row r="83" ht="15" customHeight="1" s="106">
      <c r="B83" s="113" t="inlineStr">
        <is>
          <t>Ingredient cost per kg</t>
        </is>
      </c>
      <c r="C83" s="111" t="n"/>
      <c r="D83" s="150">
        <f>IF(OR($D$82="",$D$79=0),"",$D$82/($D$79/1000))</f>
        <v/>
      </c>
    </row>
    <row r="84" ht="15" customHeight="1" s="106">
      <c r="B84" s="113" t="inlineStr">
        <is>
          <t xml:space="preserve">  add: CK labour &amp; energy per kg</t>
        </is>
      </c>
      <c r="C84" s="111" t="n"/>
      <c r="D84" s="150">
        <f>'01 Control'!$C$13</f>
        <v/>
      </c>
    </row>
    <row r="85" ht="15" customHeight="1" s="106">
      <c r="B85" s="113" t="inlineStr">
        <is>
          <t xml:space="preserve">  add: CK overhead &amp; distribution per kg</t>
        </is>
      </c>
      <c r="C85" s="111" t="n"/>
      <c r="D85" s="150">
        <f>'01 Control'!$C$14</f>
        <v/>
      </c>
    </row>
    <row r="86" ht="15" customHeight="1" s="106">
      <c r="B86" s="134" t="inlineStr">
        <is>
          <t>Pouch size (kg)</t>
        </is>
      </c>
      <c r="C86" s="111" t="n"/>
      <c r="D86" s="173" t="n">
        <v>2</v>
      </c>
    </row>
    <row r="87" ht="15" customHeight="1" s="106">
      <c r="B87" s="113" t="inlineStr">
        <is>
          <t xml:space="preserve">  add: Pouch, label &amp; carton per kg</t>
        </is>
      </c>
      <c r="C87" s="111" t="n"/>
      <c r="D87" s="150">
        <f>IFERROR((INDEX('05 Packaging Master'!$AM$5:$AM$50,MATCH("PP-PACK-CK-POUCH",'05 Packaging Master'!$A$5:$A$50,0))+INDEX('05 Packaging Master'!$AM$5:$AM$50,MATCH("PP-PACK-CK-LABEL",'05 Packaging Master'!$A$5:$A$50,0))+INDEX('05 Packaging Master'!$AM$5:$AM$50,MATCH("PP-PACK-CK-CARTON",'05 Packaging Master'!$A$5:$A$50,0))/6)/$D$86,0)</f>
        <v/>
      </c>
    </row>
    <row r="88" ht="15" customHeight="1" s="106">
      <c r="B88" s="134" t="inlineStr">
        <is>
          <t>CK TOTAL COST per kg</t>
        </is>
      </c>
      <c r="C88" s="111" t="n"/>
      <c r="D88" s="151">
        <f>IF($D$83="","",$D$83+$D$84+$D$85+$D$87)</f>
        <v/>
      </c>
    </row>
    <row r="89" ht="15" customHeight="1" s="106">
      <c r="B89" s="113" t="inlineStr">
        <is>
          <t>CK margin to franchisee</t>
        </is>
      </c>
      <c r="C89" s="111" t="n"/>
      <c r="D89" s="166">
        <f>'01 Control'!$C$15</f>
        <v/>
      </c>
    </row>
    <row r="90" ht="15" customHeight="1" s="106">
      <c r="B90" s="134" t="inlineStr">
        <is>
          <t>TRANSFER PRICE per kg</t>
        </is>
      </c>
      <c r="C90" s="111" t="n"/>
      <c r="D90" s="151">
        <f>IF($D$88="","",$D$88*(1+$D$89))</f>
        <v/>
      </c>
    </row>
    <row r="91" ht="15" customHeight="1" s="106">
      <c r="B91" s="134" t="inlineStr">
        <is>
          <t>Store portion (g)</t>
        </is>
      </c>
      <c r="C91" s="111" t="n"/>
      <c r="D91" s="168" t="n">
        <v>170</v>
      </c>
    </row>
    <row r="92" ht="15" customHeight="1" s="106">
      <c r="B92" s="134" t="inlineStr">
        <is>
          <t>SERVICE METHOD</t>
        </is>
      </c>
      <c r="C92" s="111" t="n"/>
      <c r="D92" s="171" t="inlineStr">
        <is>
          <t>WARMER</t>
        </is>
      </c>
      <c r="E92" s="172" t="inlineStr">
        <is>
          <t>A braise. Long, gentle holding is how ragu is supposed to be served.</t>
        </is>
      </c>
    </row>
    <row r="93" ht="15" customHeight="1" s="106">
      <c r="B93" s="134" t="inlineStr">
        <is>
          <t>MAKE POINT</t>
        </is>
      </c>
      <c r="C93" s="111" t="n"/>
      <c r="D93" s="171" t="inlineStr">
        <is>
          <t>CENTRAL KITCHEN</t>
        </is>
      </c>
    </row>
    <row r="94" ht="15" customHeight="1" s="106">
      <c r="B94" s="134" t="inlineStr">
        <is>
          <t>In-store labour minutes per batch</t>
        </is>
      </c>
      <c r="C94" s="111" t="n"/>
      <c r="D94" s="168" t="n">
        <v>150</v>
      </c>
    </row>
    <row r="95" ht="15" customHeight="1" s="106">
      <c r="B95" s="134" t="inlineStr">
        <is>
          <t>In-store energy kWh per batch</t>
        </is>
      </c>
      <c r="C95" s="111" t="n"/>
      <c r="D95" s="173" t="n">
        <v>20</v>
      </c>
    </row>
    <row r="96" ht="15" customHeight="1" s="106">
      <c r="B96" s="113" t="inlineStr">
        <is>
          <t>In-store labour cost per batch</t>
        </is>
      </c>
      <c r="C96" s="111" t="n"/>
      <c r="D96" s="150">
        <f>$D$94/60*'01 Control'!$C$24</f>
        <v/>
      </c>
    </row>
    <row r="97" ht="15" customHeight="1" s="106">
      <c r="B97" s="113" t="inlineStr">
        <is>
          <t>In-store energy cost per batch</t>
        </is>
      </c>
      <c r="C97" s="111" t="n"/>
      <c r="D97" s="150">
        <f>$D$95*'01 Control'!$C$25</f>
        <v/>
      </c>
    </row>
    <row r="98" ht="15" customHeight="1" s="106">
      <c r="B98" s="113" t="inlineStr">
        <is>
          <t>IN-STORE batch cost</t>
        </is>
      </c>
      <c r="C98" s="111" t="n"/>
      <c r="D98" s="150">
        <f>IF($D$82="","",$D$82+$D$96+$D$97)</f>
        <v/>
      </c>
    </row>
    <row r="99" ht="15" customHeight="1" s="106">
      <c r="B99" s="113" t="inlineStr">
        <is>
          <t>IN-STORE cost per kg</t>
        </is>
      </c>
      <c r="C99" s="111" t="n"/>
      <c r="D99" s="150">
        <f>IF(OR($D$98="",$D$79=0),"",$D$98/($D$79/1000))</f>
        <v/>
      </c>
    </row>
    <row r="100" ht="15" customHeight="1" s="106">
      <c r="B100" s="113" t="inlineStr">
        <is>
          <t>IN-STORE cost per portion</t>
        </is>
      </c>
      <c r="C100" s="111" t="n"/>
      <c r="D100" s="150">
        <f>IF($D$99="","",$D$99/1000*$D$91)</f>
        <v/>
      </c>
    </row>
    <row r="101" ht="15" customHeight="1" s="106">
      <c r="B101" s="113" t="inlineStr">
        <is>
          <t>CK cost per portion</t>
        </is>
      </c>
      <c r="C101" s="111" t="n"/>
      <c r="D101" s="150">
        <f>IF($D$88="","",$D$88/1000*$D$91)</f>
        <v/>
      </c>
    </row>
    <row r="102" ht="15" customHeight="1" s="106">
      <c r="B102" s="113" t="inlineStr">
        <is>
          <t>CK TRANSFER PRICE per portion</t>
        </is>
      </c>
      <c r="C102" s="111" t="n"/>
      <c r="D102" s="150">
        <f>IF($D$90="","",$D$90/1000*$D$91)</f>
        <v/>
      </c>
    </row>
    <row r="103" ht="15" customHeight="1" s="106">
      <c r="B103" s="134" t="inlineStr">
        <is>
          <t>FRANCHISEE COST PER PORTION</t>
        </is>
      </c>
      <c r="C103" s="111" t="n"/>
      <c r="D103" s="151">
        <f>IF($D$93="IN-STORE",$D$100,$D$102)</f>
        <v/>
      </c>
    </row>
    <row r="104" ht="15" customHeight="1" s="106">
      <c r="B104" s="134" t="inlineStr">
        <is>
          <t>Franchisee cost per gram (live)</t>
        </is>
      </c>
      <c r="C104" s="111" t="n"/>
      <c r="D104" s="151">
        <f>IF(OR($D$103="",$D$91=0),"",$D$103/$D$91)</f>
        <v/>
      </c>
    </row>
    <row r="105" ht="15" customHeight="1" s="106">
      <c r="B105" s="113" t="inlineStr">
        <is>
          <t>In-store vs CK, per portion</t>
        </is>
      </c>
      <c r="C105" s="111" t="n"/>
      <c r="D105" s="150">
        <f>IF(OR($D$100="",$D$102=""),"",$D$100-$D$102)</f>
        <v/>
      </c>
    </row>
    <row r="106" ht="15" customHeight="1" s="106">
      <c r="B106" s="113" t="inlineStr">
        <is>
          <t>CK margin earned per portion</t>
        </is>
      </c>
      <c r="C106" s="111" t="n"/>
      <c r="D106" s="150">
        <f>IF(OR($D$93&lt;&gt;"CENTRAL KITCHEN",$D$102=""),0,$D$102-$D$101)</f>
        <v/>
      </c>
    </row>
    <row r="107" ht="15" customHeight="1" s="106">
      <c r="B107" s="113" t="inlineStr">
        <is>
          <t>Portions per batch</t>
        </is>
      </c>
      <c r="C107" s="111" t="n"/>
      <c r="D107" s="157">
        <f>$D$79/$D$91</f>
        <v/>
      </c>
    </row>
    <row r="108" ht="15" customHeight="1" s="106">
      <c r="B108" s="113" t="inlineStr">
        <is>
          <t>Pouches per batch</t>
        </is>
      </c>
      <c r="C108" s="111" t="n"/>
      <c r="D108" s="165">
        <f>$D$79/1000/$D$86</f>
        <v/>
      </c>
    </row>
    <row r="109" ht="15" customHeight="1" s="106">
      <c r="B109" s="113" t="inlineStr">
        <is>
          <t>Portions per pouch (= one day-part)</t>
        </is>
      </c>
      <c r="C109" s="111" t="n"/>
      <c r="D109" s="157">
        <f>$D$86*1000/$D$91</f>
        <v/>
      </c>
    </row>
    <row r="110" ht="15" customHeight="1" s="106">
      <c r="B110" s="113" t="inlineStr">
        <is>
          <t>Thawed shelf life (hours)</t>
        </is>
      </c>
      <c r="C110" s="111" t="n"/>
      <c r="D110" s="157">
        <f>'01 Control'!$C$22</f>
        <v/>
      </c>
    </row>
    <row r="113" ht="15" customHeight="1" s="106">
      <c r="A113" s="109" t="inlineStr">
        <is>
          <t>Creamy Alfredo   |   PP-SAUCE-ALF   |   Stabilised parmesan-garlic cream base, engineered to reheat without splitting.</t>
        </is>
      </c>
      <c r="B113" s="110" t="n"/>
      <c r="C113" s="110" t="n"/>
      <c r="D113" s="110" t="n"/>
      <c r="E113" s="110" t="n"/>
      <c r="F113" s="110" t="n"/>
      <c r="G113" s="110" t="n"/>
      <c r="H113" s="110" t="n"/>
      <c r="I113" s="110" t="n"/>
      <c r="J113" s="110" t="n"/>
      <c r="K113" s="111" t="n"/>
    </row>
    <row r="114" ht="33.75" customHeight="1" s="106">
      <c r="A114" s="112" t="inlineStr">
        <is>
          <t>Sauce</t>
        </is>
      </c>
      <c r="B114" s="112" t="inlineStr">
        <is>
          <t>Ingredient SKU</t>
        </is>
      </c>
      <c r="C114" s="112" t="inlineStr">
        <is>
          <t>Ingredient</t>
        </is>
      </c>
      <c r="D114" s="112" t="inlineStr">
        <is>
          <t>Batch Qty</t>
        </is>
      </c>
      <c r="E114" s="112" t="inlineStr">
        <is>
          <t>Unit</t>
        </is>
      </c>
      <c r="F114" s="112" t="inlineStr">
        <is>
          <t>Base Qty (g/ml)</t>
        </is>
      </c>
      <c r="G114" s="112" t="inlineStr">
        <is>
          <t>Usable Cost per
Base Unit</t>
        </is>
      </c>
      <c r="H114" s="112" t="inlineStr">
        <is>
          <t>Line Cost</t>
        </is>
      </c>
      <c r="I114" s="112" t="inlineStr">
        <is>
          <t>% of Batch
Cost</t>
        </is>
      </c>
      <c r="J114" s="112" t="n"/>
      <c r="K114" s="112" t="inlineStr">
        <is>
          <t>Specification</t>
        </is>
      </c>
    </row>
    <row r="115" ht="15" customHeight="1" s="106">
      <c r="A115" s="163" t="inlineStr">
        <is>
          <t>Creamy Alfredo</t>
        </is>
      </c>
      <c r="B115" s="134" t="inlineStr">
        <is>
          <t>PP-CREAM</t>
        </is>
      </c>
      <c r="C115" s="113" t="inlineStr">
        <is>
          <t>Fresh cream</t>
        </is>
      </c>
      <c r="D115" s="174" t="n">
        <v>13000</v>
      </c>
      <c r="E115" s="164" t="inlineStr">
        <is>
          <t>ml</t>
        </is>
      </c>
      <c r="F115" s="157">
        <f>$D115</f>
        <v/>
      </c>
      <c r="G115" s="150">
        <f>IFERROR(INDEX('04 SKU Master'!$AM$5:$AM$165,MATCH($B115,'04 SKU Master'!$A$5:$A$165,0)),"")</f>
        <v/>
      </c>
      <c r="H115" s="150">
        <f>IF(OR($G115="",$F115=""),"",$G115*$F115)</f>
        <v/>
      </c>
      <c r="I115" s="153">
        <f>IF(OR($H115="",SUM($H$115:$H$121)=0),"",$H115/SUM($H$115:$H$121))</f>
        <v/>
      </c>
      <c r="J115" s="175" t="n"/>
      <c r="K115" s="116" t="inlineStr">
        <is>
          <t>Cream sauce bases</t>
        </is>
      </c>
    </row>
    <row r="116" ht="15" customHeight="1" s="106">
      <c r="A116" s="163" t="inlineStr">
        <is>
          <t>Creamy Alfredo</t>
        </is>
      </c>
      <c r="B116" s="134" t="inlineStr">
        <is>
          <t>PP-BUTTER</t>
        </is>
      </c>
      <c r="C116" s="113" t="inlineStr">
        <is>
          <t>Butter</t>
        </is>
      </c>
      <c r="D116" s="174" t="n">
        <v>1800</v>
      </c>
      <c r="E116" s="164" t="inlineStr">
        <is>
          <t>g</t>
        </is>
      </c>
      <c r="F116" s="157">
        <f>$D116</f>
        <v/>
      </c>
      <c r="G116" s="150">
        <f>IFERROR(INDEX('04 SKU Master'!$AM$5:$AM$165,MATCH($B116,'04 SKU Master'!$A$5:$A$165,0)),"")</f>
        <v/>
      </c>
      <c r="H116" s="150">
        <f>IF(OR($G116="",$F116=""),"",$G116*$F116)</f>
        <v/>
      </c>
      <c r="I116" s="153">
        <f>IF(OR($H116="",SUM($H$115:$H$121)=0),"",$H116/SUM($H$115:$H$121))</f>
        <v/>
      </c>
      <c r="J116" s="175" t="n"/>
      <c r="K116" s="116" t="inlineStr">
        <is>
          <t>Cream sauce bases</t>
        </is>
      </c>
    </row>
    <row r="117" ht="15" customHeight="1" s="106">
      <c r="A117" s="163" t="inlineStr">
        <is>
          <t>Creamy Alfredo</t>
        </is>
      </c>
      <c r="B117" s="134" t="inlineStr">
        <is>
          <t>PP-PARM</t>
        </is>
      </c>
      <c r="C117" s="113" t="inlineStr">
        <is>
          <t>Parmesan, grated</t>
        </is>
      </c>
      <c r="D117" s="174" t="n">
        <v>2600</v>
      </c>
      <c r="E117" s="164" t="inlineStr">
        <is>
          <t>g</t>
        </is>
      </c>
      <c r="F117" s="157">
        <f>$D117</f>
        <v/>
      </c>
      <c r="G117" s="150">
        <f>IFERROR(INDEX('04 SKU Master'!$AM$5:$AM$165,MATCH($B117,'04 SKU Master'!$A$5:$A$165,0)),"")</f>
        <v/>
      </c>
      <c r="H117" s="150">
        <f>IF(OR($G117="",$F117=""),"",$G117*$F117)</f>
        <v/>
      </c>
      <c r="I117" s="153">
        <f>IF(OR($H117="",SUM($H$115:$H$121)=0),"",$H117/SUM($H$115:$H$121))</f>
        <v/>
      </c>
      <c r="J117" s="175" t="n"/>
      <c r="K117" s="116" t="inlineStr">
        <is>
          <t>HALAAL RENNET REQUIRED</t>
        </is>
      </c>
    </row>
    <row r="118" ht="15" customHeight="1" s="106">
      <c r="A118" s="163" t="inlineStr">
        <is>
          <t>Creamy Alfredo</t>
        </is>
      </c>
      <c r="B118" s="134" t="inlineStr">
        <is>
          <t>PP-GARLIC</t>
        </is>
      </c>
      <c r="C118" s="113" t="inlineStr">
        <is>
          <t>Garlic, slow-roasted</t>
        </is>
      </c>
      <c r="D118" s="174" t="n">
        <v>700</v>
      </c>
      <c r="E118" s="164" t="inlineStr">
        <is>
          <t>g</t>
        </is>
      </c>
      <c r="F118" s="157">
        <f>$D118</f>
        <v/>
      </c>
      <c r="G118" s="150">
        <f>IFERROR(INDEX('04 SKU Master'!$AM$5:$AM$165,MATCH($B118,'04 SKU Master'!$A$5:$A$165,0)),"")</f>
        <v/>
      </c>
      <c r="H118" s="150">
        <f>IF(OR($G118="",$F118=""),"",$G118*$F118)</f>
        <v/>
      </c>
      <c r="I118" s="153">
        <f>IF(OR($H118="",SUM($H$115:$H$121)=0),"",$H118/SUM($H$115:$H$121))</f>
        <v/>
      </c>
      <c r="J118" s="175" t="n"/>
      <c r="K118" s="116" t="inlineStr">
        <is>
          <t>Every sauce</t>
        </is>
      </c>
    </row>
    <row r="119" ht="15" customHeight="1" s="106">
      <c r="A119" s="163" t="inlineStr">
        <is>
          <t>Creamy Alfredo</t>
        </is>
      </c>
      <c r="B119" s="134" t="inlineStr">
        <is>
          <t>PP-STOCK-VEG</t>
        </is>
      </c>
      <c r="C119" s="113" t="inlineStr">
        <is>
          <t>Vegetable stock</t>
        </is>
      </c>
      <c r="D119" s="174" t="n">
        <v>1700</v>
      </c>
      <c r="E119" s="164" t="inlineStr">
        <is>
          <t>ml</t>
        </is>
      </c>
      <c r="F119" s="157">
        <f>$D119</f>
        <v/>
      </c>
      <c r="G119" s="150">
        <f>IFERROR(INDEX('04 SKU Master'!$AM$5:$AM$165,MATCH($B119,'04 SKU Master'!$A$5:$A$165,0)),"")</f>
        <v/>
      </c>
      <c r="H119" s="150">
        <f>IF(OR($G119="",$F119=""),"",$G119*$F119)</f>
        <v/>
      </c>
      <c r="I119" s="153">
        <f>IF(OR($H119="",SUM($H$115:$H$121)=0),"",$H119/SUM($H$115:$H$121))</f>
        <v/>
      </c>
      <c r="J119" s="175" t="n"/>
      <c r="K119" s="116" t="n"/>
    </row>
    <row r="120" ht="15" customHeight="1" s="106">
      <c r="A120" s="163" t="inlineStr">
        <is>
          <t>Creamy Alfredo</t>
        </is>
      </c>
      <c r="B120" s="134" t="inlineStr">
        <is>
          <t>PP-SALT</t>
        </is>
      </c>
      <c r="C120" s="113" t="inlineStr">
        <is>
          <t>Salt</t>
        </is>
      </c>
      <c r="D120" s="174" t="n">
        <v>120</v>
      </c>
      <c r="E120" s="164" t="inlineStr">
        <is>
          <t>g</t>
        </is>
      </c>
      <c r="F120" s="157">
        <f>$D120</f>
        <v/>
      </c>
      <c r="G120" s="150">
        <f>IFERROR(INDEX('04 SKU Master'!$AM$5:$AM$165,MATCH($B120,'04 SKU Master'!$A$5:$A$165,0)),"")</f>
        <v/>
      </c>
      <c r="H120" s="150">
        <f>IF(OR($G120="",$F120=""),"",$G120*$F120)</f>
        <v/>
      </c>
      <c r="I120" s="153">
        <f>IF(OR($H120="",SUM($H$115:$H$121)=0),"",$H120/SUM($H$115:$H$121))</f>
        <v/>
      </c>
      <c r="J120" s="175" t="n"/>
      <c r="K120" s="116" t="inlineStr">
        <is>
          <t>Optional/recommended at 1-1.5% of dry weight</t>
        </is>
      </c>
    </row>
    <row r="121" ht="15" customHeight="1" s="106">
      <c r="A121" s="163" t="inlineStr">
        <is>
          <t>Creamy Alfredo</t>
        </is>
      </c>
      <c r="B121" s="134" t="inlineStr">
        <is>
          <t>PP-PEPPER-BLACK</t>
        </is>
      </c>
      <c r="C121" s="113" t="inlineStr">
        <is>
          <t>White / black pepper</t>
        </is>
      </c>
      <c r="D121" s="174" t="n">
        <v>60</v>
      </c>
      <c r="E121" s="164" t="inlineStr">
        <is>
          <t>g</t>
        </is>
      </c>
      <c r="F121" s="157">
        <f>$D121</f>
        <v/>
      </c>
      <c r="G121" s="150">
        <f>IFERROR(INDEX('04 SKU Master'!$AM$5:$AM$165,MATCH($B121,'04 SKU Master'!$A$5:$A$165,0)),"")</f>
        <v/>
      </c>
      <c r="H121" s="150">
        <f>IF(OR($G121="",$F121=""),"",$G121*$F121)</f>
        <v/>
      </c>
      <c r="I121" s="153">
        <f>IF(OR($H121="",SUM($H$115:$H$121)=0),"",$H121/SUM($H$115:$H$121))</f>
        <v/>
      </c>
      <c r="J121" s="175" t="n"/>
      <c r="K121" s="116" t="inlineStr">
        <is>
          <t>Carbonara signature</t>
        </is>
      </c>
    </row>
    <row r="123" ht="15" customHeight="1" s="106">
      <c r="B123" s="113" t="inlineStr">
        <is>
          <t>Batch net weight (g)</t>
        </is>
      </c>
      <c r="C123" s="111" t="n"/>
      <c r="D123" s="157">
        <f>SUM($F$115:$F$121)</f>
        <v/>
      </c>
    </row>
    <row r="124" ht="15" customHeight="1" s="106">
      <c r="B124" s="113" t="inlineStr">
        <is>
          <t>Lines still unpriced</t>
        </is>
      </c>
      <c r="C124" s="111" t="n"/>
      <c r="D124" s="157">
        <f>COUNTA($B$115:$B$121)-COUNT($H$115:$H$121)</f>
        <v/>
      </c>
    </row>
    <row r="125" ht="15" customHeight="1" s="106">
      <c r="B125" s="113" t="inlineStr">
        <is>
          <t>Batch cost of priced lines (partial)</t>
        </is>
      </c>
      <c r="C125" s="111" t="n"/>
      <c r="D125" s="150">
        <f>IF(COUNT($H$115:$H$121)=0,"",SUM($H$115:$H$121))</f>
        <v/>
      </c>
    </row>
    <row r="126" ht="15" customHeight="1" s="106">
      <c r="B126" s="113" t="inlineStr">
        <is>
          <t>Batch ingredient cost</t>
        </is>
      </c>
      <c r="C126" s="111" t="n"/>
      <c r="D126" s="150">
        <f>IF($D$124&gt;0,"",SUM($H$115:$H$121))</f>
        <v/>
      </c>
    </row>
    <row r="127" ht="15" customHeight="1" s="106">
      <c r="B127" s="113" t="inlineStr">
        <is>
          <t>Ingredient cost per kg</t>
        </is>
      </c>
      <c r="C127" s="111" t="n"/>
      <c r="D127" s="150">
        <f>IF(OR($D$126="",$D$123=0),"",$D$126/($D$123/1000))</f>
        <v/>
      </c>
    </row>
    <row r="128" ht="15" customHeight="1" s="106">
      <c r="B128" s="113" t="inlineStr">
        <is>
          <t xml:space="preserve">  add: CK labour &amp; energy per kg</t>
        </is>
      </c>
      <c r="C128" s="111" t="n"/>
      <c r="D128" s="150">
        <f>'01 Control'!$C$13</f>
        <v/>
      </c>
    </row>
    <row r="129" ht="15" customHeight="1" s="106">
      <c r="B129" s="113" t="inlineStr">
        <is>
          <t xml:space="preserve">  add: CK overhead &amp; distribution per kg</t>
        </is>
      </c>
      <c r="C129" s="111" t="n"/>
      <c r="D129" s="150">
        <f>'01 Control'!$C$14</f>
        <v/>
      </c>
    </row>
    <row r="130" ht="15" customHeight="1" s="106">
      <c r="B130" s="134" t="inlineStr">
        <is>
          <t>Pouch size (kg)</t>
        </is>
      </c>
      <c r="C130" s="111" t="n"/>
      <c r="D130" s="173" t="n">
        <v>2</v>
      </c>
    </row>
    <row r="131" ht="15" customHeight="1" s="106">
      <c r="B131" s="113" t="inlineStr">
        <is>
          <t xml:space="preserve">  add: Pouch, label &amp; carton per kg</t>
        </is>
      </c>
      <c r="C131" s="111" t="n"/>
      <c r="D131" s="150">
        <f>IFERROR((INDEX('05 Packaging Master'!$AM$5:$AM$50,MATCH("PP-PACK-CK-POUCH",'05 Packaging Master'!$A$5:$A$50,0))+INDEX('05 Packaging Master'!$AM$5:$AM$50,MATCH("PP-PACK-CK-LABEL",'05 Packaging Master'!$A$5:$A$50,0))+INDEX('05 Packaging Master'!$AM$5:$AM$50,MATCH("PP-PACK-CK-CARTON",'05 Packaging Master'!$A$5:$A$50,0))/6)/$D$130,0)</f>
        <v/>
      </c>
    </row>
    <row r="132" ht="15" customHeight="1" s="106">
      <c r="B132" s="134" t="inlineStr">
        <is>
          <t>CK TOTAL COST per kg</t>
        </is>
      </c>
      <c r="C132" s="111" t="n"/>
      <c r="D132" s="151">
        <f>IF($D$127="","",$D$127+$D$128+$D$129+$D$131)</f>
        <v/>
      </c>
    </row>
    <row r="133" ht="15" customHeight="1" s="106">
      <c r="B133" s="113" t="inlineStr">
        <is>
          <t>CK margin to franchisee</t>
        </is>
      </c>
      <c r="C133" s="111" t="n"/>
      <c r="D133" s="166">
        <f>'01 Control'!$C$15</f>
        <v/>
      </c>
    </row>
    <row r="134" ht="15" customHeight="1" s="106">
      <c r="B134" s="134" t="inlineStr">
        <is>
          <t>TRANSFER PRICE per kg</t>
        </is>
      </c>
      <c r="C134" s="111" t="n"/>
      <c r="D134" s="151">
        <f>IF($D$132="","",$D$132*(1+$D$133))</f>
        <v/>
      </c>
    </row>
    <row r="135" ht="15" customHeight="1" s="106">
      <c r="B135" s="134" t="inlineStr">
        <is>
          <t>Store portion (g)</t>
        </is>
      </c>
      <c r="C135" s="111" t="n"/>
      <c r="D135" s="168" t="n">
        <v>150</v>
      </c>
    </row>
    <row r="136" ht="15" customHeight="1" s="106">
      <c r="B136" s="134" t="inlineStr">
        <is>
          <t>SERVICE METHOD</t>
        </is>
      </c>
      <c r="C136" s="111" t="n"/>
      <c r="D136" s="171" t="inlineStr">
        <is>
          <t>WARMER</t>
        </is>
      </c>
      <c r="E136" s="172" t="inlineStr">
        <is>
          <t>Only because the CK spec stabilises it to reheat without splitting. Stir every 20 min; skin it and it is gone.</t>
        </is>
      </c>
    </row>
    <row r="137" ht="15" customHeight="1" s="106">
      <c r="B137" s="134" t="inlineStr">
        <is>
          <t>MAKE POINT</t>
        </is>
      </c>
      <c r="C137" s="111" t="n"/>
      <c r="D137" s="171" t="inlineStr">
        <is>
          <t>CENTRAL KITCHEN</t>
        </is>
      </c>
    </row>
    <row r="138" ht="15" customHeight="1" s="106">
      <c r="B138" s="134" t="inlineStr">
        <is>
          <t>In-store labour minutes per batch</t>
        </is>
      </c>
      <c r="C138" s="111" t="n"/>
      <c r="D138" s="168" t="n">
        <v>80</v>
      </c>
    </row>
    <row r="139" ht="15" customHeight="1" s="106">
      <c r="B139" s="134" t="inlineStr">
        <is>
          <t>In-store energy kWh per batch</t>
        </is>
      </c>
      <c r="C139" s="111" t="n"/>
      <c r="D139" s="173" t="n">
        <v>12</v>
      </c>
    </row>
    <row r="140" ht="15" customHeight="1" s="106">
      <c r="B140" s="113" t="inlineStr">
        <is>
          <t>In-store labour cost per batch</t>
        </is>
      </c>
      <c r="C140" s="111" t="n"/>
      <c r="D140" s="150">
        <f>$D$138/60*'01 Control'!$C$24</f>
        <v/>
      </c>
    </row>
    <row r="141" ht="15" customHeight="1" s="106">
      <c r="B141" s="113" t="inlineStr">
        <is>
          <t>In-store energy cost per batch</t>
        </is>
      </c>
      <c r="C141" s="111" t="n"/>
      <c r="D141" s="150">
        <f>$D$139*'01 Control'!$C$25</f>
        <v/>
      </c>
    </row>
    <row r="142" ht="15" customHeight="1" s="106">
      <c r="B142" s="113" t="inlineStr">
        <is>
          <t>IN-STORE batch cost</t>
        </is>
      </c>
      <c r="C142" s="111" t="n"/>
      <c r="D142" s="150">
        <f>IF($D$126="","",$D$126+$D$140+$D$141)</f>
        <v/>
      </c>
    </row>
    <row r="143" ht="15" customHeight="1" s="106">
      <c r="B143" s="113" t="inlineStr">
        <is>
          <t>IN-STORE cost per kg</t>
        </is>
      </c>
      <c r="C143" s="111" t="n"/>
      <c r="D143" s="150">
        <f>IF(OR($D$142="",$D$123=0),"",$D$142/($D$123/1000))</f>
        <v/>
      </c>
    </row>
    <row r="144" ht="15" customHeight="1" s="106">
      <c r="B144" s="113" t="inlineStr">
        <is>
          <t>IN-STORE cost per portion</t>
        </is>
      </c>
      <c r="C144" s="111" t="n"/>
      <c r="D144" s="150">
        <f>IF($D$143="","",$D$143/1000*$D$135)</f>
        <v/>
      </c>
    </row>
    <row r="145" ht="15" customHeight="1" s="106">
      <c r="B145" s="113" t="inlineStr">
        <is>
          <t>CK cost per portion</t>
        </is>
      </c>
      <c r="C145" s="111" t="n"/>
      <c r="D145" s="150">
        <f>IF($D$132="","",$D$132/1000*$D$135)</f>
        <v/>
      </c>
    </row>
    <row r="146" ht="15" customHeight="1" s="106">
      <c r="B146" s="113" t="inlineStr">
        <is>
          <t>CK TRANSFER PRICE per portion</t>
        </is>
      </c>
      <c r="C146" s="111" t="n"/>
      <c r="D146" s="150">
        <f>IF($D$134="","",$D$134/1000*$D$135)</f>
        <v/>
      </c>
    </row>
    <row r="147" ht="15" customHeight="1" s="106">
      <c r="B147" s="134" t="inlineStr">
        <is>
          <t>FRANCHISEE COST PER PORTION</t>
        </is>
      </c>
      <c r="C147" s="111" t="n"/>
      <c r="D147" s="151">
        <f>IF($D$137="IN-STORE",$D$144,$D$146)</f>
        <v/>
      </c>
    </row>
    <row r="148" ht="15" customHeight="1" s="106">
      <c r="B148" s="134" t="inlineStr">
        <is>
          <t>Franchisee cost per gram (live)</t>
        </is>
      </c>
      <c r="C148" s="111" t="n"/>
      <c r="D148" s="151">
        <f>IF(OR($D$147="",$D$135=0),"",$D$147/$D$135)</f>
        <v/>
      </c>
    </row>
    <row r="149" ht="15" customHeight="1" s="106">
      <c r="B149" s="113" t="inlineStr">
        <is>
          <t>In-store vs CK, per portion</t>
        </is>
      </c>
      <c r="C149" s="111" t="n"/>
      <c r="D149" s="150">
        <f>IF(OR($D$144="",$D$146=""),"",$D$144-$D$146)</f>
        <v/>
      </c>
    </row>
    <row r="150" ht="15" customHeight="1" s="106">
      <c r="B150" s="113" t="inlineStr">
        <is>
          <t>CK margin earned per portion</t>
        </is>
      </c>
      <c r="C150" s="111" t="n"/>
      <c r="D150" s="150">
        <f>IF(OR($D$137&lt;&gt;"CENTRAL KITCHEN",$D$146=""),0,$D$146-$D$145)</f>
        <v/>
      </c>
    </row>
    <row r="151" ht="15" customHeight="1" s="106">
      <c r="B151" s="113" t="inlineStr">
        <is>
          <t>Portions per batch</t>
        </is>
      </c>
      <c r="C151" s="111" t="n"/>
      <c r="D151" s="157">
        <f>$D$123/$D$135</f>
        <v/>
      </c>
    </row>
    <row r="152" ht="15" customHeight="1" s="106">
      <c r="B152" s="113" t="inlineStr">
        <is>
          <t>Pouches per batch</t>
        </is>
      </c>
      <c r="C152" s="111" t="n"/>
      <c r="D152" s="165">
        <f>$D$123/1000/$D$130</f>
        <v/>
      </c>
    </row>
    <row r="153" ht="15" customHeight="1" s="106">
      <c r="B153" s="113" t="inlineStr">
        <is>
          <t>Portions per pouch (= one day-part)</t>
        </is>
      </c>
      <c r="C153" s="111" t="n"/>
      <c r="D153" s="157">
        <f>$D$130*1000/$D$135</f>
        <v/>
      </c>
    </row>
    <row r="154" ht="15" customHeight="1" s="106">
      <c r="B154" s="113" t="inlineStr">
        <is>
          <t>Thawed shelf life (hours)</t>
        </is>
      </c>
      <c r="C154" s="111" t="n"/>
      <c r="D154" s="157">
        <f>'01 Control'!$C$22</f>
        <v/>
      </c>
    </row>
    <row r="157" ht="15" customHeight="1" s="106">
      <c r="A157" s="109" t="inlineStr">
        <is>
          <t>Carbonara Base   |   PP-SAUCE-CAR   |   Pasteurised egg-pecorino emulsion. NO CREAM. Beef bacon added at store.</t>
        </is>
      </c>
      <c r="B157" s="110" t="n"/>
      <c r="C157" s="110" t="n"/>
      <c r="D157" s="110" t="n"/>
      <c r="E157" s="110" t="n"/>
      <c r="F157" s="110" t="n"/>
      <c r="G157" s="110" t="n"/>
      <c r="H157" s="110" t="n"/>
      <c r="I157" s="110" t="n"/>
      <c r="J157" s="110" t="n"/>
      <c r="K157" s="111" t="n"/>
    </row>
    <row r="158" ht="33.75" customHeight="1" s="106">
      <c r="A158" s="112" t="inlineStr">
        <is>
          <t>Sauce</t>
        </is>
      </c>
      <c r="B158" s="112" t="inlineStr">
        <is>
          <t>Ingredient SKU</t>
        </is>
      </c>
      <c r="C158" s="112" t="inlineStr">
        <is>
          <t>Ingredient</t>
        </is>
      </c>
      <c r="D158" s="112" t="inlineStr">
        <is>
          <t>Batch Qty</t>
        </is>
      </c>
      <c r="E158" s="112" t="inlineStr">
        <is>
          <t>Unit</t>
        </is>
      </c>
      <c r="F158" s="112" t="inlineStr">
        <is>
          <t>Base Qty (g/ml)</t>
        </is>
      </c>
      <c r="G158" s="112" t="inlineStr">
        <is>
          <t>Usable Cost per
Base Unit</t>
        </is>
      </c>
      <c r="H158" s="112" t="inlineStr">
        <is>
          <t>Line Cost</t>
        </is>
      </c>
      <c r="I158" s="112" t="inlineStr">
        <is>
          <t>% of Batch
Cost</t>
        </is>
      </c>
      <c r="J158" s="112" t="n"/>
      <c r="K158" s="112" t="inlineStr">
        <is>
          <t>Specification</t>
        </is>
      </c>
    </row>
    <row r="159" ht="15" customHeight="1" s="106">
      <c r="A159" s="163" t="inlineStr">
        <is>
          <t>Carbonara Base</t>
        </is>
      </c>
      <c r="B159" s="134" t="inlineStr">
        <is>
          <t>PP-EGG-YOLK-PAST</t>
        </is>
      </c>
      <c r="C159" s="113" t="inlineStr">
        <is>
          <t>Pasteurised egg yolk</t>
        </is>
      </c>
      <c r="D159" s="174" t="n">
        <v>9500</v>
      </c>
      <c r="E159" s="164" t="inlineStr">
        <is>
          <t>g</t>
        </is>
      </c>
      <c r="F159" s="157">
        <f>$D159</f>
        <v/>
      </c>
      <c r="G159" s="150">
        <f>IFERROR(INDEX('04 SKU Master'!$AM$5:$AM$165,MATCH($B159,'04 SKU Master'!$A$5:$A$165,0)),"")</f>
        <v/>
      </c>
      <c r="H159" s="150">
        <f>IF(OR($G159="",$F159=""),"",$G159*$F159)</f>
        <v/>
      </c>
      <c r="I159" s="153">
        <f>IF(OR($H159="",SUM($H$159:$H$164)=0),"",$H159/SUM($H$159:$H$164))</f>
        <v/>
      </c>
      <c r="J159" s="175" t="n"/>
      <c r="K159" s="116" t="inlineStr">
        <is>
          <t>Carbonara base - food-safety critical</t>
        </is>
      </c>
    </row>
    <row r="160" ht="15" customHeight="1" s="106">
      <c r="A160" s="163" t="inlineStr">
        <is>
          <t>Carbonara Base</t>
        </is>
      </c>
      <c r="B160" s="134" t="inlineStr">
        <is>
          <t>PP-PECORINO</t>
        </is>
      </c>
      <c r="C160" s="113" t="inlineStr">
        <is>
          <t>Pecorino-style hard cheese</t>
        </is>
      </c>
      <c r="D160" s="174" t="n">
        <v>6000</v>
      </c>
      <c r="E160" s="164" t="inlineStr">
        <is>
          <t>g</t>
        </is>
      </c>
      <c r="F160" s="157">
        <f>$D160</f>
        <v/>
      </c>
      <c r="G160" s="150">
        <f>IFERROR(INDEX('04 SKU Master'!$AM$5:$AM$165,MATCH($B160,'04 SKU Master'!$A$5:$A$165,0)),"")</f>
        <v/>
      </c>
      <c r="H160" s="150">
        <f>IF(OR($G160="",$F160=""),"",$G160*$F160)</f>
        <v/>
      </c>
      <c r="I160" s="153">
        <f>IF(OR($H160="",SUM($H$159:$H$164)=0),"",$H160/SUM($H$159:$H$164))</f>
        <v/>
      </c>
      <c r="J160" s="175" t="n"/>
      <c r="K160" s="116" t="inlineStr">
        <is>
          <t>HALAAL RENNET REQUIRED - Carbonara</t>
        </is>
      </c>
    </row>
    <row r="161" ht="15" customHeight="1" s="106">
      <c r="A161" s="163" t="inlineStr">
        <is>
          <t>Carbonara Base</t>
        </is>
      </c>
      <c r="B161" s="134" t="inlineStr">
        <is>
          <t>PP-PARM</t>
        </is>
      </c>
      <c r="C161" s="113" t="inlineStr">
        <is>
          <t>Parmesan</t>
        </is>
      </c>
      <c r="D161" s="174" t="n">
        <v>2500</v>
      </c>
      <c r="E161" s="164" t="inlineStr">
        <is>
          <t>g</t>
        </is>
      </c>
      <c r="F161" s="157">
        <f>$D161</f>
        <v/>
      </c>
      <c r="G161" s="150">
        <f>IFERROR(INDEX('04 SKU Master'!$AM$5:$AM$165,MATCH($B161,'04 SKU Master'!$A$5:$A$165,0)),"")</f>
        <v/>
      </c>
      <c r="H161" s="150">
        <f>IF(OR($G161="",$F161=""),"",$G161*$F161)</f>
        <v/>
      </c>
      <c r="I161" s="153">
        <f>IF(OR($H161="",SUM($H$159:$H$164)=0),"",$H161/SUM($H$159:$H$164))</f>
        <v/>
      </c>
      <c r="J161" s="175" t="n"/>
      <c r="K161" s="116" t="inlineStr">
        <is>
          <t>HALAAL RENNET REQUIRED</t>
        </is>
      </c>
    </row>
    <row r="162" ht="15" customHeight="1" s="106">
      <c r="A162" s="163" t="inlineStr">
        <is>
          <t>Carbonara Base</t>
        </is>
      </c>
      <c r="B162" s="134" t="inlineStr">
        <is>
          <t>PP-WATER-PURIFIED</t>
        </is>
      </c>
      <c r="C162" s="113" t="inlineStr">
        <is>
          <t>Purified water (emulsion carrier)</t>
        </is>
      </c>
      <c r="D162" s="174" t="n">
        <v>1700</v>
      </c>
      <c r="E162" s="164" t="inlineStr">
        <is>
          <t>ml</t>
        </is>
      </c>
      <c r="F162" s="157">
        <f>$D162</f>
        <v/>
      </c>
      <c r="G162" s="150">
        <f>IFERROR(INDEX('04 SKU Master'!$AM$5:$AM$165,MATCH($B162,'04 SKU Master'!$A$5:$A$165,0)),"")</f>
        <v/>
      </c>
      <c r="H162" s="150">
        <f>IF(OR($G162="",$F162=""),"",$G162*$F162)</f>
        <v/>
      </c>
      <c r="I162" s="153">
        <f>IF(OR($H162="",SUM($H$159:$H$164)=0),"",$H162/SUM($H$159:$H$164))</f>
        <v/>
      </c>
      <c r="J162" s="175" t="n"/>
      <c r="K162" s="116" t="inlineStr">
        <is>
          <t>Fresh-daily hydration water</t>
        </is>
      </c>
    </row>
    <row r="163" ht="15" customHeight="1" s="106">
      <c r="A163" s="163" t="inlineStr">
        <is>
          <t>Carbonara Base</t>
        </is>
      </c>
      <c r="B163" s="134" t="inlineStr">
        <is>
          <t>PP-PEPPER-BLACK</t>
        </is>
      </c>
      <c r="C163" s="113" t="inlineStr">
        <is>
          <t>Cracked black pepper</t>
        </is>
      </c>
      <c r="D163" s="174" t="n">
        <v>180</v>
      </c>
      <c r="E163" s="164" t="inlineStr">
        <is>
          <t>g</t>
        </is>
      </c>
      <c r="F163" s="157">
        <f>$D163</f>
        <v/>
      </c>
      <c r="G163" s="150">
        <f>IFERROR(INDEX('04 SKU Master'!$AM$5:$AM$165,MATCH($B163,'04 SKU Master'!$A$5:$A$165,0)),"")</f>
        <v/>
      </c>
      <c r="H163" s="150">
        <f>IF(OR($G163="",$F163=""),"",$G163*$F163)</f>
        <v/>
      </c>
      <c r="I163" s="153">
        <f>IF(OR($H163="",SUM($H$159:$H$164)=0),"",$H163/SUM($H$159:$H$164))</f>
        <v/>
      </c>
      <c r="J163" s="175" t="n"/>
      <c r="K163" s="116" t="inlineStr">
        <is>
          <t>Carbonara signature</t>
        </is>
      </c>
    </row>
    <row r="164" ht="15" customHeight="1" s="106">
      <c r="A164" s="163" t="inlineStr">
        <is>
          <t>Carbonara Base</t>
        </is>
      </c>
      <c r="B164" s="134" t="inlineStr">
        <is>
          <t>PP-SALT</t>
        </is>
      </c>
      <c r="C164" s="113" t="inlineStr">
        <is>
          <t>Salt</t>
        </is>
      </c>
      <c r="D164" s="174" t="n">
        <v>120</v>
      </c>
      <c r="E164" s="164" t="inlineStr">
        <is>
          <t>g</t>
        </is>
      </c>
      <c r="F164" s="157">
        <f>$D164</f>
        <v/>
      </c>
      <c r="G164" s="150">
        <f>IFERROR(INDEX('04 SKU Master'!$AM$5:$AM$165,MATCH($B164,'04 SKU Master'!$A$5:$A$165,0)),"")</f>
        <v/>
      </c>
      <c r="H164" s="150">
        <f>IF(OR($G164="",$F164=""),"",$G164*$F164)</f>
        <v/>
      </c>
      <c r="I164" s="153">
        <f>IF(OR($H164="",SUM($H$159:$H$164)=0),"",$H164/SUM($H$159:$H$164))</f>
        <v/>
      </c>
      <c r="J164" s="175" t="n"/>
      <c r="K164" s="116" t="inlineStr">
        <is>
          <t>Optional/recommended at 1-1.5% of dry weight</t>
        </is>
      </c>
    </row>
    <row r="166" ht="15" customHeight="1" s="106">
      <c r="B166" s="113" t="inlineStr">
        <is>
          <t>Batch net weight (g)</t>
        </is>
      </c>
      <c r="C166" s="111" t="n"/>
      <c r="D166" s="157">
        <f>SUM($F$159:$F$164)</f>
        <v/>
      </c>
    </row>
    <row r="167" ht="15" customHeight="1" s="106">
      <c r="B167" s="113" t="inlineStr">
        <is>
          <t>Lines still unpriced</t>
        </is>
      </c>
      <c r="C167" s="111" t="n"/>
      <c r="D167" s="157">
        <f>COUNTA($B$159:$B$164)-COUNT($H$159:$H$164)</f>
        <v/>
      </c>
    </row>
    <row r="168" ht="15" customHeight="1" s="106">
      <c r="B168" s="113" t="inlineStr">
        <is>
          <t>Batch cost of priced lines (partial)</t>
        </is>
      </c>
      <c r="C168" s="111" t="n"/>
      <c r="D168" s="150">
        <f>IF(COUNT($H$159:$H$164)=0,"",SUM($H$159:$H$164))</f>
        <v/>
      </c>
    </row>
    <row r="169" ht="15" customHeight="1" s="106">
      <c r="B169" s="113" t="inlineStr">
        <is>
          <t>Batch ingredient cost</t>
        </is>
      </c>
      <c r="C169" s="111" t="n"/>
      <c r="D169" s="150">
        <f>IF($D$167&gt;0,"",SUM($H$159:$H$164))</f>
        <v/>
      </c>
    </row>
    <row r="170" ht="15" customHeight="1" s="106">
      <c r="B170" s="113" t="inlineStr">
        <is>
          <t>Ingredient cost per kg</t>
        </is>
      </c>
      <c r="C170" s="111" t="n"/>
      <c r="D170" s="150">
        <f>IF(OR($D$169="",$D$166=0),"",$D$169/($D$166/1000))</f>
        <v/>
      </c>
    </row>
    <row r="171" ht="15" customHeight="1" s="106">
      <c r="B171" s="113" t="inlineStr">
        <is>
          <t xml:space="preserve">  add: CK labour &amp; energy per kg</t>
        </is>
      </c>
      <c r="C171" s="111" t="n"/>
      <c r="D171" s="150">
        <f>'01 Control'!$C$13</f>
        <v/>
      </c>
    </row>
    <row r="172" ht="15" customHeight="1" s="106">
      <c r="B172" s="113" t="inlineStr">
        <is>
          <t xml:space="preserve">  add: CK overhead &amp; distribution per kg</t>
        </is>
      </c>
      <c r="C172" s="111" t="n"/>
      <c r="D172" s="150">
        <f>'01 Control'!$C$14</f>
        <v/>
      </c>
    </row>
    <row r="173" ht="15" customHeight="1" s="106">
      <c r="B173" s="134" t="inlineStr">
        <is>
          <t>Pouch size (kg)</t>
        </is>
      </c>
      <c r="C173" s="111" t="n"/>
      <c r="D173" s="173" t="n">
        <v>2</v>
      </c>
    </row>
    <row r="174" ht="15" customHeight="1" s="106">
      <c r="B174" s="113" t="inlineStr">
        <is>
          <t xml:space="preserve">  add: Pouch, label &amp; carton per kg</t>
        </is>
      </c>
      <c r="C174" s="111" t="n"/>
      <c r="D174" s="150">
        <f>IFERROR((INDEX('05 Packaging Master'!$AM$5:$AM$50,MATCH("PP-PACK-CK-POUCH",'05 Packaging Master'!$A$5:$A$50,0))+INDEX('05 Packaging Master'!$AM$5:$AM$50,MATCH("PP-PACK-CK-LABEL",'05 Packaging Master'!$A$5:$A$50,0))+INDEX('05 Packaging Master'!$AM$5:$AM$50,MATCH("PP-PACK-CK-CARTON",'05 Packaging Master'!$A$5:$A$50,0))/6)/$D$173,0)</f>
        <v/>
      </c>
    </row>
    <row r="175" ht="15" customHeight="1" s="106">
      <c r="B175" s="134" t="inlineStr">
        <is>
          <t>CK TOTAL COST per kg</t>
        </is>
      </c>
      <c r="C175" s="111" t="n"/>
      <c r="D175" s="151">
        <f>IF($D$170="","",$D$170+$D$171+$D$172+$D$174)</f>
        <v/>
      </c>
    </row>
    <row r="176" ht="15" customHeight="1" s="106">
      <c r="B176" s="113" t="inlineStr">
        <is>
          <t>CK margin to franchisee</t>
        </is>
      </c>
      <c r="C176" s="111" t="n"/>
      <c r="D176" s="166">
        <f>'01 Control'!$C$15</f>
        <v/>
      </c>
    </row>
    <row r="177" ht="15" customHeight="1" s="106">
      <c r="B177" s="134" t="inlineStr">
        <is>
          <t>TRANSFER PRICE per kg</t>
        </is>
      </c>
      <c r="C177" s="111" t="n"/>
      <c r="D177" s="151">
        <f>IF($D$175="","",$D$175*(1+$D$176))</f>
        <v/>
      </c>
    </row>
    <row r="178" ht="15" customHeight="1" s="106">
      <c r="B178" s="134" t="inlineStr">
        <is>
          <t>Store portion (g)</t>
        </is>
      </c>
      <c r="C178" s="111" t="n"/>
      <c r="D178" s="168" t="n">
        <v>90</v>
      </c>
    </row>
    <row r="179" ht="15" customHeight="1" s="106">
      <c r="B179" s="134" t="inlineStr">
        <is>
          <t>SERVICE METHOD</t>
        </is>
      </c>
      <c r="C179" s="111" t="n"/>
      <c r="D179" s="171" t="inlineStr">
        <is>
          <t>WOK TO ORDER</t>
        </is>
      </c>
      <c r="E179" s="172" t="inlineStr">
        <is>
          <t>Pasteurised egg-pecorino emulsion. Above ~70 C it scrambles. It cannot be held - ever.</t>
        </is>
      </c>
    </row>
    <row r="180" ht="15" customHeight="1" s="106">
      <c r="B180" s="134" t="inlineStr">
        <is>
          <t>MAKE POINT</t>
        </is>
      </c>
      <c r="C180" s="111" t="n"/>
      <c r="D180" s="171" t="inlineStr">
        <is>
          <t>CENTRAL KITCHEN</t>
        </is>
      </c>
    </row>
    <row r="181" ht="15" customHeight="1" s="106">
      <c r="B181" s="134" t="inlineStr">
        <is>
          <t>In-store labour minutes per batch</t>
        </is>
      </c>
      <c r="C181" s="111" t="n"/>
      <c r="D181" s="168" t="n">
        <v>60</v>
      </c>
    </row>
    <row r="182" ht="15" customHeight="1" s="106">
      <c r="B182" s="134" t="inlineStr">
        <is>
          <t>In-store energy kWh per batch</t>
        </is>
      </c>
      <c r="C182" s="111" t="n"/>
      <c r="D182" s="173" t="n">
        <v>4</v>
      </c>
    </row>
    <row r="183" ht="15" customHeight="1" s="106">
      <c r="B183" s="113" t="inlineStr">
        <is>
          <t>In-store labour cost per batch</t>
        </is>
      </c>
      <c r="C183" s="111" t="n"/>
      <c r="D183" s="150">
        <f>$D$181/60*'01 Control'!$C$24</f>
        <v/>
      </c>
    </row>
    <row r="184" ht="15" customHeight="1" s="106">
      <c r="B184" s="113" t="inlineStr">
        <is>
          <t>In-store energy cost per batch</t>
        </is>
      </c>
      <c r="C184" s="111" t="n"/>
      <c r="D184" s="150">
        <f>$D$182*'01 Control'!$C$25</f>
        <v/>
      </c>
    </row>
    <row r="185" ht="15" customHeight="1" s="106">
      <c r="B185" s="113" t="inlineStr">
        <is>
          <t>IN-STORE batch cost</t>
        </is>
      </c>
      <c r="C185" s="111" t="n"/>
      <c r="D185" s="150">
        <f>IF($D$169="","",$D$169+$D$183+$D$184)</f>
        <v/>
      </c>
    </row>
    <row r="186" ht="15" customHeight="1" s="106">
      <c r="B186" s="113" t="inlineStr">
        <is>
          <t>IN-STORE cost per kg</t>
        </is>
      </c>
      <c r="C186" s="111" t="n"/>
      <c r="D186" s="150">
        <f>IF(OR($D$185="",$D$166=0),"",$D$185/($D$166/1000))</f>
        <v/>
      </c>
    </row>
    <row r="187" ht="15" customHeight="1" s="106">
      <c r="B187" s="113" t="inlineStr">
        <is>
          <t>IN-STORE cost per portion</t>
        </is>
      </c>
      <c r="C187" s="111" t="n"/>
      <c r="D187" s="150">
        <f>IF($D$186="","",$D$186/1000*$D$178)</f>
        <v/>
      </c>
    </row>
    <row r="188" ht="15" customHeight="1" s="106">
      <c r="B188" s="113" t="inlineStr">
        <is>
          <t>CK cost per portion</t>
        </is>
      </c>
      <c r="C188" s="111" t="n"/>
      <c r="D188" s="150">
        <f>IF($D$175="","",$D$175/1000*$D$178)</f>
        <v/>
      </c>
    </row>
    <row r="189" ht="15" customHeight="1" s="106">
      <c r="B189" s="113" t="inlineStr">
        <is>
          <t>CK TRANSFER PRICE per portion</t>
        </is>
      </c>
      <c r="C189" s="111" t="n"/>
      <c r="D189" s="150">
        <f>IF($D$177="","",$D$177/1000*$D$178)</f>
        <v/>
      </c>
    </row>
    <row r="190" ht="15" customHeight="1" s="106">
      <c r="B190" s="134" t="inlineStr">
        <is>
          <t>FRANCHISEE COST PER PORTION</t>
        </is>
      </c>
      <c r="C190" s="111" t="n"/>
      <c r="D190" s="151">
        <f>IF($D$180="IN-STORE",$D$187,$D$189)</f>
        <v/>
      </c>
    </row>
    <row r="191" ht="15" customHeight="1" s="106">
      <c r="B191" s="134" t="inlineStr">
        <is>
          <t>Franchisee cost per gram (live)</t>
        </is>
      </c>
      <c r="C191" s="111" t="n"/>
      <c r="D191" s="151">
        <f>IF(OR($D$190="",$D$178=0),"",$D$190/$D$178)</f>
        <v/>
      </c>
    </row>
    <row r="192" ht="15" customHeight="1" s="106">
      <c r="B192" s="113" t="inlineStr">
        <is>
          <t>In-store vs CK, per portion</t>
        </is>
      </c>
      <c r="C192" s="111" t="n"/>
      <c r="D192" s="150">
        <f>IF(OR($D$187="",$D$189=""),"",$D$187-$D$189)</f>
        <v/>
      </c>
    </row>
    <row r="193" ht="15" customHeight="1" s="106">
      <c r="B193" s="113" t="inlineStr">
        <is>
          <t>CK margin earned per portion</t>
        </is>
      </c>
      <c r="C193" s="111" t="n"/>
      <c r="D193" s="150">
        <f>IF(OR($D$180&lt;&gt;"CENTRAL KITCHEN",$D$189=""),0,$D$189-$D$188)</f>
        <v/>
      </c>
    </row>
    <row r="194" ht="15" customHeight="1" s="106">
      <c r="B194" s="113" t="inlineStr">
        <is>
          <t>Portions per batch</t>
        </is>
      </c>
      <c r="C194" s="111" t="n"/>
      <c r="D194" s="157">
        <f>$D$166/$D$178</f>
        <v/>
      </c>
    </row>
    <row r="195" ht="15" customHeight="1" s="106">
      <c r="B195" s="113" t="inlineStr">
        <is>
          <t>Pouches per batch</t>
        </is>
      </c>
      <c r="C195" s="111" t="n"/>
      <c r="D195" s="165">
        <f>$D$166/1000/$D$173</f>
        <v/>
      </c>
    </row>
    <row r="196" ht="15" customHeight="1" s="106">
      <c r="B196" s="113" t="inlineStr">
        <is>
          <t>Portions per pouch (= one day-part)</t>
        </is>
      </c>
      <c r="C196" s="111" t="n"/>
      <c r="D196" s="157">
        <f>$D$173*1000/$D$178</f>
        <v/>
      </c>
    </row>
    <row r="197" ht="15" customHeight="1" s="106">
      <c r="B197" s="113" t="inlineStr">
        <is>
          <t>Thawed shelf life (hours)</t>
        </is>
      </c>
      <c r="C197" s="111" t="n"/>
      <c r="D197" s="157">
        <f>'01 Control'!$C$22</f>
        <v/>
      </c>
    </row>
    <row r="200" ht="15" customHeight="1" s="106">
      <c r="A200" s="109" t="inlineStr">
        <is>
          <t>Arrabbiata   |   PP-SAUCE-ARR   |   Napoletana rebuilt angry. Heat dialled at store via finishing chilli oil.</t>
        </is>
      </c>
      <c r="B200" s="110" t="n"/>
      <c r="C200" s="110" t="n"/>
      <c r="D200" s="110" t="n"/>
      <c r="E200" s="110" t="n"/>
      <c r="F200" s="110" t="n"/>
      <c r="G200" s="110" t="n"/>
      <c r="H200" s="110" t="n"/>
      <c r="I200" s="110" t="n"/>
      <c r="J200" s="110" t="n"/>
      <c r="K200" s="111" t="n"/>
    </row>
    <row r="201" ht="33.75" customHeight="1" s="106">
      <c r="A201" s="112" t="inlineStr">
        <is>
          <t>Sauce</t>
        </is>
      </c>
      <c r="B201" s="112" t="inlineStr">
        <is>
          <t>Ingredient SKU</t>
        </is>
      </c>
      <c r="C201" s="112" t="inlineStr">
        <is>
          <t>Ingredient</t>
        </is>
      </c>
      <c r="D201" s="112" t="inlineStr">
        <is>
          <t>Batch Qty</t>
        </is>
      </c>
      <c r="E201" s="112" t="inlineStr">
        <is>
          <t>Unit</t>
        </is>
      </c>
      <c r="F201" s="112" t="inlineStr">
        <is>
          <t>Base Qty (g/ml)</t>
        </is>
      </c>
      <c r="G201" s="112" t="inlineStr">
        <is>
          <t>Usable Cost per
Base Unit</t>
        </is>
      </c>
      <c r="H201" s="112" t="inlineStr">
        <is>
          <t>Line Cost</t>
        </is>
      </c>
      <c r="I201" s="112" t="inlineStr">
        <is>
          <t>% of Batch
Cost</t>
        </is>
      </c>
      <c r="J201" s="112" t="n"/>
      <c r="K201" s="112" t="inlineStr">
        <is>
          <t>Specification</t>
        </is>
      </c>
    </row>
    <row r="202" ht="15" customHeight="1" s="106">
      <c r="A202" s="163" t="inlineStr">
        <is>
          <t>Arrabbiata</t>
        </is>
      </c>
      <c r="B202" s="134" t="inlineStr">
        <is>
          <t>PP-TOM-PLUM</t>
        </is>
      </c>
      <c r="C202" s="113" t="inlineStr">
        <is>
          <t>Plum tomatoes</t>
        </is>
      </c>
      <c r="D202" s="174" t="n">
        <v>14600</v>
      </c>
      <c r="E202" s="164" t="inlineStr">
        <is>
          <t>g</t>
        </is>
      </c>
      <c r="F202" s="157">
        <f>$D202</f>
        <v/>
      </c>
      <c r="G202" s="150">
        <f>IFERROR(INDEX('04 SKU Master'!$AM$5:$AM$165,MATCH($B202,'04 SKU Master'!$A$5:$A$165,0)),"")</f>
        <v/>
      </c>
      <c r="H202" s="150">
        <f>IF(OR($G202="",$F202=""),"",$G202*$F202)</f>
        <v/>
      </c>
      <c r="I202" s="153">
        <f>IF(OR($H202="",SUM($H$202:$H$211)=0),"",$H202/SUM($H$202:$H$211))</f>
        <v/>
      </c>
      <c r="J202" s="175" t="n"/>
      <c r="K202" s="116" t="inlineStr">
        <is>
          <t>Napoletana / Bolognese / Arrabbiata base</t>
        </is>
      </c>
    </row>
    <row r="203" ht="15" customHeight="1" s="106">
      <c r="A203" s="163" t="inlineStr">
        <is>
          <t>Arrabbiata</t>
        </is>
      </c>
      <c r="B203" s="134" t="inlineStr">
        <is>
          <t>PP-TOM-PASTE</t>
        </is>
      </c>
      <c r="C203" s="113" t="inlineStr">
        <is>
          <t>Tomato paste</t>
        </is>
      </c>
      <c r="D203" s="174" t="n">
        <v>1000</v>
      </c>
      <c r="E203" s="164" t="inlineStr">
        <is>
          <t>g</t>
        </is>
      </c>
      <c r="F203" s="157">
        <f>$D203</f>
        <v/>
      </c>
      <c r="G203" s="150">
        <f>IFERROR(INDEX('04 SKU Master'!$AM$5:$AM$165,MATCH($B203,'04 SKU Master'!$A$5:$A$165,0)),"")</f>
        <v/>
      </c>
      <c r="H203" s="150">
        <f>IF(OR($G203="",$F203=""),"",$G203*$F203)</f>
        <v/>
      </c>
      <c r="I203" s="153">
        <f>IF(OR($H203="",SUM($H$202:$H$211)=0),"",$H203/SUM($H$202:$H$211))</f>
        <v/>
      </c>
      <c r="J203" s="175" t="n"/>
      <c r="K203" s="116" t="inlineStr">
        <is>
          <t>Depth without wine (alcohol-free build)</t>
        </is>
      </c>
    </row>
    <row r="204" ht="15" customHeight="1" s="106">
      <c r="A204" s="163" t="inlineStr">
        <is>
          <t>Arrabbiata</t>
        </is>
      </c>
      <c r="B204" s="134" t="inlineStr">
        <is>
          <t>PP-ONION</t>
        </is>
      </c>
      <c r="C204" s="113" t="inlineStr">
        <is>
          <t>Onion</t>
        </is>
      </c>
      <c r="D204" s="174" t="n">
        <v>1400</v>
      </c>
      <c r="E204" s="164" t="inlineStr">
        <is>
          <t>g</t>
        </is>
      </c>
      <c r="F204" s="157">
        <f>$D204</f>
        <v/>
      </c>
      <c r="G204" s="150">
        <f>IFERROR(INDEX('04 SKU Master'!$AM$5:$AM$165,MATCH($B204,'04 SKU Master'!$A$5:$A$165,0)),"")</f>
        <v/>
      </c>
      <c r="H204" s="150">
        <f>IF(OR($G204="",$F204=""),"",$G204*$F204)</f>
        <v/>
      </c>
      <c r="I204" s="153">
        <f>IF(OR($H204="",SUM($H$202:$H$211)=0),"",$H204/SUM($H$202:$H$211))</f>
        <v/>
      </c>
      <c r="J204" s="175" t="n"/>
      <c r="K204" s="116" t="inlineStr">
        <is>
          <t>Soffritto base</t>
        </is>
      </c>
    </row>
    <row r="205" ht="15" customHeight="1" s="106">
      <c r="A205" s="163" t="inlineStr">
        <is>
          <t>Arrabbiata</t>
        </is>
      </c>
      <c r="B205" s="134" t="inlineStr">
        <is>
          <t>PP-GARLIC</t>
        </is>
      </c>
      <c r="C205" s="113" t="inlineStr">
        <is>
          <t>Garlic (extra)</t>
        </is>
      </c>
      <c r="D205" s="174" t="n">
        <v>700</v>
      </c>
      <c r="E205" s="164" t="inlineStr">
        <is>
          <t>g</t>
        </is>
      </c>
      <c r="F205" s="157">
        <f>$D205</f>
        <v/>
      </c>
      <c r="G205" s="150">
        <f>IFERROR(INDEX('04 SKU Master'!$AM$5:$AM$165,MATCH($B205,'04 SKU Master'!$A$5:$A$165,0)),"")</f>
        <v/>
      </c>
      <c r="H205" s="150">
        <f>IF(OR($G205="",$F205=""),"",$G205*$F205)</f>
        <v/>
      </c>
      <c r="I205" s="153">
        <f>IF(OR($H205="",SUM($H$202:$H$211)=0),"",$H205/SUM($H$202:$H$211))</f>
        <v/>
      </c>
      <c r="J205" s="175" t="n"/>
      <c r="K205" s="116" t="inlineStr">
        <is>
          <t>Every sauce</t>
        </is>
      </c>
    </row>
    <row r="206" ht="15" customHeight="1" s="106">
      <c r="A206" s="163" t="inlineStr">
        <is>
          <t>Arrabbiata</t>
        </is>
      </c>
      <c r="B206" s="134" t="inlineStr">
        <is>
          <t>PP-VEG-CARROT</t>
        </is>
      </c>
      <c r="C206" s="113" t="inlineStr">
        <is>
          <t>Carrot</t>
        </is>
      </c>
      <c r="D206" s="174" t="n">
        <v>600</v>
      </c>
      <c r="E206" s="164" t="inlineStr">
        <is>
          <t>g</t>
        </is>
      </c>
      <c r="F206" s="157">
        <f>$D206</f>
        <v/>
      </c>
      <c r="G206" s="150">
        <f>IFERROR(INDEX('04 SKU Master'!$AM$5:$AM$165,MATCH($B206,'04 SKU Master'!$A$5:$A$165,0)),"")</f>
        <v/>
      </c>
      <c r="H206" s="150">
        <f>IF(OR($G206="",$F206=""),"",$G206*$F206)</f>
        <v/>
      </c>
      <c r="I206" s="153">
        <f>IF(OR($H206="",SUM($H$202:$H$211)=0),"",$H206/SUM($H$202:$H$211))</f>
        <v/>
      </c>
      <c r="J206" s="175" t="n"/>
      <c r="K206" s="116" t="inlineStr">
        <is>
          <t>Soffritto base</t>
        </is>
      </c>
    </row>
    <row r="207" ht="15" customHeight="1" s="106">
      <c r="A207" s="163" t="inlineStr">
        <is>
          <t>Arrabbiata</t>
        </is>
      </c>
      <c r="B207" s="134" t="inlineStr">
        <is>
          <t>PP-OIL</t>
        </is>
      </c>
      <c r="C207" s="113" t="inlineStr">
        <is>
          <t>Cooking oil</t>
        </is>
      </c>
      <c r="D207" s="174" t="n">
        <v>1100</v>
      </c>
      <c r="E207" s="164" t="inlineStr">
        <is>
          <t>ml</t>
        </is>
      </c>
      <c r="F207" s="157">
        <f>$D207</f>
        <v/>
      </c>
      <c r="G207" s="150">
        <f>IFERROR(INDEX('04 SKU Master'!$AM$5:$AM$165,MATCH($B207,'04 SKU Master'!$A$5:$A$165,0)),"")</f>
        <v/>
      </c>
      <c r="H207" s="150">
        <f>IF(OR($G207="",$F207=""),"",$G207*$F207)</f>
        <v/>
      </c>
      <c r="I207" s="153">
        <f>IF(OR($H207="",SUM($H$202:$H$211)=0),"",$H207/SUM($H$202:$H$211))</f>
        <v/>
      </c>
      <c r="J207" s="175" t="n"/>
      <c r="K207" s="116" t="inlineStr">
        <is>
          <t>Commissary soffritto base</t>
        </is>
      </c>
    </row>
    <row r="208" ht="15" customHeight="1" s="106">
      <c r="A208" s="163" t="inlineStr">
        <is>
          <t>Arrabbiata</t>
        </is>
      </c>
      <c r="B208" s="134" t="inlineStr">
        <is>
          <t>PP-CHILLI-FLAKE</t>
        </is>
      </c>
      <c r="C208" s="113" t="inlineStr">
        <is>
          <t>Dried chilli flakes (calibrated)</t>
        </is>
      </c>
      <c r="D208" s="174" t="n">
        <v>220</v>
      </c>
      <c r="E208" s="164" t="inlineStr">
        <is>
          <t>g</t>
        </is>
      </c>
      <c r="F208" s="157">
        <f>$D208</f>
        <v/>
      </c>
      <c r="G208" s="150">
        <f>IFERROR(INDEX('04 SKU Master'!$AM$5:$AM$165,MATCH($B208,'04 SKU Master'!$A$5:$A$165,0)),"")</f>
        <v/>
      </c>
      <c r="H208" s="150">
        <f>IF(OR($G208="",$F208=""),"",$G208*$F208)</f>
        <v/>
      </c>
      <c r="I208" s="153">
        <f>IF(OR($H208="",SUM($H$202:$H$211)=0),"",$H208/SUM($H$202:$H$211))</f>
        <v/>
      </c>
      <c r="J208" s="175" t="n"/>
      <c r="K208" s="116" t="inlineStr">
        <is>
          <t>Arrabbiata / Aglio e Olio</t>
        </is>
      </c>
    </row>
    <row r="209" ht="15" customHeight="1" s="106">
      <c r="A209" s="163" t="inlineStr">
        <is>
          <t>Arrabbiata</t>
        </is>
      </c>
      <c r="B209" s="134" t="inlineStr">
        <is>
          <t>PP-SUGAR</t>
        </is>
      </c>
      <c r="C209" s="113" t="inlineStr">
        <is>
          <t>Sugar</t>
        </is>
      </c>
      <c r="D209" s="174" t="n">
        <v>100</v>
      </c>
      <c r="E209" s="164" t="inlineStr">
        <is>
          <t>g</t>
        </is>
      </c>
      <c r="F209" s="157">
        <f>$D209</f>
        <v/>
      </c>
      <c r="G209" s="150">
        <f>IFERROR(INDEX('04 SKU Master'!$AM$5:$AM$165,MATCH($B209,'04 SKU Master'!$A$5:$A$165,0)),"")</f>
        <v/>
      </c>
      <c r="H209" s="150">
        <f>IF(OR($G209="",$F209=""),"",$G209*$F209)</f>
        <v/>
      </c>
      <c r="I209" s="153">
        <f>IF(OR($H209="",SUM($H$202:$H$211)=0),"",$H209/SUM($H$202:$H$211))</f>
        <v/>
      </c>
      <c r="J209" s="175" t="n"/>
      <c r="K209" s="116" t="inlineStr">
        <is>
          <t>Whisper only - balance, not sweetness</t>
        </is>
      </c>
    </row>
    <row r="210" ht="15" customHeight="1" s="106">
      <c r="A210" s="163" t="inlineStr">
        <is>
          <t>Arrabbiata</t>
        </is>
      </c>
      <c r="B210" s="134" t="inlineStr">
        <is>
          <t>PP-SALT</t>
        </is>
      </c>
      <c r="C210" s="113" t="inlineStr">
        <is>
          <t>Salt</t>
        </is>
      </c>
      <c r="D210" s="174" t="n">
        <v>180</v>
      </c>
      <c r="E210" s="164" t="inlineStr">
        <is>
          <t>g</t>
        </is>
      </c>
      <c r="F210" s="157">
        <f>$D210</f>
        <v/>
      </c>
      <c r="G210" s="150">
        <f>IFERROR(INDEX('04 SKU Master'!$AM$5:$AM$165,MATCH($B210,'04 SKU Master'!$A$5:$A$165,0)),"")</f>
        <v/>
      </c>
      <c r="H210" s="150">
        <f>IF(OR($G210="",$F210=""),"",$G210*$F210)</f>
        <v/>
      </c>
      <c r="I210" s="153">
        <f>IF(OR($H210="",SUM($H$202:$H$211)=0),"",$H210/SUM($H$202:$H$211))</f>
        <v/>
      </c>
      <c r="J210" s="175" t="n"/>
      <c r="K210" s="116" t="inlineStr">
        <is>
          <t>Optional/recommended at 1-1.5% of dry weight</t>
        </is>
      </c>
    </row>
    <row r="211" ht="15" customHeight="1" s="106">
      <c r="A211" s="163" t="inlineStr">
        <is>
          <t>Arrabbiata</t>
        </is>
      </c>
      <c r="B211" s="134" t="inlineStr">
        <is>
          <t>PP-HERB-BASIL-DRY</t>
        </is>
      </c>
      <c r="C211" s="113" t="inlineStr">
        <is>
          <t>Dried herbs</t>
        </is>
      </c>
      <c r="D211" s="174" t="n">
        <v>80</v>
      </c>
      <c r="E211" s="164" t="inlineStr">
        <is>
          <t>g</t>
        </is>
      </c>
      <c r="F211" s="157">
        <f>$D211</f>
        <v/>
      </c>
      <c r="G211" s="150">
        <f>IFERROR(INDEX('04 SKU Master'!$AM$5:$AM$165,MATCH($B211,'04 SKU Master'!$A$5:$A$165,0)),"")</f>
        <v/>
      </c>
      <c r="H211" s="150">
        <f>IF(OR($G211="",$F211=""),"",$G211*$F211)</f>
        <v/>
      </c>
      <c r="I211" s="153">
        <f>IF(OR($H211="",SUM($H$202:$H$211)=0),"",$H211/SUM($H$202:$H$211))</f>
        <v/>
      </c>
      <c r="J211" s="175" t="n"/>
      <c r="K211" s="116" t="inlineStr">
        <is>
          <t>Commissary sauce bases</t>
        </is>
      </c>
    </row>
    <row r="213" ht="15" customHeight="1" s="106">
      <c r="B213" s="113" t="inlineStr">
        <is>
          <t>Batch net weight (g)</t>
        </is>
      </c>
      <c r="C213" s="111" t="n"/>
      <c r="D213" s="157">
        <f>SUM($F$202:$F$211)</f>
        <v/>
      </c>
    </row>
    <row r="214" ht="15" customHeight="1" s="106">
      <c r="B214" s="113" t="inlineStr">
        <is>
          <t>Lines still unpriced</t>
        </is>
      </c>
      <c r="C214" s="111" t="n"/>
      <c r="D214" s="157">
        <f>COUNTA($B$202:$B$211)-COUNT($H$202:$H$211)</f>
        <v/>
      </c>
    </row>
    <row r="215" ht="15" customHeight="1" s="106">
      <c r="B215" s="113" t="inlineStr">
        <is>
          <t>Batch cost of priced lines (partial)</t>
        </is>
      </c>
      <c r="C215" s="111" t="n"/>
      <c r="D215" s="150">
        <f>IF(COUNT($H$202:$H$211)=0,"",SUM($H$202:$H$211))</f>
        <v/>
      </c>
    </row>
    <row r="216" ht="15" customHeight="1" s="106">
      <c r="B216" s="113" t="inlineStr">
        <is>
          <t>Batch ingredient cost</t>
        </is>
      </c>
      <c r="C216" s="111" t="n"/>
      <c r="D216" s="150">
        <f>IF($D$214&gt;0,"",SUM($H$202:$H$211))</f>
        <v/>
      </c>
    </row>
    <row r="217" ht="15" customHeight="1" s="106">
      <c r="B217" s="113" t="inlineStr">
        <is>
          <t>Ingredient cost per kg</t>
        </is>
      </c>
      <c r="C217" s="111" t="n"/>
      <c r="D217" s="150">
        <f>IF(OR($D$216="",$D$213=0),"",$D$216/($D$213/1000))</f>
        <v/>
      </c>
    </row>
    <row r="218" ht="15" customHeight="1" s="106">
      <c r="B218" s="113" t="inlineStr">
        <is>
          <t xml:space="preserve">  add: CK labour &amp; energy per kg</t>
        </is>
      </c>
      <c r="C218" s="111" t="n"/>
      <c r="D218" s="150">
        <f>'01 Control'!$C$13</f>
        <v/>
      </c>
    </row>
    <row r="219" ht="15" customHeight="1" s="106">
      <c r="B219" s="113" t="inlineStr">
        <is>
          <t xml:space="preserve">  add: CK overhead &amp; distribution per kg</t>
        </is>
      </c>
      <c r="C219" s="111" t="n"/>
      <c r="D219" s="150">
        <f>'01 Control'!$C$14</f>
        <v/>
      </c>
    </row>
    <row r="220" ht="15" customHeight="1" s="106">
      <c r="B220" s="134" t="inlineStr">
        <is>
          <t>Pouch size (kg)</t>
        </is>
      </c>
      <c r="C220" s="111" t="n"/>
      <c r="D220" s="173" t="n">
        <v>2</v>
      </c>
    </row>
    <row r="221" ht="15" customHeight="1" s="106">
      <c r="B221" s="113" t="inlineStr">
        <is>
          <t xml:space="preserve">  add: Pouch, label &amp; carton per kg</t>
        </is>
      </c>
      <c r="C221" s="111" t="n"/>
      <c r="D221" s="150">
        <f>IFERROR((INDEX('05 Packaging Master'!$AM$5:$AM$50,MATCH("PP-PACK-CK-POUCH",'05 Packaging Master'!$A$5:$A$50,0))+INDEX('05 Packaging Master'!$AM$5:$AM$50,MATCH("PP-PACK-CK-LABEL",'05 Packaging Master'!$A$5:$A$50,0))+INDEX('05 Packaging Master'!$AM$5:$AM$50,MATCH("PP-PACK-CK-CARTON",'05 Packaging Master'!$A$5:$A$50,0))/6)/$D$220,0)</f>
        <v/>
      </c>
    </row>
    <row r="222" ht="15" customHeight="1" s="106">
      <c r="B222" s="134" t="inlineStr">
        <is>
          <t>CK TOTAL COST per kg</t>
        </is>
      </c>
      <c r="C222" s="111" t="n"/>
      <c r="D222" s="151">
        <f>IF($D$217="","",$D$217+$D$218+$D$219+$D$221)</f>
        <v/>
      </c>
    </row>
    <row r="223" ht="15" customHeight="1" s="106">
      <c r="B223" s="113" t="inlineStr">
        <is>
          <t>CK margin to franchisee</t>
        </is>
      </c>
      <c r="C223" s="111" t="n"/>
      <c r="D223" s="166">
        <f>'01 Control'!$C$15</f>
        <v/>
      </c>
    </row>
    <row r="224" ht="15" customHeight="1" s="106">
      <c r="B224" s="134" t="inlineStr">
        <is>
          <t>TRANSFER PRICE per kg</t>
        </is>
      </c>
      <c r="C224" s="111" t="n"/>
      <c r="D224" s="151">
        <f>IF($D$222="","",$D$222*(1+$D$223))</f>
        <v/>
      </c>
    </row>
    <row r="225" ht="15" customHeight="1" s="106">
      <c r="B225" s="134" t="inlineStr">
        <is>
          <t>Store portion (g)</t>
        </is>
      </c>
      <c r="C225" s="111" t="n"/>
      <c r="D225" s="168" t="n">
        <v>160</v>
      </c>
    </row>
    <row r="226" ht="15" customHeight="1" s="106">
      <c r="B226" s="134" t="inlineStr">
        <is>
          <t>SERVICE METHOD</t>
        </is>
      </c>
      <c r="C226" s="111" t="n"/>
      <c r="D226" s="171" t="inlineStr">
        <is>
          <t>WARMER</t>
        </is>
      </c>
      <c r="E226" s="172" t="inlineStr">
        <is>
          <t>Same tomato base as Napoletana. Holds identically; chilli oil is added at the pass.</t>
        </is>
      </c>
    </row>
    <row r="227" ht="15" customHeight="1" s="106">
      <c r="B227" s="134" t="inlineStr">
        <is>
          <t>MAKE POINT</t>
        </is>
      </c>
      <c r="C227" s="111" t="n"/>
      <c r="D227" s="171" t="inlineStr">
        <is>
          <t>CENTRAL KITCHEN</t>
        </is>
      </c>
    </row>
    <row r="228" ht="15" customHeight="1" s="106">
      <c r="B228" s="134" t="inlineStr">
        <is>
          <t>In-store labour minutes per batch</t>
        </is>
      </c>
      <c r="C228" s="111" t="n"/>
      <c r="D228" s="168" t="n">
        <v>90</v>
      </c>
    </row>
    <row r="229" ht="15" customHeight="1" s="106">
      <c r="B229" s="134" t="inlineStr">
        <is>
          <t>In-store energy kWh per batch</t>
        </is>
      </c>
      <c r="C229" s="111" t="n"/>
      <c r="D229" s="173" t="n">
        <v>14</v>
      </c>
    </row>
    <row r="230" ht="15" customHeight="1" s="106">
      <c r="B230" s="113" t="inlineStr">
        <is>
          <t>In-store labour cost per batch</t>
        </is>
      </c>
      <c r="C230" s="111" t="n"/>
      <c r="D230" s="150">
        <f>$D$228/60*'01 Control'!$C$24</f>
        <v/>
      </c>
    </row>
    <row r="231" ht="15" customHeight="1" s="106">
      <c r="B231" s="113" t="inlineStr">
        <is>
          <t>In-store energy cost per batch</t>
        </is>
      </c>
      <c r="C231" s="111" t="n"/>
      <c r="D231" s="150">
        <f>$D$229*'01 Control'!$C$25</f>
        <v/>
      </c>
    </row>
    <row r="232" ht="15" customHeight="1" s="106">
      <c r="B232" s="113" t="inlineStr">
        <is>
          <t>IN-STORE batch cost</t>
        </is>
      </c>
      <c r="C232" s="111" t="n"/>
      <c r="D232" s="150">
        <f>IF($D$216="","",$D$216+$D$230+$D$231)</f>
        <v/>
      </c>
    </row>
    <row r="233" ht="15" customHeight="1" s="106">
      <c r="B233" s="113" t="inlineStr">
        <is>
          <t>IN-STORE cost per kg</t>
        </is>
      </c>
      <c r="C233" s="111" t="n"/>
      <c r="D233" s="150">
        <f>IF(OR($D$232="",$D$213=0),"",$D$232/($D$213/1000))</f>
        <v/>
      </c>
    </row>
    <row r="234" ht="15" customHeight="1" s="106">
      <c r="B234" s="113" t="inlineStr">
        <is>
          <t>IN-STORE cost per portion</t>
        </is>
      </c>
      <c r="C234" s="111" t="n"/>
      <c r="D234" s="150">
        <f>IF($D$233="","",$D$233/1000*$D$225)</f>
        <v/>
      </c>
    </row>
    <row r="235" ht="15" customHeight="1" s="106">
      <c r="B235" s="113" t="inlineStr">
        <is>
          <t>CK cost per portion</t>
        </is>
      </c>
      <c r="C235" s="111" t="n"/>
      <c r="D235" s="150">
        <f>IF($D$222="","",$D$222/1000*$D$225)</f>
        <v/>
      </c>
    </row>
    <row r="236" ht="15" customHeight="1" s="106">
      <c r="B236" s="113" t="inlineStr">
        <is>
          <t>CK TRANSFER PRICE per portion</t>
        </is>
      </c>
      <c r="C236" s="111" t="n"/>
      <c r="D236" s="150">
        <f>IF($D$224="","",$D$224/1000*$D$225)</f>
        <v/>
      </c>
    </row>
    <row r="237" ht="15" customHeight="1" s="106">
      <c r="B237" s="134" t="inlineStr">
        <is>
          <t>FRANCHISEE COST PER PORTION</t>
        </is>
      </c>
      <c r="C237" s="111" t="n"/>
      <c r="D237" s="151">
        <f>IF($D$227="IN-STORE",$D$234,$D$236)</f>
        <v/>
      </c>
    </row>
    <row r="238" ht="15" customHeight="1" s="106">
      <c r="B238" s="134" t="inlineStr">
        <is>
          <t>Franchisee cost per gram (live)</t>
        </is>
      </c>
      <c r="C238" s="111" t="n"/>
      <c r="D238" s="151">
        <f>IF(OR($D$237="",$D$225=0),"",$D$237/$D$225)</f>
        <v/>
      </c>
    </row>
    <row r="239" ht="15" customHeight="1" s="106">
      <c r="B239" s="113" t="inlineStr">
        <is>
          <t>In-store vs CK, per portion</t>
        </is>
      </c>
      <c r="C239" s="111" t="n"/>
      <c r="D239" s="150">
        <f>IF(OR($D$234="",$D$236=""),"",$D$234-$D$236)</f>
        <v/>
      </c>
    </row>
    <row r="240" ht="15" customHeight="1" s="106">
      <c r="B240" s="113" t="inlineStr">
        <is>
          <t>CK margin earned per portion</t>
        </is>
      </c>
      <c r="C240" s="111" t="n"/>
      <c r="D240" s="150">
        <f>IF(OR($D$227&lt;&gt;"CENTRAL KITCHEN",$D$236=""),0,$D$236-$D$235)</f>
        <v/>
      </c>
    </row>
    <row r="241" ht="15" customHeight="1" s="106">
      <c r="B241" s="113" t="inlineStr">
        <is>
          <t>Portions per batch</t>
        </is>
      </c>
      <c r="C241" s="111" t="n"/>
      <c r="D241" s="157">
        <f>$D$213/$D$225</f>
        <v/>
      </c>
    </row>
    <row r="242" ht="15" customHeight="1" s="106">
      <c r="B242" s="113" t="inlineStr">
        <is>
          <t>Pouches per batch</t>
        </is>
      </c>
      <c r="C242" s="111" t="n"/>
      <c r="D242" s="165">
        <f>$D$213/1000/$D$220</f>
        <v/>
      </c>
    </row>
    <row r="243" ht="15" customHeight="1" s="106">
      <c r="B243" s="113" t="inlineStr">
        <is>
          <t>Portions per pouch (= one day-part)</t>
        </is>
      </c>
      <c r="C243" s="111" t="n"/>
      <c r="D243" s="157">
        <f>$D$220*1000/$D$225</f>
        <v/>
      </c>
    </row>
    <row r="244" ht="15" customHeight="1" s="106">
      <c r="B244" s="113" t="inlineStr">
        <is>
          <t>Thawed shelf life (hours)</t>
        </is>
      </c>
      <c r="C244" s="111" t="n"/>
      <c r="D244" s="157">
        <f>'01 Control'!$C$22</f>
        <v/>
      </c>
    </row>
    <row r="247" ht="15" customHeight="1" s="106">
      <c r="A247" s="109" t="inlineStr">
        <is>
          <t>Basil Pesto   |   PP-SAUCE-PES   |   Raw cold sauce, snap-chilled. Short-dated, &lt;=4 C. NUT + DAIRY allergen.</t>
        </is>
      </c>
      <c r="B247" s="110" t="n"/>
      <c r="C247" s="110" t="n"/>
      <c r="D247" s="110" t="n"/>
      <c r="E247" s="110" t="n"/>
      <c r="F247" s="110" t="n"/>
      <c r="G247" s="110" t="n"/>
      <c r="H247" s="110" t="n"/>
      <c r="I247" s="110" t="n"/>
      <c r="J247" s="110" t="n"/>
      <c r="K247" s="111" t="n"/>
    </row>
    <row r="248" ht="33.75" customHeight="1" s="106">
      <c r="A248" s="112" t="inlineStr">
        <is>
          <t>Sauce</t>
        </is>
      </c>
      <c r="B248" s="112" t="inlineStr">
        <is>
          <t>Ingredient SKU</t>
        </is>
      </c>
      <c r="C248" s="112" t="inlineStr">
        <is>
          <t>Ingredient</t>
        </is>
      </c>
      <c r="D248" s="112" t="inlineStr">
        <is>
          <t>Batch Qty</t>
        </is>
      </c>
      <c r="E248" s="112" t="inlineStr">
        <is>
          <t>Unit</t>
        </is>
      </c>
      <c r="F248" s="112" t="inlineStr">
        <is>
          <t>Base Qty (g/ml)</t>
        </is>
      </c>
      <c r="G248" s="112" t="inlineStr">
        <is>
          <t>Usable Cost per
Base Unit</t>
        </is>
      </c>
      <c r="H248" s="112" t="inlineStr">
        <is>
          <t>Line Cost</t>
        </is>
      </c>
      <c r="I248" s="112" t="inlineStr">
        <is>
          <t>% of Batch
Cost</t>
        </is>
      </c>
      <c r="J248" s="112" t="n"/>
      <c r="K248" s="112" t="inlineStr">
        <is>
          <t>Specification</t>
        </is>
      </c>
    </row>
    <row r="249" ht="15" customHeight="1" s="106">
      <c r="A249" s="163" t="inlineStr">
        <is>
          <t>Basil Pesto</t>
        </is>
      </c>
      <c r="B249" s="134" t="inlineStr">
        <is>
          <t>PP-HERB-BASIL-FRESH</t>
        </is>
      </c>
      <c r="C249" s="113" t="inlineStr">
        <is>
          <t>Fresh basil</t>
        </is>
      </c>
      <c r="D249" s="174" t="n">
        <v>3800</v>
      </c>
      <c r="E249" s="164" t="inlineStr">
        <is>
          <t>g</t>
        </is>
      </c>
      <c r="F249" s="157">
        <f>$D249</f>
        <v/>
      </c>
      <c r="G249" s="150">
        <f>IFERROR(INDEX('04 SKU Master'!$AM$5:$AM$165,MATCH($B249,'04 SKU Master'!$A$5:$A$165,0)),"")</f>
        <v/>
      </c>
      <c r="H249" s="150">
        <f>IF(OR($G249="",$F249=""),"",$G249*$F249)</f>
        <v/>
      </c>
      <c r="I249" s="153">
        <f>IF(OR($H249="",SUM($H$249:$H$255)=0),"",$H249/SUM($H$249:$H$255))</f>
        <v/>
      </c>
      <c r="J249" s="175" t="n"/>
      <c r="K249" s="116" t="inlineStr">
        <is>
          <t>Pesto + finishing; high trim loss</t>
        </is>
      </c>
    </row>
    <row r="250" ht="15" customHeight="1" s="106">
      <c r="A250" s="163" t="inlineStr">
        <is>
          <t>Basil Pesto</t>
        </is>
      </c>
      <c r="B250" s="134" t="inlineStr">
        <is>
          <t>PP-EVOO</t>
        </is>
      </c>
      <c r="C250" s="113" t="inlineStr">
        <is>
          <t>Extra-virgin olive oil</t>
        </is>
      </c>
      <c r="D250" s="174" t="n">
        <v>3600</v>
      </c>
      <c r="E250" s="164" t="inlineStr">
        <is>
          <t>ml</t>
        </is>
      </c>
      <c r="F250" s="157">
        <f>$D250</f>
        <v/>
      </c>
      <c r="G250" s="150">
        <f>IFERROR(INDEX('04 SKU Master'!$AM$5:$AM$165,MATCH($B250,'04 SKU Master'!$A$5:$A$165,0)),"")</f>
        <v/>
      </c>
      <c r="H250" s="150">
        <f>IF(OR($G250="",$F250=""),"",$G250*$F250)</f>
        <v/>
      </c>
      <c r="I250" s="153">
        <f>IF(OR($H250="",SUM($H$249:$H$255)=0),"",$H250/SUM($H$249:$H$255))</f>
        <v/>
      </c>
      <c r="J250" s="175" t="n"/>
      <c r="K250" s="116" t="inlineStr">
        <is>
          <t>Mouthfeel / aroma carrier; also a finishing item</t>
        </is>
      </c>
    </row>
    <row r="251" ht="15" customHeight="1" s="106">
      <c r="A251" s="163" t="inlineStr">
        <is>
          <t>Basil Pesto</t>
        </is>
      </c>
      <c r="B251" s="134" t="inlineStr">
        <is>
          <t>PP-NUT-PINE</t>
        </is>
      </c>
      <c r="C251" s="113" t="inlineStr">
        <is>
          <t>Toasted pine nuts</t>
        </is>
      </c>
      <c r="D251" s="174" t="n">
        <v>900</v>
      </c>
      <c r="E251" s="164" t="inlineStr">
        <is>
          <t>g</t>
        </is>
      </c>
      <c r="F251" s="157">
        <f>$D251</f>
        <v/>
      </c>
      <c r="G251" s="150">
        <f>IFERROR(INDEX('04 SKU Master'!$AM$5:$AM$165,MATCH($B251,'04 SKU Master'!$A$5:$A$165,0)),"")</f>
        <v/>
      </c>
      <c r="H251" s="150">
        <f>IF(OR($G251="",$F251=""),"",$G251*$F251)</f>
        <v/>
      </c>
      <c r="I251" s="153">
        <f>IF(OR($H251="",SUM($H$249:$H$255)=0),"",$H251/SUM($H$249:$H$255))</f>
        <v/>
      </c>
      <c r="J251" s="175" t="n"/>
      <c r="K251" s="116" t="inlineStr">
        <is>
          <t>NUT ALLERGEN</t>
        </is>
      </c>
    </row>
    <row r="252" ht="15" customHeight="1" s="106">
      <c r="A252" s="163" t="inlineStr">
        <is>
          <t>Basil Pesto</t>
        </is>
      </c>
      <c r="B252" s="134" t="inlineStr">
        <is>
          <t>PP-PARM</t>
        </is>
      </c>
      <c r="C252" s="113" t="inlineStr">
        <is>
          <t>Parmesan</t>
        </is>
      </c>
      <c r="D252" s="174" t="n">
        <v>1200</v>
      </c>
      <c r="E252" s="164" t="inlineStr">
        <is>
          <t>g</t>
        </is>
      </c>
      <c r="F252" s="157">
        <f>$D252</f>
        <v/>
      </c>
      <c r="G252" s="150">
        <f>IFERROR(INDEX('04 SKU Master'!$AM$5:$AM$165,MATCH($B252,'04 SKU Master'!$A$5:$A$165,0)),"")</f>
        <v/>
      </c>
      <c r="H252" s="150">
        <f>IF(OR($G252="",$F252=""),"",$G252*$F252)</f>
        <v/>
      </c>
      <c r="I252" s="153">
        <f>IF(OR($H252="",SUM($H$249:$H$255)=0),"",$H252/SUM($H$249:$H$255))</f>
        <v/>
      </c>
      <c r="J252" s="175" t="n"/>
      <c r="K252" s="116" t="inlineStr">
        <is>
          <t>HALAAL RENNET REQUIRED</t>
        </is>
      </c>
    </row>
    <row r="253" ht="15" customHeight="1" s="106">
      <c r="A253" s="163" t="inlineStr">
        <is>
          <t>Basil Pesto</t>
        </is>
      </c>
      <c r="B253" s="134" t="inlineStr">
        <is>
          <t>PP-GARLIC</t>
        </is>
      </c>
      <c r="C253" s="113" t="inlineStr">
        <is>
          <t>Garlic</t>
        </is>
      </c>
      <c r="D253" s="174" t="n">
        <v>300</v>
      </c>
      <c r="E253" s="164" t="inlineStr">
        <is>
          <t>g</t>
        </is>
      </c>
      <c r="F253" s="157">
        <f>$D253</f>
        <v/>
      </c>
      <c r="G253" s="150">
        <f>IFERROR(INDEX('04 SKU Master'!$AM$5:$AM$165,MATCH($B253,'04 SKU Master'!$A$5:$A$165,0)),"")</f>
        <v/>
      </c>
      <c r="H253" s="150">
        <f>IF(OR($G253="",$F253=""),"",$G253*$F253)</f>
        <v/>
      </c>
      <c r="I253" s="153">
        <f>IF(OR($H253="",SUM($H$249:$H$255)=0),"",$H253/SUM($H$249:$H$255))</f>
        <v/>
      </c>
      <c r="J253" s="175" t="n"/>
      <c r="K253" s="116" t="inlineStr">
        <is>
          <t>Every sauce</t>
        </is>
      </c>
    </row>
    <row r="254" ht="15" customHeight="1" s="106">
      <c r="A254" s="163" t="inlineStr">
        <is>
          <t>Basil Pesto</t>
        </is>
      </c>
      <c r="B254" s="134" t="inlineStr">
        <is>
          <t>PP-SALT</t>
        </is>
      </c>
      <c r="C254" s="113" t="inlineStr">
        <is>
          <t>Salt</t>
        </is>
      </c>
      <c r="D254" s="174" t="n">
        <v>120</v>
      </c>
      <c r="E254" s="164" t="inlineStr">
        <is>
          <t>g</t>
        </is>
      </c>
      <c r="F254" s="157">
        <f>$D254</f>
        <v/>
      </c>
      <c r="G254" s="150">
        <f>IFERROR(INDEX('04 SKU Master'!$AM$5:$AM$165,MATCH($B254,'04 SKU Master'!$A$5:$A$165,0)),"")</f>
        <v/>
      </c>
      <c r="H254" s="150">
        <f>IF(OR($G254="",$F254=""),"",$G254*$F254)</f>
        <v/>
      </c>
      <c r="I254" s="153">
        <f>IF(OR($H254="",SUM($H$249:$H$255)=0),"",$H254/SUM($H$249:$H$255))</f>
        <v/>
      </c>
      <c r="J254" s="175" t="n"/>
      <c r="K254" s="116" t="inlineStr">
        <is>
          <t>Optional/recommended at 1-1.5% of dry weight</t>
        </is>
      </c>
    </row>
    <row r="255" ht="15" customHeight="1" s="106">
      <c r="A255" s="163" t="inlineStr">
        <is>
          <t>Basil Pesto</t>
        </is>
      </c>
      <c r="B255" s="134" t="inlineStr">
        <is>
          <t>PP-VEG-LEMON</t>
        </is>
      </c>
      <c r="C255" s="113" t="inlineStr">
        <is>
          <t>Lemon juice</t>
        </is>
      </c>
      <c r="D255" s="174" t="n">
        <v>80</v>
      </c>
      <c r="E255" s="164" t="inlineStr">
        <is>
          <t>ml</t>
        </is>
      </c>
      <c r="F255" s="157">
        <f>$D255</f>
        <v/>
      </c>
      <c r="G255" s="150">
        <f>IFERROR(INDEX('04 SKU Master'!$AM$5:$AM$165,MATCH($B255,'04 SKU Master'!$A$5:$A$165,0)),"")</f>
        <v/>
      </c>
      <c r="H255" s="150">
        <f>IF(OR($G255="",$F255=""),"",$G255*$F255)</f>
        <v/>
      </c>
      <c r="I255" s="153">
        <f>IF(OR($H255="",SUM($H$249:$H$255)=0),"",$H255/SUM($H$249:$H$255))</f>
        <v/>
      </c>
      <c r="J255" s="175" t="n"/>
      <c r="K255" s="116" t="inlineStr">
        <is>
          <t>Juice yield only</t>
        </is>
      </c>
    </row>
    <row r="257" ht="15" customHeight="1" s="106">
      <c r="B257" s="113" t="inlineStr">
        <is>
          <t>Batch net weight (g)</t>
        </is>
      </c>
      <c r="C257" s="111" t="n"/>
      <c r="D257" s="157">
        <f>SUM($F$249:$F$255)</f>
        <v/>
      </c>
    </row>
    <row r="258" ht="15" customHeight="1" s="106">
      <c r="B258" s="113" t="inlineStr">
        <is>
          <t>Lines still unpriced</t>
        </is>
      </c>
      <c r="C258" s="111" t="n"/>
      <c r="D258" s="157">
        <f>COUNTA($B$249:$B$255)-COUNT($H$249:$H$255)</f>
        <v/>
      </c>
    </row>
    <row r="259" ht="15" customHeight="1" s="106">
      <c r="B259" s="113" t="inlineStr">
        <is>
          <t>Batch cost of priced lines (partial)</t>
        </is>
      </c>
      <c r="C259" s="111" t="n"/>
      <c r="D259" s="150">
        <f>IF(COUNT($H$249:$H$255)=0,"",SUM($H$249:$H$255))</f>
        <v/>
      </c>
    </row>
    <row r="260" ht="15" customHeight="1" s="106">
      <c r="B260" s="113" t="inlineStr">
        <is>
          <t>Batch ingredient cost</t>
        </is>
      </c>
      <c r="C260" s="111" t="n"/>
      <c r="D260" s="150">
        <f>IF($D$258&gt;0,"",SUM($H$249:$H$255))</f>
        <v/>
      </c>
    </row>
    <row r="261" ht="15" customHeight="1" s="106">
      <c r="B261" s="113" t="inlineStr">
        <is>
          <t>Ingredient cost per kg</t>
        </is>
      </c>
      <c r="C261" s="111" t="n"/>
      <c r="D261" s="150">
        <f>IF(OR($D$260="",$D$257=0),"",$D$260/($D$257/1000))</f>
        <v/>
      </c>
    </row>
    <row r="262" ht="15" customHeight="1" s="106">
      <c r="B262" s="113" t="inlineStr">
        <is>
          <t xml:space="preserve">  add: CK labour &amp; energy per kg</t>
        </is>
      </c>
      <c r="C262" s="111" t="n"/>
      <c r="D262" s="150">
        <f>'01 Control'!$C$13</f>
        <v/>
      </c>
    </row>
    <row r="263" ht="15" customHeight="1" s="106">
      <c r="B263" s="113" t="inlineStr">
        <is>
          <t xml:space="preserve">  add: CK overhead &amp; distribution per kg</t>
        </is>
      </c>
      <c r="C263" s="111" t="n"/>
      <c r="D263" s="150">
        <f>'01 Control'!$C$14</f>
        <v/>
      </c>
    </row>
    <row r="264" ht="15" customHeight="1" s="106">
      <c r="B264" s="134" t="inlineStr">
        <is>
          <t>Pouch size (kg)</t>
        </is>
      </c>
      <c r="C264" s="111" t="n"/>
      <c r="D264" s="173" t="n">
        <v>1</v>
      </c>
    </row>
    <row r="265" ht="15" customHeight="1" s="106">
      <c r="B265" s="113" t="inlineStr">
        <is>
          <t xml:space="preserve">  add: Pouch, label &amp; carton per kg</t>
        </is>
      </c>
      <c r="C265" s="111" t="n"/>
      <c r="D265" s="150">
        <f>IFERROR((INDEX('05 Packaging Master'!$AM$5:$AM$50,MATCH("PP-PACK-CK-POUCH",'05 Packaging Master'!$A$5:$A$50,0))+INDEX('05 Packaging Master'!$AM$5:$AM$50,MATCH("PP-PACK-CK-LABEL",'05 Packaging Master'!$A$5:$A$50,0))+INDEX('05 Packaging Master'!$AM$5:$AM$50,MATCH("PP-PACK-CK-CARTON",'05 Packaging Master'!$A$5:$A$50,0))/6)/$D$264,0)</f>
        <v/>
      </c>
    </row>
    <row r="266" ht="15" customHeight="1" s="106">
      <c r="B266" s="134" t="inlineStr">
        <is>
          <t>CK TOTAL COST per kg</t>
        </is>
      </c>
      <c r="C266" s="111" t="n"/>
      <c r="D266" s="151">
        <f>IF($D$261="","",$D$261+$D$262+$D$263+$D$265)</f>
        <v/>
      </c>
    </row>
    <row r="267" ht="15" customHeight="1" s="106">
      <c r="B267" s="113" t="inlineStr">
        <is>
          <t>CK margin to franchisee</t>
        </is>
      </c>
      <c r="C267" s="111" t="n"/>
      <c r="D267" s="166">
        <f>'01 Control'!$C$15</f>
        <v/>
      </c>
    </row>
    <row r="268" ht="15" customHeight="1" s="106">
      <c r="B268" s="134" t="inlineStr">
        <is>
          <t>TRANSFER PRICE per kg</t>
        </is>
      </c>
      <c r="C268" s="111" t="n"/>
      <c r="D268" s="151">
        <f>IF($D$266="","",$D$266*(1+$D$267))</f>
        <v/>
      </c>
    </row>
    <row r="269" ht="15" customHeight="1" s="106">
      <c r="B269" s="134" t="inlineStr">
        <is>
          <t>Store portion (g)</t>
        </is>
      </c>
      <c r="C269" s="111" t="n"/>
      <c r="D269" s="168" t="n">
        <v>70</v>
      </c>
    </row>
    <row r="270" ht="15" customHeight="1" s="106">
      <c r="B270" s="134" t="inlineStr">
        <is>
          <t>SERVICE METHOD</t>
        </is>
      </c>
      <c r="C270" s="111" t="n"/>
      <c r="D270" s="171" t="inlineStr">
        <is>
          <t>COLD</t>
        </is>
      </c>
      <c r="E270" s="172" t="inlineStr">
        <is>
          <t>Raw basil. Heat turns it grey and bitter within minutes. Tossed cold through hot pasta in the wok.</t>
        </is>
      </c>
    </row>
    <row r="271" ht="15" customHeight="1" s="106">
      <c r="B271" s="134" t="inlineStr">
        <is>
          <t>MAKE POINT</t>
        </is>
      </c>
      <c r="C271" s="111" t="n"/>
      <c r="D271" s="171" t="inlineStr">
        <is>
          <t>CENTRAL KITCHEN</t>
        </is>
      </c>
    </row>
    <row r="272" ht="15" customHeight="1" s="106">
      <c r="B272" s="134" t="inlineStr">
        <is>
          <t>In-store labour minutes per batch</t>
        </is>
      </c>
      <c r="C272" s="111" t="n"/>
      <c r="D272" s="168" t="n">
        <v>40</v>
      </c>
    </row>
    <row r="273" ht="15" customHeight="1" s="106">
      <c r="B273" s="134" t="inlineStr">
        <is>
          <t>In-store energy kWh per batch</t>
        </is>
      </c>
      <c r="C273" s="111" t="n"/>
      <c r="D273" s="173" t="n">
        <v>1</v>
      </c>
    </row>
    <row r="274" ht="15" customHeight="1" s="106">
      <c r="B274" s="113" t="inlineStr">
        <is>
          <t>In-store labour cost per batch</t>
        </is>
      </c>
      <c r="C274" s="111" t="n"/>
      <c r="D274" s="150">
        <f>$D$272/60*'01 Control'!$C$24</f>
        <v/>
      </c>
    </row>
    <row r="275" ht="15" customHeight="1" s="106">
      <c r="B275" s="113" t="inlineStr">
        <is>
          <t>In-store energy cost per batch</t>
        </is>
      </c>
      <c r="C275" s="111" t="n"/>
      <c r="D275" s="150">
        <f>$D$273*'01 Control'!$C$25</f>
        <v/>
      </c>
    </row>
    <row r="276" ht="15" customHeight="1" s="106">
      <c r="B276" s="113" t="inlineStr">
        <is>
          <t>IN-STORE batch cost</t>
        </is>
      </c>
      <c r="C276" s="111" t="n"/>
      <c r="D276" s="150">
        <f>IF($D$260="","",$D$260+$D$274+$D$275)</f>
        <v/>
      </c>
    </row>
    <row r="277" ht="15" customHeight="1" s="106">
      <c r="B277" s="113" t="inlineStr">
        <is>
          <t>IN-STORE cost per kg</t>
        </is>
      </c>
      <c r="C277" s="111" t="n"/>
      <c r="D277" s="150">
        <f>IF(OR($D$276="",$D$257=0),"",$D$276/($D$257/1000))</f>
        <v/>
      </c>
    </row>
    <row r="278" ht="15" customHeight="1" s="106">
      <c r="B278" s="113" t="inlineStr">
        <is>
          <t>IN-STORE cost per portion</t>
        </is>
      </c>
      <c r="C278" s="111" t="n"/>
      <c r="D278" s="150">
        <f>IF($D$277="","",$D$277/1000*$D$269)</f>
        <v/>
      </c>
    </row>
    <row r="279" ht="15" customHeight="1" s="106">
      <c r="B279" s="113" t="inlineStr">
        <is>
          <t>CK cost per portion</t>
        </is>
      </c>
      <c r="C279" s="111" t="n"/>
      <c r="D279" s="150">
        <f>IF($D$266="","",$D$266/1000*$D$269)</f>
        <v/>
      </c>
    </row>
    <row r="280" ht="15" customHeight="1" s="106">
      <c r="B280" s="113" t="inlineStr">
        <is>
          <t>CK TRANSFER PRICE per portion</t>
        </is>
      </c>
      <c r="C280" s="111" t="n"/>
      <c r="D280" s="150">
        <f>IF($D$268="","",$D$268/1000*$D$269)</f>
        <v/>
      </c>
    </row>
    <row r="281" ht="15" customHeight="1" s="106">
      <c r="B281" s="134" t="inlineStr">
        <is>
          <t>FRANCHISEE COST PER PORTION</t>
        </is>
      </c>
      <c r="C281" s="111" t="n"/>
      <c r="D281" s="151">
        <f>IF($D$271="IN-STORE",$D$278,$D$280)</f>
        <v/>
      </c>
    </row>
    <row r="282" ht="15" customHeight="1" s="106">
      <c r="B282" s="134" t="inlineStr">
        <is>
          <t>Franchisee cost per gram (live)</t>
        </is>
      </c>
      <c r="C282" s="111" t="n"/>
      <c r="D282" s="151">
        <f>IF(OR($D$281="",$D$269=0),"",$D$281/$D$269)</f>
        <v/>
      </c>
    </row>
    <row r="283" ht="15" customHeight="1" s="106">
      <c r="B283" s="113" t="inlineStr">
        <is>
          <t>In-store vs CK, per portion</t>
        </is>
      </c>
      <c r="C283" s="111" t="n"/>
      <c r="D283" s="150">
        <f>IF(OR($D$278="",$D$280=""),"",$D$278-$D$280)</f>
        <v/>
      </c>
    </row>
    <row r="284" ht="15" customHeight="1" s="106">
      <c r="B284" s="113" t="inlineStr">
        <is>
          <t>CK margin earned per portion</t>
        </is>
      </c>
      <c r="C284" s="111" t="n"/>
      <c r="D284" s="150">
        <f>IF(OR($D$271&lt;&gt;"CENTRAL KITCHEN",$D$280=""),0,$D$280-$D$279)</f>
        <v/>
      </c>
    </row>
    <row r="285" ht="15" customHeight="1" s="106">
      <c r="B285" s="113" t="inlineStr">
        <is>
          <t>Portions per batch</t>
        </is>
      </c>
      <c r="C285" s="111" t="n"/>
      <c r="D285" s="157">
        <f>$D$257/$D$269</f>
        <v/>
      </c>
    </row>
    <row r="286" ht="15" customHeight="1" s="106">
      <c r="B286" s="113" t="inlineStr">
        <is>
          <t>Pouches per batch</t>
        </is>
      </c>
      <c r="C286" s="111" t="n"/>
      <c r="D286" s="165">
        <f>$D$257/1000/$D$264</f>
        <v/>
      </c>
    </row>
    <row r="287" ht="15" customHeight="1" s="106">
      <c r="B287" s="113" t="inlineStr">
        <is>
          <t>Portions per pouch (= one day-part)</t>
        </is>
      </c>
      <c r="C287" s="111" t="n"/>
      <c r="D287" s="157">
        <f>$D$264*1000/$D$269</f>
        <v/>
      </c>
    </row>
    <row r="288" ht="15" customHeight="1" s="106">
      <c r="B288" s="113" t="inlineStr">
        <is>
          <t>Thawed shelf life (hours)</t>
        </is>
      </c>
      <c r="C288" s="111" t="n"/>
      <c r="D288" s="157">
        <f>'01 Control'!$C$22</f>
        <v/>
      </c>
    </row>
    <row r="291" ht="15" customHeight="1" s="106">
      <c r="A291" s="109" t="inlineStr">
        <is>
          <t>Boscaiola   |   PP-SAUCE-BOSC   |   Reheat-safe mushroom-cream base. Beef or mushroom-only build at store.</t>
        </is>
      </c>
      <c r="B291" s="110" t="n"/>
      <c r="C291" s="110" t="n"/>
      <c r="D291" s="110" t="n"/>
      <c r="E291" s="110" t="n"/>
      <c r="F291" s="110" t="n"/>
      <c r="G291" s="110" t="n"/>
      <c r="H291" s="110" t="n"/>
      <c r="I291" s="110" t="n"/>
      <c r="J291" s="110" t="n"/>
      <c r="K291" s="111" t="n"/>
    </row>
    <row r="292" ht="33.75" customHeight="1" s="106">
      <c r="A292" s="112" t="inlineStr">
        <is>
          <t>Sauce</t>
        </is>
      </c>
      <c r="B292" s="112" t="inlineStr">
        <is>
          <t>Ingredient SKU</t>
        </is>
      </c>
      <c r="C292" s="112" t="inlineStr">
        <is>
          <t>Ingredient</t>
        </is>
      </c>
      <c r="D292" s="112" t="inlineStr">
        <is>
          <t>Batch Qty</t>
        </is>
      </c>
      <c r="E292" s="112" t="inlineStr">
        <is>
          <t>Unit</t>
        </is>
      </c>
      <c r="F292" s="112" t="inlineStr">
        <is>
          <t>Base Qty (g/ml)</t>
        </is>
      </c>
      <c r="G292" s="112" t="inlineStr">
        <is>
          <t>Usable Cost per
Base Unit</t>
        </is>
      </c>
      <c r="H292" s="112" t="inlineStr">
        <is>
          <t>Line Cost</t>
        </is>
      </c>
      <c r="I292" s="112" t="inlineStr">
        <is>
          <t>% of Batch
Cost</t>
        </is>
      </c>
      <c r="J292" s="112" t="n"/>
      <c r="K292" s="112" t="inlineStr">
        <is>
          <t>Specification</t>
        </is>
      </c>
    </row>
    <row r="293" ht="15" customHeight="1" s="106">
      <c r="A293" s="163" t="inlineStr">
        <is>
          <t>Boscaiola</t>
        </is>
      </c>
      <c r="B293" s="134" t="inlineStr">
        <is>
          <t>PP-CREAM</t>
        </is>
      </c>
      <c r="C293" s="113" t="inlineStr">
        <is>
          <t>Fresh cream</t>
        </is>
      </c>
      <c r="D293" s="174" t="n">
        <v>10500</v>
      </c>
      <c r="E293" s="164" t="inlineStr">
        <is>
          <t>ml</t>
        </is>
      </c>
      <c r="F293" s="157">
        <f>$D293</f>
        <v/>
      </c>
      <c r="G293" s="150">
        <f>IFERROR(INDEX('04 SKU Master'!$AM$5:$AM$165,MATCH($B293,'04 SKU Master'!$A$5:$A$165,0)),"")</f>
        <v/>
      </c>
      <c r="H293" s="150">
        <f>IF(OR($G293="",$F293=""),"",$G293*$F293)</f>
        <v/>
      </c>
      <c r="I293" s="153">
        <f>IF(OR($H293="",SUM($H$293:$H$301)=0),"",$H293/SUM($H$293:$H$301))</f>
        <v/>
      </c>
      <c r="J293" s="175" t="n"/>
      <c r="K293" s="116" t="inlineStr">
        <is>
          <t>Cream sauce bases</t>
        </is>
      </c>
    </row>
    <row r="294" ht="15" customHeight="1" s="106">
      <c r="A294" s="163" t="inlineStr">
        <is>
          <t>Boscaiola</t>
        </is>
      </c>
      <c r="B294" s="134" t="inlineStr">
        <is>
          <t>PP-VEG-MUSH</t>
        </is>
      </c>
      <c r="C294" s="113" t="inlineStr">
        <is>
          <t>Mushrooms, sauteed</t>
        </is>
      </c>
      <c r="D294" s="174" t="n">
        <v>5000</v>
      </c>
      <c r="E294" s="164" t="inlineStr">
        <is>
          <t>g</t>
        </is>
      </c>
      <c r="F294" s="157">
        <f>$D294</f>
        <v/>
      </c>
      <c r="G294" s="150">
        <f>IFERROR(INDEX('04 SKU Master'!$AM$5:$AM$165,MATCH($B294,'04 SKU Master'!$A$5:$A$165,0)),"")</f>
        <v/>
      </c>
      <c r="H294" s="150">
        <f>IF(OR($G294="",$F294=""),"",$G294*$F294)</f>
        <v/>
      </c>
      <c r="I294" s="153">
        <f>IF(OR($H294="",SUM($H$293:$H$301)=0),"",$H294/SUM($H$293:$H$301))</f>
        <v/>
      </c>
      <c r="J294" s="175" t="n"/>
      <c r="K294" s="116" t="inlineStr">
        <is>
          <t>Boscaiola</t>
        </is>
      </c>
    </row>
    <row r="295" ht="15" customHeight="1" s="106">
      <c r="A295" s="163" t="inlineStr">
        <is>
          <t>Boscaiola</t>
        </is>
      </c>
      <c r="B295" s="134" t="inlineStr">
        <is>
          <t>PP-BUTTER</t>
        </is>
      </c>
      <c r="C295" s="113" t="inlineStr">
        <is>
          <t>Butter</t>
        </is>
      </c>
      <c r="D295" s="174" t="n">
        <v>900</v>
      </c>
      <c r="E295" s="164" t="inlineStr">
        <is>
          <t>g</t>
        </is>
      </c>
      <c r="F295" s="157">
        <f>$D295</f>
        <v/>
      </c>
      <c r="G295" s="150">
        <f>IFERROR(INDEX('04 SKU Master'!$AM$5:$AM$165,MATCH($B295,'04 SKU Master'!$A$5:$A$165,0)),"")</f>
        <v/>
      </c>
      <c r="H295" s="150">
        <f>IF(OR($G295="",$F295=""),"",$G295*$F295)</f>
        <v/>
      </c>
      <c r="I295" s="153">
        <f>IF(OR($H295="",SUM($H$293:$H$301)=0),"",$H295/SUM($H$293:$H$301))</f>
        <v/>
      </c>
      <c r="J295" s="175" t="n"/>
      <c r="K295" s="116" t="inlineStr">
        <is>
          <t>Cream sauce bases</t>
        </is>
      </c>
    </row>
    <row r="296" ht="15" customHeight="1" s="106">
      <c r="A296" s="163" t="inlineStr">
        <is>
          <t>Boscaiola</t>
        </is>
      </c>
      <c r="B296" s="134" t="inlineStr">
        <is>
          <t>PP-GARLIC</t>
        </is>
      </c>
      <c r="C296" s="113" t="inlineStr">
        <is>
          <t>Garlic</t>
        </is>
      </c>
      <c r="D296" s="174" t="n">
        <v>400</v>
      </c>
      <c r="E296" s="164" t="inlineStr">
        <is>
          <t>g</t>
        </is>
      </c>
      <c r="F296" s="157">
        <f>$D296</f>
        <v/>
      </c>
      <c r="G296" s="150">
        <f>IFERROR(INDEX('04 SKU Master'!$AM$5:$AM$165,MATCH($B296,'04 SKU Master'!$A$5:$A$165,0)),"")</f>
        <v/>
      </c>
      <c r="H296" s="150">
        <f>IF(OR($G296="",$F296=""),"",$G296*$F296)</f>
        <v/>
      </c>
      <c r="I296" s="153">
        <f>IF(OR($H296="",SUM($H$293:$H$301)=0),"",$H296/SUM($H$293:$H$301))</f>
        <v/>
      </c>
      <c r="J296" s="175" t="n"/>
      <c r="K296" s="116" t="inlineStr">
        <is>
          <t>Every sauce</t>
        </is>
      </c>
    </row>
    <row r="297" ht="15" customHeight="1" s="106">
      <c r="A297" s="163" t="inlineStr">
        <is>
          <t>Boscaiola</t>
        </is>
      </c>
      <c r="B297" s="134" t="inlineStr">
        <is>
          <t>PP-PARM</t>
        </is>
      </c>
      <c r="C297" s="113" t="inlineStr">
        <is>
          <t>Parmesan</t>
        </is>
      </c>
      <c r="D297" s="174" t="n">
        <v>1200</v>
      </c>
      <c r="E297" s="164" t="inlineStr">
        <is>
          <t>g</t>
        </is>
      </c>
      <c r="F297" s="157">
        <f>$D297</f>
        <v/>
      </c>
      <c r="G297" s="150">
        <f>IFERROR(INDEX('04 SKU Master'!$AM$5:$AM$165,MATCH($B297,'04 SKU Master'!$A$5:$A$165,0)),"")</f>
        <v/>
      </c>
      <c r="H297" s="150">
        <f>IF(OR($G297="",$F297=""),"",$G297*$F297)</f>
        <v/>
      </c>
      <c r="I297" s="153">
        <f>IF(OR($H297="",SUM($H$293:$H$301)=0),"",$H297/SUM($H$293:$H$301))</f>
        <v/>
      </c>
      <c r="J297" s="175" t="n"/>
      <c r="K297" s="116" t="inlineStr">
        <is>
          <t>HALAAL RENNET REQUIRED</t>
        </is>
      </c>
    </row>
    <row r="298" ht="15" customHeight="1" s="106">
      <c r="A298" s="163" t="inlineStr">
        <is>
          <t>Boscaiola</t>
        </is>
      </c>
      <c r="B298" s="134" t="inlineStr">
        <is>
          <t>PP-STOCK-VEG</t>
        </is>
      </c>
      <c r="C298" s="113" t="inlineStr">
        <is>
          <t>Vegetable stock</t>
        </is>
      </c>
      <c r="D298" s="174" t="n">
        <v>1600</v>
      </c>
      <c r="E298" s="164" t="inlineStr">
        <is>
          <t>ml</t>
        </is>
      </c>
      <c r="F298" s="157">
        <f>$D298</f>
        <v/>
      </c>
      <c r="G298" s="150">
        <f>IFERROR(INDEX('04 SKU Master'!$AM$5:$AM$165,MATCH($B298,'04 SKU Master'!$A$5:$A$165,0)),"")</f>
        <v/>
      </c>
      <c r="H298" s="150">
        <f>IF(OR($G298="",$F298=""),"",$G298*$F298)</f>
        <v/>
      </c>
      <c r="I298" s="153">
        <f>IF(OR($H298="",SUM($H$293:$H$301)=0),"",$H298/SUM($H$293:$H$301))</f>
        <v/>
      </c>
      <c r="J298" s="175" t="n"/>
      <c r="K298" s="116" t="n"/>
    </row>
    <row r="299" ht="15" customHeight="1" s="106">
      <c r="A299" s="163" t="inlineStr">
        <is>
          <t>Boscaiola</t>
        </is>
      </c>
      <c r="B299" s="134" t="inlineStr">
        <is>
          <t>PP-HERB-THYME</t>
        </is>
      </c>
      <c r="C299" s="113" t="inlineStr">
        <is>
          <t>Fresh thyme</t>
        </is>
      </c>
      <c r="D299" s="174" t="n">
        <v>100</v>
      </c>
      <c r="E299" s="164" t="inlineStr">
        <is>
          <t>g</t>
        </is>
      </c>
      <c r="F299" s="157">
        <f>$D299</f>
        <v/>
      </c>
      <c r="G299" s="150">
        <f>IFERROR(INDEX('04 SKU Master'!$AM$5:$AM$165,MATCH($B299,'04 SKU Master'!$A$5:$A$165,0)),"")</f>
        <v/>
      </c>
      <c r="H299" s="150">
        <f>IF(OR($G299="",$F299=""),"",$G299*$F299)</f>
        <v/>
      </c>
      <c r="I299" s="153">
        <f>IF(OR($H299="",SUM($H$293:$H$301)=0),"",$H299/SUM($H$293:$H$301))</f>
        <v/>
      </c>
      <c r="J299" s="175" t="n"/>
      <c r="K299" s="116" t="inlineStr">
        <is>
          <t>Boscaiola / Harvest seasonal</t>
        </is>
      </c>
    </row>
    <row r="300" ht="15" customHeight="1" s="106">
      <c r="A300" s="163" t="inlineStr">
        <is>
          <t>Boscaiola</t>
        </is>
      </c>
      <c r="B300" s="134" t="inlineStr">
        <is>
          <t>PP-SALT</t>
        </is>
      </c>
      <c r="C300" s="113" t="inlineStr">
        <is>
          <t>Salt</t>
        </is>
      </c>
      <c r="D300" s="174" t="n">
        <v>130</v>
      </c>
      <c r="E300" s="164" t="inlineStr">
        <is>
          <t>g</t>
        </is>
      </c>
      <c r="F300" s="157">
        <f>$D300</f>
        <v/>
      </c>
      <c r="G300" s="150">
        <f>IFERROR(INDEX('04 SKU Master'!$AM$5:$AM$165,MATCH($B300,'04 SKU Master'!$A$5:$A$165,0)),"")</f>
        <v/>
      </c>
      <c r="H300" s="150">
        <f>IF(OR($G300="",$F300=""),"",$G300*$F300)</f>
        <v/>
      </c>
      <c r="I300" s="153">
        <f>IF(OR($H300="",SUM($H$293:$H$301)=0),"",$H300/SUM($H$293:$H$301))</f>
        <v/>
      </c>
      <c r="J300" s="175" t="n"/>
      <c r="K300" s="116" t="inlineStr">
        <is>
          <t>Optional/recommended at 1-1.5% of dry weight</t>
        </is>
      </c>
    </row>
    <row r="301" ht="15" customHeight="1" s="106">
      <c r="A301" s="163" t="inlineStr">
        <is>
          <t>Boscaiola</t>
        </is>
      </c>
      <c r="B301" s="134" t="inlineStr">
        <is>
          <t>PP-PEPPER-BLACK</t>
        </is>
      </c>
      <c r="C301" s="113" t="inlineStr">
        <is>
          <t>Black pepper</t>
        </is>
      </c>
      <c r="D301" s="174" t="n">
        <v>60</v>
      </c>
      <c r="E301" s="164" t="inlineStr">
        <is>
          <t>g</t>
        </is>
      </c>
      <c r="F301" s="157">
        <f>$D301</f>
        <v/>
      </c>
      <c r="G301" s="150">
        <f>IFERROR(INDEX('04 SKU Master'!$AM$5:$AM$165,MATCH($B301,'04 SKU Master'!$A$5:$A$165,0)),"")</f>
        <v/>
      </c>
      <c r="H301" s="150">
        <f>IF(OR($G301="",$F301=""),"",$G301*$F301)</f>
        <v/>
      </c>
      <c r="I301" s="153">
        <f>IF(OR($H301="",SUM($H$293:$H$301)=0),"",$H301/SUM($H$293:$H$301))</f>
        <v/>
      </c>
      <c r="J301" s="175" t="n"/>
      <c r="K301" s="116" t="inlineStr">
        <is>
          <t>Carbonara signature</t>
        </is>
      </c>
    </row>
    <row r="303" ht="15" customHeight="1" s="106">
      <c r="B303" s="113" t="inlineStr">
        <is>
          <t>Batch net weight (g)</t>
        </is>
      </c>
      <c r="C303" s="111" t="n"/>
      <c r="D303" s="157">
        <f>SUM($F$293:$F$301)</f>
        <v/>
      </c>
    </row>
    <row r="304" ht="15" customHeight="1" s="106">
      <c r="B304" s="113" t="inlineStr">
        <is>
          <t>Lines still unpriced</t>
        </is>
      </c>
      <c r="C304" s="111" t="n"/>
      <c r="D304" s="157">
        <f>COUNTA($B$293:$B$301)-COUNT($H$293:$H$301)</f>
        <v/>
      </c>
    </row>
    <row r="305" ht="15" customHeight="1" s="106">
      <c r="B305" s="113" t="inlineStr">
        <is>
          <t>Batch cost of priced lines (partial)</t>
        </is>
      </c>
      <c r="C305" s="111" t="n"/>
      <c r="D305" s="150">
        <f>IF(COUNT($H$293:$H$301)=0,"",SUM($H$293:$H$301))</f>
        <v/>
      </c>
    </row>
    <row r="306" ht="15" customHeight="1" s="106">
      <c r="B306" s="113" t="inlineStr">
        <is>
          <t>Batch ingredient cost</t>
        </is>
      </c>
      <c r="C306" s="111" t="n"/>
      <c r="D306" s="150">
        <f>IF($D$304&gt;0,"",SUM($H$293:$H$301))</f>
        <v/>
      </c>
    </row>
    <row r="307" ht="15" customHeight="1" s="106">
      <c r="B307" s="113" t="inlineStr">
        <is>
          <t>Ingredient cost per kg</t>
        </is>
      </c>
      <c r="C307" s="111" t="n"/>
      <c r="D307" s="150">
        <f>IF(OR($D$306="",$D$303=0),"",$D$306/($D$303/1000))</f>
        <v/>
      </c>
    </row>
    <row r="308" ht="15" customHeight="1" s="106">
      <c r="B308" s="113" t="inlineStr">
        <is>
          <t xml:space="preserve">  add: CK labour &amp; energy per kg</t>
        </is>
      </c>
      <c r="C308" s="111" t="n"/>
      <c r="D308" s="150">
        <f>'01 Control'!$C$13</f>
        <v/>
      </c>
    </row>
    <row r="309" ht="15" customHeight="1" s="106">
      <c r="B309" s="113" t="inlineStr">
        <is>
          <t xml:space="preserve">  add: CK overhead &amp; distribution per kg</t>
        </is>
      </c>
      <c r="C309" s="111" t="n"/>
      <c r="D309" s="150">
        <f>'01 Control'!$C$14</f>
        <v/>
      </c>
    </row>
    <row r="310" ht="15" customHeight="1" s="106">
      <c r="B310" s="134" t="inlineStr">
        <is>
          <t>Pouch size (kg)</t>
        </is>
      </c>
      <c r="C310" s="111" t="n"/>
      <c r="D310" s="173" t="n">
        <v>2</v>
      </c>
    </row>
    <row r="311" ht="15" customHeight="1" s="106">
      <c r="B311" s="113" t="inlineStr">
        <is>
          <t xml:space="preserve">  add: Pouch, label &amp; carton per kg</t>
        </is>
      </c>
      <c r="C311" s="111" t="n"/>
      <c r="D311" s="150">
        <f>IFERROR((INDEX('05 Packaging Master'!$AM$5:$AM$50,MATCH("PP-PACK-CK-POUCH",'05 Packaging Master'!$A$5:$A$50,0))+INDEX('05 Packaging Master'!$AM$5:$AM$50,MATCH("PP-PACK-CK-LABEL",'05 Packaging Master'!$A$5:$A$50,0))+INDEX('05 Packaging Master'!$AM$5:$AM$50,MATCH("PP-PACK-CK-CARTON",'05 Packaging Master'!$A$5:$A$50,0))/6)/$D$310,0)</f>
        <v/>
      </c>
    </row>
    <row r="312" ht="15" customHeight="1" s="106">
      <c r="B312" s="134" t="inlineStr">
        <is>
          <t>CK TOTAL COST per kg</t>
        </is>
      </c>
      <c r="C312" s="111" t="n"/>
      <c r="D312" s="151">
        <f>IF($D$307="","",$D$307+$D$308+$D$309+$D$311)</f>
        <v/>
      </c>
    </row>
    <row r="313" ht="15" customHeight="1" s="106">
      <c r="B313" s="113" t="inlineStr">
        <is>
          <t>CK margin to franchisee</t>
        </is>
      </c>
      <c r="C313" s="111" t="n"/>
      <c r="D313" s="166">
        <f>'01 Control'!$C$15</f>
        <v/>
      </c>
    </row>
    <row r="314" ht="15" customHeight="1" s="106">
      <c r="B314" s="134" t="inlineStr">
        <is>
          <t>TRANSFER PRICE per kg</t>
        </is>
      </c>
      <c r="C314" s="111" t="n"/>
      <c r="D314" s="151">
        <f>IF($D$312="","",$D$312*(1+$D$313))</f>
        <v/>
      </c>
    </row>
    <row r="315" ht="15" customHeight="1" s="106">
      <c r="B315" s="134" t="inlineStr">
        <is>
          <t>Store portion (g)</t>
        </is>
      </c>
      <c r="C315" s="111" t="n"/>
      <c r="D315" s="168" t="n">
        <v>160</v>
      </c>
    </row>
    <row r="316" ht="15" customHeight="1" s="106">
      <c r="B316" s="134" t="inlineStr">
        <is>
          <t>SERVICE METHOD</t>
        </is>
      </c>
      <c r="C316" s="111" t="n"/>
      <c r="D316" s="171" t="inlineStr">
        <is>
          <t>WARMER</t>
        </is>
      </c>
      <c r="E316" s="172" t="inlineStr">
        <is>
          <t>Reheat-safe mushroom cream per the CK spec. Mushroom depth improves on the hold.</t>
        </is>
      </c>
    </row>
    <row r="317" ht="15" customHeight="1" s="106">
      <c r="B317" s="134" t="inlineStr">
        <is>
          <t>MAKE POINT</t>
        </is>
      </c>
      <c r="C317" s="111" t="n"/>
      <c r="D317" s="171" t="inlineStr">
        <is>
          <t>CENTRAL KITCHEN</t>
        </is>
      </c>
    </row>
    <row r="318" ht="15" customHeight="1" s="106">
      <c r="B318" s="134" t="inlineStr">
        <is>
          <t>In-store labour minutes per batch</t>
        </is>
      </c>
      <c r="C318" s="111" t="n"/>
      <c r="D318" s="168" t="n">
        <v>100</v>
      </c>
    </row>
    <row r="319" ht="15" customHeight="1" s="106">
      <c r="B319" s="134" t="inlineStr">
        <is>
          <t>In-store energy kWh per batch</t>
        </is>
      </c>
      <c r="C319" s="111" t="n"/>
      <c r="D319" s="173" t="n">
        <v>14</v>
      </c>
    </row>
    <row r="320" ht="15" customHeight="1" s="106">
      <c r="B320" s="113" t="inlineStr">
        <is>
          <t>In-store labour cost per batch</t>
        </is>
      </c>
      <c r="C320" s="111" t="n"/>
      <c r="D320" s="150">
        <f>$D$318/60*'01 Control'!$C$24</f>
        <v/>
      </c>
    </row>
    <row r="321" ht="15" customHeight="1" s="106">
      <c r="B321" s="113" t="inlineStr">
        <is>
          <t>In-store energy cost per batch</t>
        </is>
      </c>
      <c r="C321" s="111" t="n"/>
      <c r="D321" s="150">
        <f>$D$319*'01 Control'!$C$25</f>
        <v/>
      </c>
    </row>
    <row r="322" ht="15" customHeight="1" s="106">
      <c r="B322" s="113" t="inlineStr">
        <is>
          <t>IN-STORE batch cost</t>
        </is>
      </c>
      <c r="C322" s="111" t="n"/>
      <c r="D322" s="150">
        <f>IF($D$306="","",$D$306+$D$320+$D$321)</f>
        <v/>
      </c>
    </row>
    <row r="323" ht="15" customHeight="1" s="106">
      <c r="B323" s="113" t="inlineStr">
        <is>
          <t>IN-STORE cost per kg</t>
        </is>
      </c>
      <c r="C323" s="111" t="n"/>
      <c r="D323" s="150">
        <f>IF(OR($D$322="",$D$303=0),"",$D$322/($D$303/1000))</f>
        <v/>
      </c>
    </row>
    <row r="324" ht="15" customHeight="1" s="106">
      <c r="B324" s="113" t="inlineStr">
        <is>
          <t>IN-STORE cost per portion</t>
        </is>
      </c>
      <c r="C324" s="111" t="n"/>
      <c r="D324" s="150">
        <f>IF($D$323="","",$D$323/1000*$D$315)</f>
        <v/>
      </c>
    </row>
    <row r="325" ht="15" customHeight="1" s="106">
      <c r="B325" s="113" t="inlineStr">
        <is>
          <t>CK cost per portion</t>
        </is>
      </c>
      <c r="C325" s="111" t="n"/>
      <c r="D325" s="150">
        <f>IF($D$312="","",$D$312/1000*$D$315)</f>
        <v/>
      </c>
    </row>
    <row r="326" ht="15" customHeight="1" s="106">
      <c r="B326" s="113" t="inlineStr">
        <is>
          <t>CK TRANSFER PRICE per portion</t>
        </is>
      </c>
      <c r="C326" s="111" t="n"/>
      <c r="D326" s="150">
        <f>IF($D$314="","",$D$314/1000*$D$315)</f>
        <v/>
      </c>
    </row>
    <row r="327" ht="15" customHeight="1" s="106">
      <c r="B327" s="134" t="inlineStr">
        <is>
          <t>FRANCHISEE COST PER PORTION</t>
        </is>
      </c>
      <c r="C327" s="111" t="n"/>
      <c r="D327" s="151">
        <f>IF($D$317="IN-STORE",$D$324,$D$326)</f>
        <v/>
      </c>
    </row>
    <row r="328" ht="15" customHeight="1" s="106">
      <c r="B328" s="134" t="inlineStr">
        <is>
          <t>Franchisee cost per gram (live)</t>
        </is>
      </c>
      <c r="C328" s="111" t="n"/>
      <c r="D328" s="151">
        <f>IF(OR($D$327="",$D$315=0),"",$D$327/$D$315)</f>
        <v/>
      </c>
    </row>
    <row r="329" ht="15" customHeight="1" s="106">
      <c r="B329" s="113" t="inlineStr">
        <is>
          <t>In-store vs CK, per portion</t>
        </is>
      </c>
      <c r="C329" s="111" t="n"/>
      <c r="D329" s="150">
        <f>IF(OR($D$324="",$D$326=""),"",$D$324-$D$326)</f>
        <v/>
      </c>
    </row>
    <row r="330" ht="15" customHeight="1" s="106">
      <c r="B330" s="113" t="inlineStr">
        <is>
          <t>CK margin earned per portion</t>
        </is>
      </c>
      <c r="C330" s="111" t="n"/>
      <c r="D330" s="150">
        <f>IF(OR($D$317&lt;&gt;"CENTRAL KITCHEN",$D$326=""),0,$D$326-$D$325)</f>
        <v/>
      </c>
    </row>
    <row r="331" ht="15" customHeight="1" s="106">
      <c r="B331" s="113" t="inlineStr">
        <is>
          <t>Portions per batch</t>
        </is>
      </c>
      <c r="C331" s="111" t="n"/>
      <c r="D331" s="157">
        <f>$D$303/$D$315</f>
        <v/>
      </c>
    </row>
    <row r="332" ht="15" customHeight="1" s="106">
      <c r="B332" s="113" t="inlineStr">
        <is>
          <t>Pouches per batch</t>
        </is>
      </c>
      <c r="C332" s="111" t="n"/>
      <c r="D332" s="165">
        <f>$D$303/1000/$D$310</f>
        <v/>
      </c>
    </row>
    <row r="333" ht="15" customHeight="1" s="106">
      <c r="B333" s="113" t="inlineStr">
        <is>
          <t>Portions per pouch (= one day-part)</t>
        </is>
      </c>
      <c r="C333" s="111" t="n"/>
      <c r="D333" s="157">
        <f>$D$310*1000/$D$315</f>
        <v/>
      </c>
    </row>
    <row r="334" ht="15" customHeight="1" s="106">
      <c r="B334" s="113" t="inlineStr">
        <is>
          <t>Thawed shelf life (hours)</t>
        </is>
      </c>
      <c r="C334" s="111" t="n"/>
      <c r="D334" s="157">
        <f>'01 Control'!$C$22</f>
        <v/>
      </c>
    </row>
    <row r="337" ht="15" customHeight="1" s="106">
      <c r="A337" s="109" t="inlineStr">
        <is>
          <t>Quattro Formaggi   |   PP-SAUCE-QF   |   Four-cheese cream base, melts smooth and reheats without splitting.</t>
        </is>
      </c>
      <c r="B337" s="110" t="n"/>
      <c r="C337" s="110" t="n"/>
      <c r="D337" s="110" t="n"/>
      <c r="E337" s="110" t="n"/>
      <c r="F337" s="110" t="n"/>
      <c r="G337" s="110" t="n"/>
      <c r="H337" s="110" t="n"/>
      <c r="I337" s="110" t="n"/>
      <c r="J337" s="110" t="n"/>
      <c r="K337" s="111" t="n"/>
    </row>
    <row r="338" ht="33.75" customHeight="1" s="106">
      <c r="A338" s="112" t="inlineStr">
        <is>
          <t>Sauce</t>
        </is>
      </c>
      <c r="B338" s="112" t="inlineStr">
        <is>
          <t>Ingredient SKU</t>
        </is>
      </c>
      <c r="C338" s="112" t="inlineStr">
        <is>
          <t>Ingredient</t>
        </is>
      </c>
      <c r="D338" s="112" t="inlineStr">
        <is>
          <t>Batch Qty</t>
        </is>
      </c>
      <c r="E338" s="112" t="inlineStr">
        <is>
          <t>Unit</t>
        </is>
      </c>
      <c r="F338" s="112" t="inlineStr">
        <is>
          <t>Base Qty (g/ml)</t>
        </is>
      </c>
      <c r="G338" s="112" t="inlineStr">
        <is>
          <t>Usable Cost per
Base Unit</t>
        </is>
      </c>
      <c r="H338" s="112" t="inlineStr">
        <is>
          <t>Line Cost</t>
        </is>
      </c>
      <c r="I338" s="112" t="inlineStr">
        <is>
          <t>% of Batch
Cost</t>
        </is>
      </c>
      <c r="J338" s="112" t="n"/>
      <c r="K338" s="112" t="inlineStr">
        <is>
          <t>Specification</t>
        </is>
      </c>
    </row>
    <row r="339" ht="15" customHeight="1" s="106">
      <c r="A339" s="163" t="inlineStr">
        <is>
          <t>Quattro Formaggi</t>
        </is>
      </c>
      <c r="B339" s="134" t="inlineStr">
        <is>
          <t>PP-CREAM</t>
        </is>
      </c>
      <c r="C339" s="113" t="inlineStr">
        <is>
          <t>Fresh cream</t>
        </is>
      </c>
      <c r="D339" s="174" t="n">
        <v>9500</v>
      </c>
      <c r="E339" s="164" t="inlineStr">
        <is>
          <t>ml</t>
        </is>
      </c>
      <c r="F339" s="157">
        <f>$D339</f>
        <v/>
      </c>
      <c r="G339" s="150">
        <f>IFERROR(INDEX('04 SKU Master'!$AM$5:$AM$165,MATCH($B339,'04 SKU Master'!$A$5:$A$165,0)),"")</f>
        <v/>
      </c>
      <c r="H339" s="150">
        <f>IF(OR($G339="",$F339=""),"",$G339*$F339)</f>
        <v/>
      </c>
      <c r="I339" s="153">
        <f>IF(OR($H339="",SUM($H$339:$H$346)=0),"",$H339/SUM($H$339:$H$346))</f>
        <v/>
      </c>
      <c r="J339" s="175" t="n"/>
      <c r="K339" s="116" t="inlineStr">
        <is>
          <t>Cream sauce bases</t>
        </is>
      </c>
    </row>
    <row r="340" ht="15" customHeight="1" s="106">
      <c r="A340" s="163" t="inlineStr">
        <is>
          <t>Quattro Formaggi</t>
        </is>
      </c>
      <c r="B340" s="134" t="inlineStr">
        <is>
          <t>PP-MOZZ</t>
        </is>
      </c>
      <c r="C340" s="113" t="inlineStr">
        <is>
          <t>Mozzarella</t>
        </is>
      </c>
      <c r="D340" s="174" t="n">
        <v>3600</v>
      </c>
      <c r="E340" s="164" t="inlineStr">
        <is>
          <t>g</t>
        </is>
      </c>
      <c r="F340" s="157">
        <f>$D340</f>
        <v/>
      </c>
      <c r="G340" s="150">
        <f>IFERROR(INDEX('04 SKU Master'!$AM$5:$AM$165,MATCH($B340,'04 SKU Master'!$A$5:$A$165,0)),"")</f>
        <v/>
      </c>
      <c r="H340" s="150">
        <f>IF(OR($G340="",$F340=""),"",$G340*$F340)</f>
        <v/>
      </c>
      <c r="I340" s="153">
        <f>IF(OR($H340="",SUM($H$339:$H$346)=0),"",$H340/SUM($H$339:$H$346))</f>
        <v/>
      </c>
      <c r="J340" s="175" t="n"/>
      <c r="K340" s="116" t="inlineStr">
        <is>
          <t>Quattro Formaggi + bake top</t>
        </is>
      </c>
    </row>
    <row r="341" ht="15" customHeight="1" s="106">
      <c r="A341" s="163" t="inlineStr">
        <is>
          <t>Quattro Formaggi</t>
        </is>
      </c>
      <c r="B341" s="134" t="inlineStr">
        <is>
          <t>PP-CHEDDAR-MAT</t>
        </is>
      </c>
      <c r="C341" s="113" t="inlineStr">
        <is>
          <t>Mature cheddar</t>
        </is>
      </c>
      <c r="D341" s="174" t="n">
        <v>2400</v>
      </c>
      <c r="E341" s="164" t="inlineStr">
        <is>
          <t>g</t>
        </is>
      </c>
      <c r="F341" s="157">
        <f>$D341</f>
        <v/>
      </c>
      <c r="G341" s="150">
        <f>IFERROR(INDEX('04 SKU Master'!$AM$5:$AM$165,MATCH($B341,'04 SKU Master'!$A$5:$A$165,0)),"")</f>
        <v/>
      </c>
      <c r="H341" s="150">
        <f>IF(OR($G341="",$F341=""),"",$G341*$F341)</f>
        <v/>
      </c>
      <c r="I341" s="153">
        <f>IF(OR($H341="",SUM($H$339:$H$346)=0),"",$H341/SUM($H$339:$H$346))</f>
        <v/>
      </c>
      <c r="J341" s="175" t="n"/>
      <c r="K341" s="116" t="inlineStr">
        <is>
          <t>Quattro Formaggi</t>
        </is>
      </c>
    </row>
    <row r="342" ht="15" customHeight="1" s="106">
      <c r="A342" s="163" t="inlineStr">
        <is>
          <t>Quattro Formaggi</t>
        </is>
      </c>
      <c r="B342" s="134" t="inlineStr">
        <is>
          <t>PP-PARM</t>
        </is>
      </c>
      <c r="C342" s="113" t="inlineStr">
        <is>
          <t>Parmesan</t>
        </is>
      </c>
      <c r="D342" s="174" t="n">
        <v>2200</v>
      </c>
      <c r="E342" s="164" t="inlineStr">
        <is>
          <t>g</t>
        </is>
      </c>
      <c r="F342" s="157">
        <f>$D342</f>
        <v/>
      </c>
      <c r="G342" s="150">
        <f>IFERROR(INDEX('04 SKU Master'!$AM$5:$AM$165,MATCH($B342,'04 SKU Master'!$A$5:$A$165,0)),"")</f>
        <v/>
      </c>
      <c r="H342" s="150">
        <f>IF(OR($G342="",$F342=""),"",$G342*$F342)</f>
        <v/>
      </c>
      <c r="I342" s="153">
        <f>IF(OR($H342="",SUM($H$339:$H$346)=0),"",$H342/SUM($H$339:$H$346))</f>
        <v/>
      </c>
      <c r="J342" s="175" t="n"/>
      <c r="K342" s="116" t="inlineStr">
        <is>
          <t>HALAAL RENNET REQUIRED</t>
        </is>
      </c>
    </row>
    <row r="343" ht="15" customHeight="1" s="106">
      <c r="A343" s="163" t="inlineStr">
        <is>
          <t>Quattro Formaggi</t>
        </is>
      </c>
      <c r="B343" s="134" t="inlineStr">
        <is>
          <t>PP-BLUE</t>
        </is>
      </c>
      <c r="C343" s="113" t="inlineStr">
        <is>
          <t>Gorgonzola / blue (subtle)</t>
        </is>
      </c>
      <c r="D343" s="174" t="n">
        <v>700</v>
      </c>
      <c r="E343" s="164" t="inlineStr">
        <is>
          <t>g</t>
        </is>
      </c>
      <c r="F343" s="157">
        <f>$D343</f>
        <v/>
      </c>
      <c r="G343" s="150">
        <f>IFERROR(INDEX('04 SKU Master'!$AM$5:$AM$165,MATCH($B343,'04 SKU Master'!$A$5:$A$165,0)),"")</f>
        <v/>
      </c>
      <c r="H343" s="150">
        <f>IF(OR($G343="",$F343=""),"",$G343*$F343)</f>
        <v/>
      </c>
      <c r="I343" s="153">
        <f>IF(OR($H343="",SUM($H$339:$H$346)=0),"",$H343/SUM($H$339:$H$346))</f>
        <v/>
      </c>
      <c r="J343" s="175" t="n"/>
      <c r="K343" s="116" t="inlineStr">
        <is>
          <t>Dialled subtle or omitted</t>
        </is>
      </c>
    </row>
    <row r="344" ht="15" customHeight="1" s="106">
      <c r="A344" s="163" t="inlineStr">
        <is>
          <t>Quattro Formaggi</t>
        </is>
      </c>
      <c r="B344" s="134" t="inlineStr">
        <is>
          <t>PP-BUTTER</t>
        </is>
      </c>
      <c r="C344" s="113" t="inlineStr">
        <is>
          <t>Butter</t>
        </is>
      </c>
      <c r="D344" s="174" t="n">
        <v>900</v>
      </c>
      <c r="E344" s="164" t="inlineStr">
        <is>
          <t>g</t>
        </is>
      </c>
      <c r="F344" s="157">
        <f>$D344</f>
        <v/>
      </c>
      <c r="G344" s="150">
        <f>IFERROR(INDEX('04 SKU Master'!$AM$5:$AM$165,MATCH($B344,'04 SKU Master'!$A$5:$A$165,0)),"")</f>
        <v/>
      </c>
      <c r="H344" s="150">
        <f>IF(OR($G344="",$F344=""),"",$G344*$F344)</f>
        <v/>
      </c>
      <c r="I344" s="153">
        <f>IF(OR($H344="",SUM($H$339:$H$346)=0),"",$H344/SUM($H$339:$H$346))</f>
        <v/>
      </c>
      <c r="J344" s="175" t="n"/>
      <c r="K344" s="116" t="inlineStr">
        <is>
          <t>Cream sauce bases</t>
        </is>
      </c>
    </row>
    <row r="345" ht="15" customHeight="1" s="106">
      <c r="A345" s="163" t="inlineStr">
        <is>
          <t>Quattro Formaggi</t>
        </is>
      </c>
      <c r="B345" s="134" t="inlineStr">
        <is>
          <t>PP-STOCK-VEG</t>
        </is>
      </c>
      <c r="C345" s="113" t="inlineStr">
        <is>
          <t>Vegetable stock</t>
        </is>
      </c>
      <c r="D345" s="174" t="n">
        <v>600</v>
      </c>
      <c r="E345" s="164" t="inlineStr">
        <is>
          <t>ml</t>
        </is>
      </c>
      <c r="F345" s="157">
        <f>$D345</f>
        <v/>
      </c>
      <c r="G345" s="150">
        <f>IFERROR(INDEX('04 SKU Master'!$AM$5:$AM$165,MATCH($B345,'04 SKU Master'!$A$5:$A$165,0)),"")</f>
        <v/>
      </c>
      <c r="H345" s="150">
        <f>IF(OR($G345="",$F345=""),"",$G345*$F345)</f>
        <v/>
      </c>
      <c r="I345" s="153">
        <f>IF(OR($H345="",SUM($H$339:$H$346)=0),"",$H345/SUM($H$339:$H$346))</f>
        <v/>
      </c>
      <c r="J345" s="175" t="n"/>
      <c r="K345" s="116" t="n"/>
    </row>
    <row r="346" ht="15" customHeight="1" s="106">
      <c r="A346" s="163" t="inlineStr">
        <is>
          <t>Quattro Formaggi</t>
        </is>
      </c>
      <c r="B346" s="134" t="inlineStr">
        <is>
          <t>PP-SALT</t>
        </is>
      </c>
      <c r="C346" s="113" t="inlineStr">
        <is>
          <t>Salt</t>
        </is>
      </c>
      <c r="D346" s="174" t="n">
        <v>100</v>
      </c>
      <c r="E346" s="164" t="inlineStr">
        <is>
          <t>g</t>
        </is>
      </c>
      <c r="F346" s="157">
        <f>$D346</f>
        <v/>
      </c>
      <c r="G346" s="150">
        <f>IFERROR(INDEX('04 SKU Master'!$AM$5:$AM$165,MATCH($B346,'04 SKU Master'!$A$5:$A$165,0)),"")</f>
        <v/>
      </c>
      <c r="H346" s="150">
        <f>IF(OR($G346="",$F346=""),"",$G346*$F346)</f>
        <v/>
      </c>
      <c r="I346" s="153">
        <f>IF(OR($H346="",SUM($H$339:$H$346)=0),"",$H346/SUM($H$339:$H$346))</f>
        <v/>
      </c>
      <c r="J346" s="175" t="n"/>
      <c r="K346" s="116" t="inlineStr">
        <is>
          <t>Optional/recommended at 1-1.5% of dry weight</t>
        </is>
      </c>
    </row>
    <row r="348" ht="15" customHeight="1" s="106">
      <c r="B348" s="113" t="inlineStr">
        <is>
          <t>Batch net weight (g)</t>
        </is>
      </c>
      <c r="C348" s="111" t="n"/>
      <c r="D348" s="157">
        <f>SUM($F$339:$F$346)</f>
        <v/>
      </c>
    </row>
    <row r="349" ht="15" customHeight="1" s="106">
      <c r="B349" s="113" t="inlineStr">
        <is>
          <t>Lines still unpriced</t>
        </is>
      </c>
      <c r="C349" s="111" t="n"/>
      <c r="D349" s="157">
        <f>COUNTA($B$339:$B$346)-COUNT($H$339:$H$346)</f>
        <v/>
      </c>
    </row>
    <row r="350" ht="15" customHeight="1" s="106">
      <c r="B350" s="113" t="inlineStr">
        <is>
          <t>Batch cost of priced lines (partial)</t>
        </is>
      </c>
      <c r="C350" s="111" t="n"/>
      <c r="D350" s="150">
        <f>IF(COUNT($H$339:$H$346)=0,"",SUM($H$339:$H$346))</f>
        <v/>
      </c>
    </row>
    <row r="351" ht="15" customHeight="1" s="106">
      <c r="B351" s="113" t="inlineStr">
        <is>
          <t>Batch ingredient cost</t>
        </is>
      </c>
      <c r="C351" s="111" t="n"/>
      <c r="D351" s="150">
        <f>IF($D$349&gt;0,"",SUM($H$339:$H$346))</f>
        <v/>
      </c>
    </row>
    <row r="352" ht="15" customHeight="1" s="106">
      <c r="B352" s="113" t="inlineStr">
        <is>
          <t>Ingredient cost per kg</t>
        </is>
      </c>
      <c r="C352" s="111" t="n"/>
      <c r="D352" s="150">
        <f>IF(OR($D$351="",$D$348=0),"",$D$351/($D$348/1000))</f>
        <v/>
      </c>
    </row>
    <row r="353" ht="15" customHeight="1" s="106">
      <c r="B353" s="113" t="inlineStr">
        <is>
          <t xml:space="preserve">  add: CK labour &amp; energy per kg</t>
        </is>
      </c>
      <c r="C353" s="111" t="n"/>
      <c r="D353" s="150">
        <f>'01 Control'!$C$13</f>
        <v/>
      </c>
    </row>
    <row r="354" ht="15" customHeight="1" s="106">
      <c r="B354" s="113" t="inlineStr">
        <is>
          <t xml:space="preserve">  add: CK overhead &amp; distribution per kg</t>
        </is>
      </c>
      <c r="C354" s="111" t="n"/>
      <c r="D354" s="150">
        <f>'01 Control'!$C$14</f>
        <v/>
      </c>
    </row>
    <row r="355" ht="15" customHeight="1" s="106">
      <c r="B355" s="134" t="inlineStr">
        <is>
          <t>Pouch size (kg)</t>
        </is>
      </c>
      <c r="C355" s="111" t="n"/>
      <c r="D355" s="173" t="n">
        <v>2</v>
      </c>
    </row>
    <row r="356" ht="15" customHeight="1" s="106">
      <c r="B356" s="113" t="inlineStr">
        <is>
          <t xml:space="preserve">  add: Pouch, label &amp; carton per kg</t>
        </is>
      </c>
      <c r="C356" s="111" t="n"/>
      <c r="D356" s="150">
        <f>IFERROR((INDEX('05 Packaging Master'!$AM$5:$AM$50,MATCH("PP-PACK-CK-POUCH",'05 Packaging Master'!$A$5:$A$50,0))+INDEX('05 Packaging Master'!$AM$5:$AM$50,MATCH("PP-PACK-CK-LABEL",'05 Packaging Master'!$A$5:$A$50,0))+INDEX('05 Packaging Master'!$AM$5:$AM$50,MATCH("PP-PACK-CK-CARTON",'05 Packaging Master'!$A$5:$A$50,0))/6)/$D$355,0)</f>
        <v/>
      </c>
    </row>
    <row r="357" ht="15" customHeight="1" s="106">
      <c r="B357" s="134" t="inlineStr">
        <is>
          <t>CK TOTAL COST per kg</t>
        </is>
      </c>
      <c r="C357" s="111" t="n"/>
      <c r="D357" s="151">
        <f>IF($D$352="","",$D$352+$D$353+$D$354+$D$356)</f>
        <v/>
      </c>
    </row>
    <row r="358" ht="15" customHeight="1" s="106">
      <c r="B358" s="113" t="inlineStr">
        <is>
          <t>CK margin to franchisee</t>
        </is>
      </c>
      <c r="C358" s="111" t="n"/>
      <c r="D358" s="166">
        <f>'01 Control'!$C$15</f>
        <v/>
      </c>
    </row>
    <row r="359" ht="15" customHeight="1" s="106">
      <c r="B359" s="134" t="inlineStr">
        <is>
          <t>TRANSFER PRICE per kg</t>
        </is>
      </c>
      <c r="C359" s="111" t="n"/>
      <c r="D359" s="151">
        <f>IF($D$357="","",$D$357*(1+$D$358))</f>
        <v/>
      </c>
    </row>
    <row r="360" ht="15" customHeight="1" s="106">
      <c r="B360" s="134" t="inlineStr">
        <is>
          <t>Store portion (g)</t>
        </is>
      </c>
      <c r="C360" s="111" t="n"/>
      <c r="D360" s="168" t="n">
        <v>150</v>
      </c>
    </row>
    <row r="361" ht="15" customHeight="1" s="106">
      <c r="B361" s="134" t="inlineStr">
        <is>
          <t>SERVICE METHOD</t>
        </is>
      </c>
      <c r="C361" s="111" t="n"/>
      <c r="D361" s="171" t="inlineStr">
        <is>
          <t>WOK TO ORDER</t>
        </is>
      </c>
      <c r="E361" s="172" t="inlineStr">
        <is>
          <t>Four-cheese. Held cheese sauce grains and skins - the single most common QSR quality failure. Finished per bowl, then baked.</t>
        </is>
      </c>
    </row>
    <row r="362" ht="15" customHeight="1" s="106">
      <c r="B362" s="134" t="inlineStr">
        <is>
          <t>MAKE POINT</t>
        </is>
      </c>
      <c r="C362" s="111" t="n"/>
      <c r="D362" s="171" t="inlineStr">
        <is>
          <t>CENTRAL KITCHEN</t>
        </is>
      </c>
    </row>
    <row r="363" ht="15" customHeight="1" s="106">
      <c r="B363" s="134" t="inlineStr">
        <is>
          <t>In-store labour minutes per batch</t>
        </is>
      </c>
      <c r="C363" s="111" t="n"/>
      <c r="D363" s="168" t="n">
        <v>85</v>
      </c>
    </row>
    <row r="364" ht="15" customHeight="1" s="106">
      <c r="B364" s="134" t="inlineStr">
        <is>
          <t>In-store energy kWh per batch</t>
        </is>
      </c>
      <c r="C364" s="111" t="n"/>
      <c r="D364" s="173" t="n">
        <v>12</v>
      </c>
    </row>
    <row r="365" ht="15" customHeight="1" s="106">
      <c r="B365" s="113" t="inlineStr">
        <is>
          <t>In-store labour cost per batch</t>
        </is>
      </c>
      <c r="C365" s="111" t="n"/>
      <c r="D365" s="150">
        <f>$D$363/60*'01 Control'!$C$24</f>
        <v/>
      </c>
    </row>
    <row r="366" ht="15" customHeight="1" s="106">
      <c r="B366" s="113" t="inlineStr">
        <is>
          <t>In-store energy cost per batch</t>
        </is>
      </c>
      <c r="C366" s="111" t="n"/>
      <c r="D366" s="150">
        <f>$D$364*'01 Control'!$C$25</f>
        <v/>
      </c>
    </row>
    <row r="367" ht="15" customHeight="1" s="106">
      <c r="B367" s="113" t="inlineStr">
        <is>
          <t>IN-STORE batch cost</t>
        </is>
      </c>
      <c r="C367" s="111" t="n"/>
      <c r="D367" s="150">
        <f>IF($D$351="","",$D$351+$D$365+$D$366)</f>
        <v/>
      </c>
    </row>
    <row r="368" ht="15" customHeight="1" s="106">
      <c r="B368" s="113" t="inlineStr">
        <is>
          <t>IN-STORE cost per kg</t>
        </is>
      </c>
      <c r="C368" s="111" t="n"/>
      <c r="D368" s="150">
        <f>IF(OR($D$367="",$D$348=0),"",$D$367/($D$348/1000))</f>
        <v/>
      </c>
    </row>
    <row r="369" ht="15" customHeight="1" s="106">
      <c r="B369" s="113" t="inlineStr">
        <is>
          <t>IN-STORE cost per portion</t>
        </is>
      </c>
      <c r="C369" s="111" t="n"/>
      <c r="D369" s="150">
        <f>IF($D$368="","",$D$368/1000*$D$360)</f>
        <v/>
      </c>
    </row>
    <row r="370" ht="15" customHeight="1" s="106">
      <c r="B370" s="113" t="inlineStr">
        <is>
          <t>CK cost per portion</t>
        </is>
      </c>
      <c r="C370" s="111" t="n"/>
      <c r="D370" s="150">
        <f>IF($D$357="","",$D$357/1000*$D$360)</f>
        <v/>
      </c>
    </row>
    <row r="371" ht="15" customHeight="1" s="106">
      <c r="B371" s="113" t="inlineStr">
        <is>
          <t>CK TRANSFER PRICE per portion</t>
        </is>
      </c>
      <c r="C371" s="111" t="n"/>
      <c r="D371" s="150">
        <f>IF($D$359="","",$D$359/1000*$D$360)</f>
        <v/>
      </c>
    </row>
    <row r="372" ht="15" customHeight="1" s="106">
      <c r="B372" s="134" t="inlineStr">
        <is>
          <t>FRANCHISEE COST PER PORTION</t>
        </is>
      </c>
      <c r="C372" s="111" t="n"/>
      <c r="D372" s="151">
        <f>IF($D$362="IN-STORE",$D$369,$D$371)</f>
        <v/>
      </c>
    </row>
    <row r="373" ht="15" customHeight="1" s="106">
      <c r="B373" s="134" t="inlineStr">
        <is>
          <t>Franchisee cost per gram (live)</t>
        </is>
      </c>
      <c r="C373" s="111" t="n"/>
      <c r="D373" s="151">
        <f>IF(OR($D$372="",$D$360=0),"",$D$372/$D$360)</f>
        <v/>
      </c>
    </row>
    <row r="374" ht="15" customHeight="1" s="106">
      <c r="B374" s="113" t="inlineStr">
        <is>
          <t>In-store vs CK, per portion</t>
        </is>
      </c>
      <c r="C374" s="111" t="n"/>
      <c r="D374" s="150">
        <f>IF(OR($D$369="",$D$371=""),"",$D$369-$D$371)</f>
        <v/>
      </c>
    </row>
    <row r="375" ht="15" customHeight="1" s="106">
      <c r="B375" s="113" t="inlineStr">
        <is>
          <t>CK margin earned per portion</t>
        </is>
      </c>
      <c r="C375" s="111" t="n"/>
      <c r="D375" s="150">
        <f>IF(OR($D$362&lt;&gt;"CENTRAL KITCHEN",$D$371=""),0,$D$371-$D$370)</f>
        <v/>
      </c>
    </row>
    <row r="376" ht="15" customHeight="1" s="106">
      <c r="B376" s="113" t="inlineStr">
        <is>
          <t>Portions per batch</t>
        </is>
      </c>
      <c r="C376" s="111" t="n"/>
      <c r="D376" s="157">
        <f>$D$348/$D$360</f>
        <v/>
      </c>
    </row>
    <row r="377" ht="15" customHeight="1" s="106">
      <c r="B377" s="113" t="inlineStr">
        <is>
          <t>Pouches per batch</t>
        </is>
      </c>
      <c r="C377" s="111" t="n"/>
      <c r="D377" s="165">
        <f>$D$348/1000/$D$355</f>
        <v/>
      </c>
    </row>
    <row r="378" ht="15" customHeight="1" s="106">
      <c r="B378" s="113" t="inlineStr">
        <is>
          <t>Portions per pouch (= one day-part)</t>
        </is>
      </c>
      <c r="C378" s="111" t="n"/>
      <c r="D378" s="157">
        <f>$D$355*1000/$D$360</f>
        <v/>
      </c>
    </row>
    <row r="379" ht="15" customHeight="1" s="106">
      <c r="B379" s="113" t="inlineStr">
        <is>
          <t>Thawed shelf life (hours)</t>
        </is>
      </c>
      <c r="C379" s="111" t="n"/>
      <c r="D379" s="157">
        <f>'01 Control'!$C$22</f>
        <v/>
      </c>
    </row>
    <row r="382" ht="15" customHeight="1" s="106">
      <c r="A382" s="109" t="inlineStr">
        <is>
          <t>Aglio e Olio Kit   |   PP-SAUCE-ALO   |   Prep kit, not a cooked base - confit garlic, calibrated chilli, EVOO blend.</t>
        </is>
      </c>
      <c r="B382" s="110" t="n"/>
      <c r="C382" s="110" t="n"/>
      <c r="D382" s="110" t="n"/>
      <c r="E382" s="110" t="n"/>
      <c r="F382" s="110" t="n"/>
      <c r="G382" s="110" t="n"/>
      <c r="H382" s="110" t="n"/>
      <c r="I382" s="110" t="n"/>
      <c r="J382" s="110" t="n"/>
      <c r="K382" s="111" t="n"/>
    </row>
    <row r="383" ht="33.75" customHeight="1" s="106">
      <c r="A383" s="112" t="inlineStr">
        <is>
          <t>Sauce</t>
        </is>
      </c>
      <c r="B383" s="112" t="inlineStr">
        <is>
          <t>Ingredient SKU</t>
        </is>
      </c>
      <c r="C383" s="112" t="inlineStr">
        <is>
          <t>Ingredient</t>
        </is>
      </c>
      <c r="D383" s="112" t="inlineStr">
        <is>
          <t>Batch Qty</t>
        </is>
      </c>
      <c r="E383" s="112" t="inlineStr">
        <is>
          <t>Unit</t>
        </is>
      </c>
      <c r="F383" s="112" t="inlineStr">
        <is>
          <t>Base Qty (g/ml)</t>
        </is>
      </c>
      <c r="G383" s="112" t="inlineStr">
        <is>
          <t>Usable Cost per
Base Unit</t>
        </is>
      </c>
      <c r="H383" s="112" t="inlineStr">
        <is>
          <t>Line Cost</t>
        </is>
      </c>
      <c r="I383" s="112" t="inlineStr">
        <is>
          <t>% of Batch
Cost</t>
        </is>
      </c>
      <c r="J383" s="112" t="n"/>
      <c r="K383" s="112" t="inlineStr">
        <is>
          <t>Specification</t>
        </is>
      </c>
    </row>
    <row r="384" ht="15" customHeight="1" s="106">
      <c r="A384" s="163" t="inlineStr">
        <is>
          <t>Aglio e Olio Kit</t>
        </is>
      </c>
      <c r="B384" s="134" t="inlineStr">
        <is>
          <t>PP-EVOO</t>
        </is>
      </c>
      <c r="C384" s="113" t="inlineStr">
        <is>
          <t>Extra-virgin olive oil blend</t>
        </is>
      </c>
      <c r="D384" s="174" t="n">
        <v>6800</v>
      </c>
      <c r="E384" s="164" t="inlineStr">
        <is>
          <t>ml</t>
        </is>
      </c>
      <c r="F384" s="157">
        <f>$D384</f>
        <v/>
      </c>
      <c r="G384" s="150">
        <f>IFERROR(INDEX('04 SKU Master'!$AM$5:$AM$165,MATCH($B384,'04 SKU Master'!$A$5:$A$165,0)),"")</f>
        <v/>
      </c>
      <c r="H384" s="150">
        <f>IF(OR($G384="",$F384=""),"",$G384*$F384)</f>
        <v/>
      </c>
      <c r="I384" s="153">
        <f>IF(OR($H384="",SUM($H$384:$H$388)=0),"",$H384/SUM($H$384:$H$388))</f>
        <v/>
      </c>
      <c r="J384" s="175" t="n"/>
      <c r="K384" s="116" t="inlineStr">
        <is>
          <t>Mouthfeel / aroma carrier; also a finishing item</t>
        </is>
      </c>
    </row>
    <row r="385" ht="15" customHeight="1" s="106">
      <c r="A385" s="163" t="inlineStr">
        <is>
          <t>Aglio e Olio Kit</t>
        </is>
      </c>
      <c r="B385" s="134" t="inlineStr">
        <is>
          <t>PP-GARLIC</t>
        </is>
      </c>
      <c r="C385" s="113" t="inlineStr">
        <is>
          <t>Garlic, sliced / confit</t>
        </is>
      </c>
      <c r="D385" s="174" t="n">
        <v>2200</v>
      </c>
      <c r="E385" s="164" t="inlineStr">
        <is>
          <t>g</t>
        </is>
      </c>
      <c r="F385" s="157">
        <f>$D385</f>
        <v/>
      </c>
      <c r="G385" s="150">
        <f>IFERROR(INDEX('04 SKU Master'!$AM$5:$AM$165,MATCH($B385,'04 SKU Master'!$A$5:$A$165,0)),"")</f>
        <v/>
      </c>
      <c r="H385" s="150">
        <f>IF(OR($G385="",$F385=""),"",$G385*$F385)</f>
        <v/>
      </c>
      <c r="I385" s="153">
        <f>IF(OR($H385="",SUM($H$384:$H$388)=0),"",$H385/SUM($H$384:$H$388))</f>
        <v/>
      </c>
      <c r="J385" s="175" t="n"/>
      <c r="K385" s="116" t="inlineStr">
        <is>
          <t>Every sauce</t>
        </is>
      </c>
    </row>
    <row r="386" ht="15" customHeight="1" s="106">
      <c r="A386" s="163" t="inlineStr">
        <is>
          <t>Aglio e Olio Kit</t>
        </is>
      </c>
      <c r="B386" s="134" t="inlineStr">
        <is>
          <t>PP-CHILLI-FLAKE</t>
        </is>
      </c>
      <c r="C386" s="113" t="inlineStr">
        <is>
          <t>Chilli flakes (calibrated)</t>
        </is>
      </c>
      <c r="D386" s="174" t="n">
        <v>450</v>
      </c>
      <c r="E386" s="164" t="inlineStr">
        <is>
          <t>g</t>
        </is>
      </c>
      <c r="F386" s="157">
        <f>$D386</f>
        <v/>
      </c>
      <c r="G386" s="150">
        <f>IFERROR(INDEX('04 SKU Master'!$AM$5:$AM$165,MATCH($B386,'04 SKU Master'!$A$5:$A$165,0)),"")</f>
        <v/>
      </c>
      <c r="H386" s="150">
        <f>IF(OR($G386="",$F386=""),"",$G386*$F386)</f>
        <v/>
      </c>
      <c r="I386" s="153">
        <f>IF(OR($H386="",SUM($H$384:$H$388)=0),"",$H386/SUM($H$384:$H$388))</f>
        <v/>
      </c>
      <c r="J386" s="175" t="n"/>
      <c r="K386" s="116" t="inlineStr">
        <is>
          <t>Arrabbiata / Aglio e Olio</t>
        </is>
      </c>
    </row>
    <row r="387" ht="15" customHeight="1" s="106">
      <c r="A387" s="163" t="inlineStr">
        <is>
          <t>Aglio e Olio Kit</t>
        </is>
      </c>
      <c r="B387" s="134" t="inlineStr">
        <is>
          <t>PP-CHILLI-OIL</t>
        </is>
      </c>
      <c r="C387" s="113" t="inlineStr">
        <is>
          <t>Chilli oil</t>
        </is>
      </c>
      <c r="D387" s="174" t="n">
        <v>400</v>
      </c>
      <c r="E387" s="164" t="inlineStr">
        <is>
          <t>ml</t>
        </is>
      </c>
      <c r="F387" s="157">
        <f>$D387</f>
        <v/>
      </c>
      <c r="G387" s="150">
        <f>IFERROR(INDEX('04 SKU Master'!$AM$5:$AM$165,MATCH($B387,'04 SKU Master'!$A$5:$A$165,0)),"")</f>
        <v/>
      </c>
      <c r="H387" s="150">
        <f>IF(OR($G387="",$F387=""),"",$G387*$F387)</f>
        <v/>
      </c>
      <c r="I387" s="153">
        <f>IF(OR($H387="",SUM($H$384:$H$388)=0),"",$H387/SUM($H$384:$H$388))</f>
        <v/>
      </c>
      <c r="J387" s="175" t="n"/>
      <c r="K387" s="116" t="inlineStr">
        <is>
          <t>Store finishing item - Mild/Medium/Hot</t>
        </is>
      </c>
    </row>
    <row r="388" ht="15" customHeight="1" s="106">
      <c r="A388" s="163" t="inlineStr">
        <is>
          <t>Aglio e Olio Kit</t>
        </is>
      </c>
      <c r="B388" s="134" t="inlineStr">
        <is>
          <t>PP-HERB-PARSLEY</t>
        </is>
      </c>
      <c r="C388" s="113" t="inlineStr">
        <is>
          <t>Parsley</t>
        </is>
      </c>
      <c r="D388" s="174" t="n">
        <v>150</v>
      </c>
      <c r="E388" s="164" t="inlineStr">
        <is>
          <t>g</t>
        </is>
      </c>
      <c r="F388" s="157">
        <f>$D388</f>
        <v/>
      </c>
      <c r="G388" s="150">
        <f>IFERROR(INDEX('04 SKU Master'!$AM$5:$AM$165,MATCH($B388,'04 SKU Master'!$A$5:$A$165,0)),"")</f>
        <v/>
      </c>
      <c r="H388" s="150">
        <f>IF(OR($G388="",$F388=""),"",$G388*$F388)</f>
        <v/>
      </c>
      <c r="I388" s="153">
        <f>IF(OR($H388="",SUM($H$384:$H$388)=0),"",$H388/SUM($H$384:$H$388))</f>
        <v/>
      </c>
      <c r="J388" s="175" t="n"/>
      <c r="K388" s="116" t="inlineStr">
        <is>
          <t>Aglio e Olio finish</t>
        </is>
      </c>
    </row>
    <row r="390" ht="15" customHeight="1" s="106">
      <c r="B390" s="113" t="inlineStr">
        <is>
          <t>Batch net weight (g)</t>
        </is>
      </c>
      <c r="C390" s="111" t="n"/>
      <c r="D390" s="157">
        <f>SUM($F$384:$F$388)</f>
        <v/>
      </c>
    </row>
    <row r="391" ht="15" customHeight="1" s="106">
      <c r="B391" s="113" t="inlineStr">
        <is>
          <t>Lines still unpriced</t>
        </is>
      </c>
      <c r="C391" s="111" t="n"/>
      <c r="D391" s="157">
        <f>COUNTA($B$384:$B$388)-COUNT($H$384:$H$388)</f>
        <v/>
      </c>
    </row>
    <row r="392" ht="15" customHeight="1" s="106">
      <c r="B392" s="113" t="inlineStr">
        <is>
          <t>Batch cost of priced lines (partial)</t>
        </is>
      </c>
      <c r="C392" s="111" t="n"/>
      <c r="D392" s="150">
        <f>IF(COUNT($H$384:$H$388)=0,"",SUM($H$384:$H$388))</f>
        <v/>
      </c>
    </row>
    <row r="393" ht="15" customHeight="1" s="106">
      <c r="B393" s="113" t="inlineStr">
        <is>
          <t>Batch ingredient cost</t>
        </is>
      </c>
      <c r="C393" s="111" t="n"/>
      <c r="D393" s="150">
        <f>IF($D$391&gt;0,"",SUM($H$384:$H$388))</f>
        <v/>
      </c>
    </row>
    <row r="394" ht="15" customHeight="1" s="106">
      <c r="B394" s="113" t="inlineStr">
        <is>
          <t>Ingredient cost per kg</t>
        </is>
      </c>
      <c r="C394" s="111" t="n"/>
      <c r="D394" s="150">
        <f>IF(OR($D$393="",$D$390=0),"",$D$393/($D$390/1000))</f>
        <v/>
      </c>
    </row>
    <row r="395" ht="15" customHeight="1" s="106">
      <c r="B395" s="113" t="inlineStr">
        <is>
          <t xml:space="preserve">  add: CK labour &amp; energy per kg</t>
        </is>
      </c>
      <c r="C395" s="111" t="n"/>
      <c r="D395" s="150">
        <f>'01 Control'!$C$13</f>
        <v/>
      </c>
    </row>
    <row r="396" ht="15" customHeight="1" s="106">
      <c r="B396" s="113" t="inlineStr">
        <is>
          <t xml:space="preserve">  add: CK overhead &amp; distribution per kg</t>
        </is>
      </c>
      <c r="C396" s="111" t="n"/>
      <c r="D396" s="150">
        <f>'01 Control'!$C$14</f>
        <v/>
      </c>
    </row>
    <row r="397" ht="15" customHeight="1" s="106">
      <c r="B397" s="134" t="inlineStr">
        <is>
          <t>Pouch size (kg)</t>
        </is>
      </c>
      <c r="C397" s="111" t="n"/>
      <c r="D397" s="173" t="n">
        <v>1</v>
      </c>
    </row>
    <row r="398" ht="15" customHeight="1" s="106">
      <c r="B398" s="113" t="inlineStr">
        <is>
          <t xml:space="preserve">  add: Pouch, label &amp; carton per kg</t>
        </is>
      </c>
      <c r="C398" s="111" t="n"/>
      <c r="D398" s="150">
        <f>IFERROR((INDEX('05 Packaging Master'!$AM$5:$AM$50,MATCH("PP-PACK-CK-POUCH",'05 Packaging Master'!$A$5:$A$50,0))+INDEX('05 Packaging Master'!$AM$5:$AM$50,MATCH("PP-PACK-CK-LABEL",'05 Packaging Master'!$A$5:$A$50,0))+INDEX('05 Packaging Master'!$AM$5:$AM$50,MATCH("PP-PACK-CK-CARTON",'05 Packaging Master'!$A$5:$A$50,0))/6)/$D$397,0)</f>
        <v/>
      </c>
    </row>
    <row r="399" ht="15" customHeight="1" s="106">
      <c r="B399" s="134" t="inlineStr">
        <is>
          <t>CK TOTAL COST per kg</t>
        </is>
      </c>
      <c r="C399" s="111" t="n"/>
      <c r="D399" s="151">
        <f>IF($D$394="","",$D$394+$D$395+$D$396+$D$398)</f>
        <v/>
      </c>
    </row>
    <row r="400" ht="15" customHeight="1" s="106">
      <c r="B400" s="113" t="inlineStr">
        <is>
          <t>CK margin to franchisee</t>
        </is>
      </c>
      <c r="C400" s="111" t="n"/>
      <c r="D400" s="166">
        <f>'01 Control'!$C$15</f>
        <v/>
      </c>
    </row>
    <row r="401" ht="15" customHeight="1" s="106">
      <c r="B401" s="134" t="inlineStr">
        <is>
          <t>TRANSFER PRICE per kg</t>
        </is>
      </c>
      <c r="C401" s="111" t="n"/>
      <c r="D401" s="151">
        <f>IF($D$399="","",$D$399*(1+$D$400))</f>
        <v/>
      </c>
    </row>
    <row r="402" ht="15" customHeight="1" s="106">
      <c r="B402" s="134" t="inlineStr">
        <is>
          <t>Store portion (g)</t>
        </is>
      </c>
      <c r="C402" s="111" t="n"/>
      <c r="D402" s="168" t="n">
        <v>35</v>
      </c>
    </row>
    <row r="403" ht="15" customHeight="1" s="106">
      <c r="B403" s="134" t="inlineStr">
        <is>
          <t>SERVICE METHOD</t>
        </is>
      </c>
      <c r="C403" s="111" t="n"/>
      <c r="D403" s="171" t="inlineStr">
        <is>
          <t>WOK TO ORDER</t>
        </is>
      </c>
      <c r="E403" s="172" t="inlineStr">
        <is>
          <t>A prep kit, not a cooked sauce. Confit garlic and EVOO emulsify in the wok with the pasta water.</t>
        </is>
      </c>
    </row>
    <row r="404" ht="15" customHeight="1" s="106">
      <c r="B404" s="134" t="inlineStr">
        <is>
          <t>MAKE POINT</t>
        </is>
      </c>
      <c r="C404" s="111" t="n"/>
      <c r="D404" s="171" t="inlineStr">
        <is>
          <t>CENTRAL KITCHEN</t>
        </is>
      </c>
    </row>
    <row r="405" ht="15" customHeight="1" s="106">
      <c r="B405" s="134" t="inlineStr">
        <is>
          <t>In-store labour minutes per batch</t>
        </is>
      </c>
      <c r="C405" s="111" t="n"/>
      <c r="D405" s="168" t="n">
        <v>45</v>
      </c>
    </row>
    <row r="406" ht="15" customHeight="1" s="106">
      <c r="B406" s="134" t="inlineStr">
        <is>
          <t>In-store energy kWh per batch</t>
        </is>
      </c>
      <c r="C406" s="111" t="n"/>
      <c r="D406" s="173" t="n">
        <v>2</v>
      </c>
    </row>
    <row r="407" ht="15" customHeight="1" s="106">
      <c r="B407" s="113" t="inlineStr">
        <is>
          <t>In-store labour cost per batch</t>
        </is>
      </c>
      <c r="C407" s="111" t="n"/>
      <c r="D407" s="150">
        <f>$D$405/60*'01 Control'!$C$24</f>
        <v/>
      </c>
    </row>
    <row r="408" ht="15" customHeight="1" s="106">
      <c r="B408" s="113" t="inlineStr">
        <is>
          <t>In-store energy cost per batch</t>
        </is>
      </c>
      <c r="C408" s="111" t="n"/>
      <c r="D408" s="150">
        <f>$D$406*'01 Control'!$C$25</f>
        <v/>
      </c>
    </row>
    <row r="409" ht="15" customHeight="1" s="106">
      <c r="B409" s="113" t="inlineStr">
        <is>
          <t>IN-STORE batch cost</t>
        </is>
      </c>
      <c r="C409" s="111" t="n"/>
      <c r="D409" s="150">
        <f>IF($D$393="","",$D$393+$D$407+$D$408)</f>
        <v/>
      </c>
    </row>
    <row r="410" ht="15" customHeight="1" s="106">
      <c r="B410" s="113" t="inlineStr">
        <is>
          <t>IN-STORE cost per kg</t>
        </is>
      </c>
      <c r="C410" s="111" t="n"/>
      <c r="D410" s="150">
        <f>IF(OR($D$409="",$D$390=0),"",$D$409/($D$390/1000))</f>
        <v/>
      </c>
    </row>
    <row r="411" ht="15" customHeight="1" s="106">
      <c r="B411" s="113" t="inlineStr">
        <is>
          <t>IN-STORE cost per portion</t>
        </is>
      </c>
      <c r="C411" s="111" t="n"/>
      <c r="D411" s="150">
        <f>IF($D$410="","",$D$410/1000*$D$402)</f>
        <v/>
      </c>
    </row>
    <row r="412" ht="15" customHeight="1" s="106">
      <c r="B412" s="113" t="inlineStr">
        <is>
          <t>CK cost per portion</t>
        </is>
      </c>
      <c r="C412" s="111" t="n"/>
      <c r="D412" s="150">
        <f>IF($D$399="","",$D$399/1000*$D$402)</f>
        <v/>
      </c>
    </row>
    <row r="413" ht="15" customHeight="1" s="106">
      <c r="B413" s="113" t="inlineStr">
        <is>
          <t>CK TRANSFER PRICE per portion</t>
        </is>
      </c>
      <c r="C413" s="111" t="n"/>
      <c r="D413" s="150">
        <f>IF($D$401="","",$D$401/1000*$D$402)</f>
        <v/>
      </c>
    </row>
    <row r="414" ht="15" customHeight="1" s="106">
      <c r="B414" s="134" t="inlineStr">
        <is>
          <t>FRANCHISEE COST PER PORTION</t>
        </is>
      </c>
      <c r="C414" s="111" t="n"/>
      <c r="D414" s="151">
        <f>IF($D$404="IN-STORE",$D$411,$D$413)</f>
        <v/>
      </c>
    </row>
    <row r="415" ht="15" customHeight="1" s="106">
      <c r="B415" s="134" t="inlineStr">
        <is>
          <t>Franchisee cost per gram (live)</t>
        </is>
      </c>
      <c r="C415" s="111" t="n"/>
      <c r="D415" s="151">
        <f>IF(OR($D$414="",$D$402=0),"",$D$414/$D$402)</f>
        <v/>
      </c>
    </row>
    <row r="416" ht="15" customHeight="1" s="106">
      <c r="B416" s="113" t="inlineStr">
        <is>
          <t>In-store vs CK, per portion</t>
        </is>
      </c>
      <c r="C416" s="111" t="n"/>
      <c r="D416" s="150">
        <f>IF(OR($D$411="",$D$413=""),"",$D$411-$D$413)</f>
        <v/>
      </c>
    </row>
    <row r="417" ht="15" customHeight="1" s="106">
      <c r="B417" s="113" t="inlineStr">
        <is>
          <t>CK margin earned per portion</t>
        </is>
      </c>
      <c r="C417" s="111" t="n"/>
      <c r="D417" s="150">
        <f>IF(OR($D$404&lt;&gt;"CENTRAL KITCHEN",$D$413=""),0,$D$413-$D$412)</f>
        <v/>
      </c>
    </row>
    <row r="418" ht="15" customHeight="1" s="106">
      <c r="B418" s="113" t="inlineStr">
        <is>
          <t>Portions per batch</t>
        </is>
      </c>
      <c r="C418" s="111" t="n"/>
      <c r="D418" s="157">
        <f>$D$390/$D$402</f>
        <v/>
      </c>
    </row>
    <row r="419" ht="15" customHeight="1" s="106">
      <c r="B419" s="113" t="inlineStr">
        <is>
          <t>Pouches per batch</t>
        </is>
      </c>
      <c r="C419" s="111" t="n"/>
      <c r="D419" s="165">
        <f>$D$390/1000/$D$397</f>
        <v/>
      </c>
    </row>
    <row r="420" ht="15" customHeight="1" s="106">
      <c r="B420" s="113" t="inlineStr">
        <is>
          <t>Portions per pouch (= one day-part)</t>
        </is>
      </c>
      <c r="C420" s="111" t="n"/>
      <c r="D420" s="157">
        <f>$D$397*1000/$D$402</f>
        <v/>
      </c>
    </row>
    <row r="421" ht="15" customHeight="1" s="106">
      <c r="B421" s="113" t="inlineStr">
        <is>
          <t>Thawed shelf life (hours)</t>
        </is>
      </c>
      <c r="C421" s="111" t="n"/>
      <c r="D421" s="157">
        <f>'01 Control'!$C$22</f>
        <v/>
      </c>
    </row>
  </sheetData>
  <sheetProtection selectLockedCells="0" selectUnlockedCells="0" sheet="1" objects="0" insertRows="1" insertHyperlinks="1" autoFilter="0" scenarios="0" formatColumns="0" deleteColumns="1" insertColumns="1" pivotTables="1" deleteRows="1" formatCells="0" formatRows="0" sort="0"/>
  <mergeCells count="310">
    <mergeCell ref="A64:K64"/>
    <mergeCell ref="B141:C141"/>
    <mergeCell ref="B235:C235"/>
    <mergeCell ref="B362:C362"/>
    <mergeCell ref="E361:K361"/>
    <mergeCell ref="B312:C312"/>
    <mergeCell ref="B243:C243"/>
    <mergeCell ref="B376:C376"/>
    <mergeCell ref="B314:C314"/>
    <mergeCell ref="B363:C363"/>
    <mergeCell ref="B55:C55"/>
    <mergeCell ref="B154:C154"/>
    <mergeCell ref="B390:C390"/>
    <mergeCell ref="B129:C129"/>
    <mergeCell ref="E316:K316"/>
    <mergeCell ref="B365:C365"/>
    <mergeCell ref="B131:C131"/>
    <mergeCell ref="B236:C236"/>
    <mergeCell ref="B223:C223"/>
    <mergeCell ref="B220:C220"/>
    <mergeCell ref="B195:C195"/>
    <mergeCell ref="B231:C231"/>
    <mergeCell ref="B287:C287"/>
    <mergeCell ref="B53:C53"/>
    <mergeCell ref="E92:K92"/>
    <mergeCell ref="B84:C84"/>
    <mergeCell ref="B142:C142"/>
    <mergeCell ref="B313:C313"/>
    <mergeCell ref="B80:C80"/>
    <mergeCell ref="B213:C213"/>
    <mergeCell ref="B378:C378"/>
    <mergeCell ref="B79:C79"/>
    <mergeCell ref="B315:C315"/>
    <mergeCell ref="B144:C144"/>
    <mergeCell ref="B242:C242"/>
    <mergeCell ref="B81:C81"/>
    <mergeCell ref="B366:C366"/>
    <mergeCell ref="A1:K1"/>
    <mergeCell ref="B318:C318"/>
    <mergeCell ref="B170:C170"/>
    <mergeCell ref="B333:C333"/>
    <mergeCell ref="B234:C234"/>
    <mergeCell ref="B34:C34"/>
    <mergeCell ref="B172:C172"/>
    <mergeCell ref="B99:C99"/>
    <mergeCell ref="B270:C270"/>
    <mergeCell ref="B397:C397"/>
    <mergeCell ref="B239:C239"/>
    <mergeCell ref="B92:C92"/>
    <mergeCell ref="B30:C30"/>
    <mergeCell ref="A4:K4"/>
    <mergeCell ref="B94:C94"/>
    <mergeCell ref="B361:C361"/>
    <mergeCell ref="E179:K179"/>
    <mergeCell ref="B150:C150"/>
    <mergeCell ref="B321:C321"/>
    <mergeCell ref="B263:C263"/>
    <mergeCell ref="B152:C152"/>
    <mergeCell ref="B323:C323"/>
    <mergeCell ref="B244:C244"/>
    <mergeCell ref="B229:C229"/>
    <mergeCell ref="B145:C145"/>
    <mergeCell ref="B181:C181"/>
    <mergeCell ref="B87:C87"/>
    <mergeCell ref="B258:C258"/>
    <mergeCell ref="B147:C147"/>
    <mergeCell ref="B260:C260"/>
    <mergeCell ref="B36:C36"/>
    <mergeCell ref="B334:C334"/>
    <mergeCell ref="B309:C309"/>
    <mergeCell ref="B100:C100"/>
    <mergeCell ref="B271:C271"/>
    <mergeCell ref="B311:C311"/>
    <mergeCell ref="A291:K291"/>
    <mergeCell ref="B31:C31"/>
    <mergeCell ref="B102:C102"/>
    <mergeCell ref="B400:C400"/>
    <mergeCell ref="B402:C402"/>
    <mergeCell ref="B377:C377"/>
    <mergeCell ref="B191:C191"/>
    <mergeCell ref="E403:K403"/>
    <mergeCell ref="B178:C178"/>
    <mergeCell ref="A2:K2"/>
    <mergeCell ref="B49:C49"/>
    <mergeCell ref="B316:C316"/>
    <mergeCell ref="B266:C266"/>
    <mergeCell ref="B32:C32"/>
    <mergeCell ref="B330:C330"/>
    <mergeCell ref="B197:C197"/>
    <mergeCell ref="B268:C268"/>
    <mergeCell ref="B324:C324"/>
    <mergeCell ref="B90:C90"/>
    <mergeCell ref="B261:C261"/>
    <mergeCell ref="B179:C179"/>
    <mergeCell ref="B166:C166"/>
    <mergeCell ref="B408:C408"/>
    <mergeCell ref="B352:C352"/>
    <mergeCell ref="B103:C103"/>
    <mergeCell ref="B37:C37"/>
    <mergeCell ref="B174:C174"/>
    <mergeCell ref="B230:C230"/>
    <mergeCell ref="B279:C279"/>
    <mergeCell ref="B168:C168"/>
    <mergeCell ref="B410:C410"/>
    <mergeCell ref="B281:C281"/>
    <mergeCell ref="B403:C403"/>
    <mergeCell ref="B169:C169"/>
    <mergeCell ref="B355:C355"/>
    <mergeCell ref="B134:C134"/>
    <mergeCell ref="B194:C194"/>
    <mergeCell ref="A337:K337"/>
    <mergeCell ref="B357:C357"/>
    <mergeCell ref="B96:C96"/>
    <mergeCell ref="B332:C332"/>
    <mergeCell ref="B307:C307"/>
    <mergeCell ref="B58:C58"/>
    <mergeCell ref="B52:C52"/>
    <mergeCell ref="B350:C350"/>
    <mergeCell ref="B421:C421"/>
    <mergeCell ref="B98:C98"/>
    <mergeCell ref="E43:K43"/>
    <mergeCell ref="B396:C396"/>
    <mergeCell ref="B60:C60"/>
    <mergeCell ref="B358:C358"/>
    <mergeCell ref="B398:C398"/>
    <mergeCell ref="A113:K113"/>
    <mergeCell ref="B187:C187"/>
    <mergeCell ref="B241:C241"/>
    <mergeCell ref="B124:C124"/>
    <mergeCell ref="B189:C189"/>
    <mergeCell ref="B45:C45"/>
    <mergeCell ref="B216:C216"/>
    <mergeCell ref="B305:C305"/>
    <mergeCell ref="B188:C188"/>
    <mergeCell ref="B126:C126"/>
    <mergeCell ref="B109:C109"/>
    <mergeCell ref="B280:C280"/>
    <mergeCell ref="B47:C47"/>
    <mergeCell ref="B218:C218"/>
    <mergeCell ref="B351:C351"/>
    <mergeCell ref="B411:C411"/>
    <mergeCell ref="B59:C59"/>
    <mergeCell ref="B190:C190"/>
    <mergeCell ref="B46:C46"/>
    <mergeCell ref="B282:C282"/>
    <mergeCell ref="B409:C409"/>
    <mergeCell ref="B48:C48"/>
    <mergeCell ref="B219:C219"/>
    <mergeCell ref="B371:C371"/>
    <mergeCell ref="B137:C137"/>
    <mergeCell ref="B308:C308"/>
    <mergeCell ref="B379:C379"/>
    <mergeCell ref="B360:C360"/>
    <mergeCell ref="B372:C372"/>
    <mergeCell ref="B139:C139"/>
    <mergeCell ref="B310:C310"/>
    <mergeCell ref="A200:K200"/>
    <mergeCell ref="B399:C399"/>
    <mergeCell ref="B374:C374"/>
    <mergeCell ref="B232:C232"/>
    <mergeCell ref="B326:C326"/>
    <mergeCell ref="B215:C215"/>
    <mergeCell ref="B61:C61"/>
    <mergeCell ref="B367:C367"/>
    <mergeCell ref="B283:C283"/>
    <mergeCell ref="B354:C354"/>
    <mergeCell ref="B348:C348"/>
    <mergeCell ref="B419:C419"/>
    <mergeCell ref="B127:C127"/>
    <mergeCell ref="A17:K17"/>
    <mergeCell ref="B285:C285"/>
    <mergeCell ref="B51:C51"/>
    <mergeCell ref="E226:K226"/>
    <mergeCell ref="B237:C237"/>
    <mergeCell ref="B138:C138"/>
    <mergeCell ref="B140:C140"/>
    <mergeCell ref="B238:C238"/>
    <mergeCell ref="B303:C303"/>
    <mergeCell ref="B240:C240"/>
    <mergeCell ref="B329:C329"/>
    <mergeCell ref="B95:C95"/>
    <mergeCell ref="B418:C418"/>
    <mergeCell ref="B89:C89"/>
    <mergeCell ref="B356:C356"/>
    <mergeCell ref="B331:C331"/>
    <mergeCell ref="B393:C393"/>
    <mergeCell ref="B368:C368"/>
    <mergeCell ref="B306:C306"/>
    <mergeCell ref="B97:C97"/>
    <mergeCell ref="B153:C153"/>
    <mergeCell ref="B420:C420"/>
    <mergeCell ref="B224:C224"/>
    <mergeCell ref="B395:C395"/>
    <mergeCell ref="B370:C370"/>
    <mergeCell ref="B184:C184"/>
    <mergeCell ref="B228:C228"/>
    <mergeCell ref="B322:C322"/>
    <mergeCell ref="B42:C42"/>
    <mergeCell ref="B88:C88"/>
    <mergeCell ref="B148:C148"/>
    <mergeCell ref="B82:C82"/>
    <mergeCell ref="B44:C44"/>
    <mergeCell ref="B146:C146"/>
    <mergeCell ref="B317:C317"/>
    <mergeCell ref="B304:C304"/>
    <mergeCell ref="B108:C108"/>
    <mergeCell ref="B375:C375"/>
    <mergeCell ref="B83:C83"/>
    <mergeCell ref="B143:C143"/>
    <mergeCell ref="B319:C319"/>
    <mergeCell ref="B85:C85"/>
    <mergeCell ref="A382:K382"/>
    <mergeCell ref="B401:C401"/>
    <mergeCell ref="B167:C167"/>
    <mergeCell ref="B272:C272"/>
    <mergeCell ref="B259:C259"/>
    <mergeCell ref="B136:C136"/>
    <mergeCell ref="B225:C225"/>
    <mergeCell ref="B274:C274"/>
    <mergeCell ref="B175:C175"/>
    <mergeCell ref="B267:C267"/>
    <mergeCell ref="B373:C373"/>
    <mergeCell ref="B269:C269"/>
    <mergeCell ref="B325:C325"/>
    <mergeCell ref="E270:K270"/>
    <mergeCell ref="B414:C414"/>
    <mergeCell ref="B91:C91"/>
    <mergeCell ref="B327:C327"/>
    <mergeCell ref="B416:C416"/>
    <mergeCell ref="B193:C193"/>
    <mergeCell ref="B93:C93"/>
    <mergeCell ref="B149:C149"/>
    <mergeCell ref="B264:C264"/>
    <mergeCell ref="B320:C320"/>
    <mergeCell ref="B391:C391"/>
    <mergeCell ref="E136:K136"/>
    <mergeCell ref="B86:C86"/>
    <mergeCell ref="B262:C262"/>
    <mergeCell ref="B151:C151"/>
    <mergeCell ref="A16:K16"/>
    <mergeCell ref="B101:C101"/>
    <mergeCell ref="B182:C182"/>
    <mergeCell ref="B38:C38"/>
    <mergeCell ref="B40:C40"/>
    <mergeCell ref="B183:C183"/>
    <mergeCell ref="B177:C177"/>
    <mergeCell ref="B33:C33"/>
    <mergeCell ref="B104:C104"/>
    <mergeCell ref="B275:C275"/>
    <mergeCell ref="B406:C406"/>
    <mergeCell ref="B41:C41"/>
    <mergeCell ref="B35:C35"/>
    <mergeCell ref="B106:C106"/>
    <mergeCell ref="B277:C277"/>
    <mergeCell ref="B404:C404"/>
    <mergeCell ref="B180:C180"/>
    <mergeCell ref="B130:C130"/>
    <mergeCell ref="B353:C353"/>
    <mergeCell ref="B328:C328"/>
    <mergeCell ref="B132:C132"/>
    <mergeCell ref="B417:C417"/>
    <mergeCell ref="B392:C392"/>
    <mergeCell ref="B196:C196"/>
    <mergeCell ref="B186:C186"/>
    <mergeCell ref="B257:C257"/>
    <mergeCell ref="B288:C288"/>
    <mergeCell ref="B394:C394"/>
    <mergeCell ref="B265:C265"/>
    <mergeCell ref="B54:C54"/>
    <mergeCell ref="B125:C125"/>
    <mergeCell ref="A157:K157"/>
    <mergeCell ref="B185:C185"/>
    <mergeCell ref="B56:C56"/>
    <mergeCell ref="B105:C105"/>
    <mergeCell ref="B276:C276"/>
    <mergeCell ref="B43:C43"/>
    <mergeCell ref="B176:C176"/>
    <mergeCell ref="B214:C214"/>
    <mergeCell ref="B412:C412"/>
    <mergeCell ref="B107:C107"/>
    <mergeCell ref="B278:C278"/>
    <mergeCell ref="B405:C405"/>
    <mergeCell ref="B57:C57"/>
    <mergeCell ref="B171:C171"/>
    <mergeCell ref="B407:C407"/>
    <mergeCell ref="A247:K247"/>
    <mergeCell ref="B359:C359"/>
    <mergeCell ref="B133:C133"/>
    <mergeCell ref="B369:C369"/>
    <mergeCell ref="B173:C173"/>
    <mergeCell ref="B135:C135"/>
    <mergeCell ref="B233:C233"/>
    <mergeCell ref="B227:C227"/>
    <mergeCell ref="B273:C273"/>
    <mergeCell ref="B39:C39"/>
    <mergeCell ref="B349:C349"/>
    <mergeCell ref="B128:C128"/>
    <mergeCell ref="B226:C226"/>
    <mergeCell ref="B364:C364"/>
    <mergeCell ref="B413:C413"/>
    <mergeCell ref="B217:C217"/>
    <mergeCell ref="B192:C192"/>
    <mergeCell ref="B284:C284"/>
    <mergeCell ref="B222:C222"/>
    <mergeCell ref="B415:C415"/>
    <mergeCell ref="B123:C123"/>
    <mergeCell ref="B50:C50"/>
    <mergeCell ref="B221:C221"/>
    <mergeCell ref="B110:C110"/>
    <mergeCell ref="B286:C286"/>
  </mergeCells>
  <dataValidations count="2">
    <dataValidation sqref="D43 D92 D136 D179 D226 D270 D316 D361 D403" showDropDown="0" showInputMessage="0" showErrorMessage="1" allowBlank="0" errorTitle="Service method" error="Choose WARMER, WOK TO ORDER or COLD." type="list" errorStyle="stop" operator="between">
      <formula1>"WARMER,WOK TO ORDER,COLD"</formula1>
      <formula2>0</formula2>
    </dataValidation>
    <dataValidation sqref="D44 D93 D137 D180 D227 D271 D317 D362 D404" showDropDown="0" showInputMessage="0" showErrorMessage="1" allowBlank="0" errorTitle="Make point" error="Choose IN-STORE or CENTRAL KITCHEN." type="list" errorStyle="stop" operator="between">
      <formula1>"IN-STORE,CENTRAL KITCHEN"</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K331"/>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 customWidth="1" style="105" min="1" max="1"/>
    <col width="22" customWidth="1" style="105" min="2" max="2"/>
    <col width="44" customWidth="1" style="105" min="3" max="3"/>
    <col width="12" customWidth="1" style="105" min="4" max="4"/>
    <col width="8" customWidth="1" style="105" min="5" max="5"/>
    <col width="14" customWidth="1" style="105" min="6" max="7"/>
    <col width="16" customWidth="1" style="105" min="8" max="8"/>
    <col width="14" customWidth="1" style="105" min="9" max="10"/>
    <col width="44" customWidth="1" style="105" min="11" max="11"/>
  </cols>
  <sheetData>
    <row r="1" ht="30" customHeight="1" s="106">
      <c r="A1" s="107" t="inlineStr">
        <is>
          <t>CENTRAL KITCHEN SAUCE BOM  -  THE SEASONAL BASES</t>
        </is>
      </c>
    </row>
    <row r="2" ht="18" customHeight="1" s="106">
      <c r="A2" s="108" t="inlineStr">
        <is>
          <t>Tier 2. The seven drops the concept doc gives their OWN commissary base - a special curry-tomato base, a coconut-cream base, a curry-cream base, a peanut-cream base and so on. These are separate CK products with their own batch, pouch and transfer price, not a core sauce with a spice added at the store. Everything else in the rotation runs on a core base from 07. SERVICE METHOD works exactly as it does on 07 - only the bases that hold well take a warmer well; the cream and coconut bases and the raw pastes do not.</t>
        </is>
      </c>
    </row>
    <row r="4" ht="15" customHeight="1" s="106">
      <c r="A4" s="128" t="inlineStr">
        <is>
          <t>SUMMARY  -  BATCH COST  -&gt;  CK COST  -&gt;  FRANCHISEE TRANSFER PRICE</t>
        </is>
      </c>
      <c r="B4" s="110" t="n"/>
      <c r="C4" s="110" t="n"/>
      <c r="D4" s="110" t="n"/>
      <c r="E4" s="110" t="n"/>
      <c r="F4" s="110" t="n"/>
      <c r="G4" s="110" t="n"/>
      <c r="H4" s="110" t="n"/>
      <c r="I4" s="110" t="n"/>
      <c r="J4" s="110" t="n"/>
      <c r="K4" s="111" t="n"/>
    </row>
    <row r="5" ht="43.5" customHeight="1" s="106">
      <c r="A5" s="112" t="inlineStr">
        <is>
          <t>Sauce</t>
        </is>
      </c>
      <c r="B5" s="112" t="inlineStr">
        <is>
          <t>Cost Index Code</t>
        </is>
      </c>
      <c r="C5" s="112" t="inlineStr">
        <is>
          <t>What it is</t>
        </is>
      </c>
      <c r="D5" s="112" t="inlineStr">
        <is>
          <t>Batch
(kg)</t>
        </is>
      </c>
      <c r="E5" s="112" t="inlineStr">
        <is>
          <t>Portion
(g)</t>
        </is>
      </c>
      <c r="F5" s="112" t="inlineStr">
        <is>
          <t>Batch Ingredient
Cost</t>
        </is>
      </c>
      <c r="G5" s="112" t="inlineStr">
        <is>
          <t>Ingredient
Cost / kg</t>
        </is>
      </c>
      <c r="H5" s="112" t="inlineStr">
        <is>
          <t>CK Total
Cost / kg</t>
        </is>
      </c>
      <c r="I5" s="112" t="inlineStr">
        <is>
          <t>Transfer Price
/ kg</t>
        </is>
      </c>
      <c r="J5" s="112" t="inlineStr">
        <is>
          <t>Franchisee Cost
per Portion</t>
        </is>
      </c>
      <c r="K5" s="112" t="inlineStr">
        <is>
          <t>Cost Status</t>
        </is>
      </c>
    </row>
    <row r="6" ht="25.5" customHeight="1" s="106">
      <c r="A6" s="134" t="inlineStr">
        <is>
          <t>Durban Curry-Tomato Base</t>
        </is>
      </c>
      <c r="B6" s="113" t="inlineStr">
        <is>
          <t>PP-SEASAUCE-CURRYTOM</t>
        </is>
      </c>
      <c r="C6" s="116" t="inlineStr">
        <is>
          <t>The concept doc calls for a SPECIAL curry-tomato base, not Napoletana plus masala.</t>
        </is>
      </c>
      <c r="D6" s="137" t="n">
        <v>20</v>
      </c>
      <c r="E6" s="152">
        <f>$D$39</f>
        <v/>
      </c>
      <c r="F6" s="150">
        <f>$D$30</f>
        <v/>
      </c>
      <c r="G6" s="150">
        <f>$D$31</f>
        <v/>
      </c>
      <c r="H6" s="150">
        <f>$D$36</f>
        <v/>
      </c>
      <c r="I6" s="151">
        <f>$D$38</f>
        <v/>
      </c>
      <c r="J6" s="151">
        <f>$D$51</f>
        <v/>
      </c>
      <c r="K6" s="162">
        <f>IF($D$28&gt;0,"INCOMPLETE - "&amp;$D$28&amp;" line(s) unpriced. Priced so far: "&amp;"R "&amp;TEXT(N($D$29),"#,##0.00"),"READY")</f>
        <v/>
      </c>
    </row>
    <row r="7" ht="25.5" customHeight="1" s="106">
      <c r="A7" s="134" t="inlineStr">
        <is>
          <t>Slow-Braised Oxtail-Style Ragu</t>
        </is>
      </c>
      <c r="B7" s="113" t="inlineStr">
        <is>
          <t>PP-SEASAUCE-OXTAIL</t>
        </is>
      </c>
      <c r="C7" s="116" t="inlineStr">
        <is>
          <t>A rich alcohol-free slow braise in its own right - the beef is IN the base, not added at store.</t>
        </is>
      </c>
      <c r="D7" s="137" t="n">
        <v>20</v>
      </c>
      <c r="E7" s="152">
        <f>$D$87</f>
        <v/>
      </c>
      <c r="F7" s="150">
        <f>$D$78</f>
        <v/>
      </c>
      <c r="G7" s="150">
        <f>$D$79</f>
        <v/>
      </c>
      <c r="H7" s="150">
        <f>$D$84</f>
        <v/>
      </c>
      <c r="I7" s="151">
        <f>$D$86</f>
        <v/>
      </c>
      <c r="J7" s="151">
        <f>$D$99</f>
        <v/>
      </c>
      <c r="K7" s="162">
        <f>IF($D$76&gt;0,"INCOMPLETE - "&amp;$D$76&amp;" line(s) unpriced. Priced so far: "&amp;"R "&amp;TEXT(N($D$77),"#,##0.00"),"READY")</f>
        <v/>
      </c>
    </row>
    <row r="8" ht="25.5" customHeight="1" s="106">
      <c r="A8" s="134" t="inlineStr">
        <is>
          <t>Chakalaka Relish Base</t>
        </is>
      </c>
      <c r="B8" s="113" t="inlineStr">
        <is>
          <t>PP-SEASAUCE-CHAKALAKA</t>
        </is>
      </c>
      <c r="C8" s="116" t="inlineStr">
        <is>
          <t>A relish, not a sauce - spooned onto the Arrabbiata base at the store.</t>
        </is>
      </c>
      <c r="D8" s="137" t="n">
        <v>10</v>
      </c>
      <c r="E8" s="152">
        <f>$D$133</f>
        <v/>
      </c>
      <c r="F8" s="150">
        <f>$D$124</f>
        <v/>
      </c>
      <c r="G8" s="150">
        <f>$D$125</f>
        <v/>
      </c>
      <c r="H8" s="150">
        <f>$D$130</f>
        <v/>
      </c>
      <c r="I8" s="151">
        <f>$D$132</f>
        <v/>
      </c>
      <c r="J8" s="151">
        <f>$D$145</f>
        <v/>
      </c>
      <c r="K8" s="162">
        <f>IF($D$122&gt;0,"INCOMPLETE - "&amp;$D$122&amp;" line(s) unpriced. Priced so far: "&amp;"R "&amp;TEXT(N($D$123),"#,##0.00"),"READY")</f>
        <v/>
      </c>
    </row>
    <row r="9" ht="25.5" customHeight="1" s="106">
      <c r="A9" s="134" t="inlineStr">
        <is>
          <t>Coconut-Cream Base</t>
        </is>
      </c>
      <c r="B9" s="113" t="inlineStr">
        <is>
          <t>PP-SEASAUCE-COCONUT</t>
        </is>
      </c>
      <c r="C9" s="116" t="inlineStr">
        <is>
          <t>Its own coconut-cream base - the doc does not build this one on Alfredo.</t>
        </is>
      </c>
      <c r="D9" s="137" t="n">
        <v>20</v>
      </c>
      <c r="E9" s="152">
        <f>$D$178</f>
        <v/>
      </c>
      <c r="F9" s="150">
        <f>$D$169</f>
        <v/>
      </c>
      <c r="G9" s="150">
        <f>$D$170</f>
        <v/>
      </c>
      <c r="H9" s="150">
        <f>$D$175</f>
        <v/>
      </c>
      <c r="I9" s="151">
        <f>$D$177</f>
        <v/>
      </c>
      <c r="J9" s="151">
        <f>$D$190</f>
        <v/>
      </c>
      <c r="K9" s="162">
        <f>IF($D$167&gt;0,"INCOMPLETE - "&amp;$D$167&amp;" line(s) unpriced. Priced so far: "&amp;"R "&amp;TEXT(N($D$168),"#,##0.00"),"READY")</f>
        <v/>
      </c>
    </row>
    <row r="10" ht="25.5" customHeight="1" s="106">
      <c r="A10" s="134" t="inlineStr">
        <is>
          <t>Cape Malay Curry-Cream Base</t>
        </is>
      </c>
      <c r="B10" s="113" t="inlineStr">
        <is>
          <t>PP-SEASAUCE-CAPEMALAY</t>
        </is>
      </c>
      <c r="C10" s="116" t="inlineStr">
        <is>
          <t>The doc specifies a curry-CREAM base - gentle Cape Malay masala, not Alfredo plus spice.</t>
        </is>
      </c>
      <c r="D10" s="137" t="n">
        <v>20</v>
      </c>
      <c r="E10" s="152">
        <f>$D$224</f>
        <v/>
      </c>
      <c r="F10" s="150">
        <f>$D$215</f>
        <v/>
      </c>
      <c r="G10" s="150">
        <f>$D$216</f>
        <v/>
      </c>
      <c r="H10" s="150">
        <f>$D$221</f>
        <v/>
      </c>
      <c r="I10" s="151">
        <f>$D$223</f>
        <v/>
      </c>
      <c r="J10" s="151">
        <f>$D$236</f>
        <v/>
      </c>
      <c r="K10" s="162">
        <f>IF($D$213&gt;0,"INCOMPLETE - "&amp;$D$213&amp;" line(s) unpriced. Priced so far: "&amp;"R "&amp;TEXT(N($D$214),"#,##0.00"),"READY")</f>
        <v/>
      </c>
    </row>
    <row r="11" ht="25.5" customHeight="1" s="106">
      <c r="A11" s="134" t="inlineStr">
        <is>
          <t>Chermoula Herb Paste</t>
        </is>
      </c>
      <c r="B11" s="113" t="inlineStr">
        <is>
          <t>PP-SEASAUCE-CHERMOULA</t>
        </is>
      </c>
      <c r="C11" s="116" t="inlineStr">
        <is>
          <t>A raw cold herb paste like pesto - &lt;=4 C, short-dated, snap-chilled.</t>
        </is>
      </c>
      <c r="D11" s="137" t="n">
        <v>10</v>
      </c>
      <c r="E11" s="152">
        <f>$D$267</f>
        <v/>
      </c>
      <c r="F11" s="150">
        <f>$D$258</f>
        <v/>
      </c>
      <c r="G11" s="150">
        <f>$D$259</f>
        <v/>
      </c>
      <c r="H11" s="150">
        <f>$D$264</f>
        <v/>
      </c>
      <c r="I11" s="151">
        <f>$D$266</f>
        <v/>
      </c>
      <c r="J11" s="151">
        <f>$D$279</f>
        <v/>
      </c>
      <c r="K11" s="162">
        <f>IF($D$256&gt;0,"INCOMPLETE - "&amp;$D$256&amp;" line(s) unpriced. Priced so far: "&amp;"R "&amp;TEXT(N($D$257),"#,##0.00"),"READY")</f>
        <v/>
      </c>
    </row>
    <row r="12" ht="25.5" customHeight="1" s="106">
      <c r="A12" s="134" t="inlineStr">
        <is>
          <t>Groundnut Cream Base</t>
        </is>
      </c>
      <c r="B12" s="113" t="inlineStr">
        <is>
          <t>PP-SEASAUCE-GROUNDNUT</t>
        </is>
      </c>
      <c r="C12" s="116" t="inlineStr">
        <is>
          <t>PEANUT ALLERGEN - dedicated batch, segregated line and labelling (see 02.05).</t>
        </is>
      </c>
      <c r="D12" s="137" t="n">
        <v>20</v>
      </c>
      <c r="E12" s="152">
        <f>$D$312</f>
        <v/>
      </c>
      <c r="F12" s="150">
        <f>$D$303</f>
        <v/>
      </c>
      <c r="G12" s="150">
        <f>$D$304</f>
        <v/>
      </c>
      <c r="H12" s="150">
        <f>$D$309</f>
        <v/>
      </c>
      <c r="I12" s="151">
        <f>$D$311</f>
        <v/>
      </c>
      <c r="J12" s="151">
        <f>$D$324</f>
        <v/>
      </c>
      <c r="K12" s="162">
        <f>IF($D$301&gt;0,"INCOMPLETE - "&amp;$D$301&amp;" line(s) unpriced. Priced so far: "&amp;"R "&amp;TEXT(N($D$302),"#,##0.00"),"READY")</f>
        <v/>
      </c>
    </row>
    <row r="14" ht="15" customHeight="1" s="106">
      <c r="A14" s="135" t="inlineStr">
        <is>
          <t>Transfer price = (ingredients + CK labour + CK overhead + pouch, label and carton) x (1 + CK margin). All four levers live on 01 Control. Portions per pouch tells you how many bowls one thawed pouch serves - the pouch should be sized to one trading day.</t>
        </is>
      </c>
    </row>
    <row r="15" ht="15" customHeight="1" s="106">
      <c r="A15" s="109" t="inlineStr">
        <is>
          <t>Durban Curry-Tomato Base   |   PP-SEASAUCE-CURRYTOM   |   The concept doc calls for a SPECIAL curry-tomato base, not Napoletana plus masala.   |   USED IN: Y1 Winter Durban-Curry Beef; Y3 Winter bring-back</t>
        </is>
      </c>
      <c r="B15" s="110" t="n"/>
      <c r="C15" s="110" t="n"/>
      <c r="D15" s="110" t="n"/>
      <c r="E15" s="110" t="n"/>
      <c r="F15" s="110" t="n"/>
      <c r="G15" s="110" t="n"/>
      <c r="H15" s="110" t="n"/>
      <c r="I15" s="110" t="n"/>
      <c r="J15" s="110" t="n"/>
      <c r="K15" s="111" t="n"/>
    </row>
    <row r="16" ht="33.75" customHeight="1" s="106">
      <c r="A16" s="112" t="inlineStr">
        <is>
          <t>Sauce</t>
        </is>
      </c>
      <c r="B16" s="112" t="inlineStr">
        <is>
          <t>Ingredient SKU</t>
        </is>
      </c>
      <c r="C16" s="112" t="inlineStr">
        <is>
          <t>Ingredient</t>
        </is>
      </c>
      <c r="D16" s="112" t="inlineStr">
        <is>
          <t>Batch Qty</t>
        </is>
      </c>
      <c r="E16" s="112" t="inlineStr">
        <is>
          <t>Unit</t>
        </is>
      </c>
      <c r="F16" s="112" t="inlineStr">
        <is>
          <t>Base Qty (g/ml)</t>
        </is>
      </c>
      <c r="G16" s="112" t="inlineStr">
        <is>
          <t>Usable Cost per
Base Unit</t>
        </is>
      </c>
      <c r="H16" s="112" t="inlineStr">
        <is>
          <t>Line Cost</t>
        </is>
      </c>
      <c r="I16" s="112" t="inlineStr">
        <is>
          <t>% of Batch
Cost</t>
        </is>
      </c>
      <c r="J16" s="112" t="n"/>
      <c r="K16" s="112" t="inlineStr">
        <is>
          <t>Specification</t>
        </is>
      </c>
    </row>
    <row r="17" ht="15" customHeight="1" s="106">
      <c r="A17" s="163" t="inlineStr">
        <is>
          <t>Durban Curry-Tomato Base</t>
        </is>
      </c>
      <c r="B17" s="134" t="inlineStr">
        <is>
          <t>PP-TOM-PLUM</t>
        </is>
      </c>
      <c r="C17" s="113" t="inlineStr">
        <is>
          <t>Plum tomatoes</t>
        </is>
      </c>
      <c r="D17" s="174" t="n">
        <v>11000</v>
      </c>
      <c r="E17" s="164" t="inlineStr">
        <is>
          <t>g</t>
        </is>
      </c>
      <c r="F17" s="157">
        <f>$D17</f>
        <v/>
      </c>
      <c r="G17" s="150">
        <f>IFERROR(INDEX('04 SKU Master'!$AM$5:$AM$165,MATCH($B17,'04 SKU Master'!$A$5:$A$165,0)),"")</f>
        <v/>
      </c>
      <c r="H17" s="150">
        <f>IF(OR($G17="",$F17=""),"",$G17*$F17)</f>
        <v/>
      </c>
      <c r="I17" s="153">
        <f>IF(OR($H17="",SUM($H$17:$H$25)=0),"",$H17/SUM($H$17:$H$25))</f>
        <v/>
      </c>
      <c r="J17" s="175" t="n"/>
      <c r="K17" s="116" t="inlineStr">
        <is>
          <t>Napoletana / Bolognese / Arrabbiata base</t>
        </is>
      </c>
    </row>
    <row r="18" ht="15" customHeight="1" s="106">
      <c r="A18" s="163" t="inlineStr">
        <is>
          <t>Durban Curry-Tomato Base</t>
        </is>
      </c>
      <c r="B18" s="134" t="inlineStr">
        <is>
          <t>PP-TOM-PASTE</t>
        </is>
      </c>
      <c r="C18" s="113" t="inlineStr">
        <is>
          <t>Tomato paste</t>
        </is>
      </c>
      <c r="D18" s="174" t="n">
        <v>900</v>
      </c>
      <c r="E18" s="164" t="inlineStr">
        <is>
          <t>g</t>
        </is>
      </c>
      <c r="F18" s="157">
        <f>$D18</f>
        <v/>
      </c>
      <c r="G18" s="150">
        <f>IFERROR(INDEX('04 SKU Master'!$AM$5:$AM$165,MATCH($B18,'04 SKU Master'!$A$5:$A$165,0)),"")</f>
        <v/>
      </c>
      <c r="H18" s="150">
        <f>IF(OR($G18="",$F18=""),"",$G18*$F18)</f>
        <v/>
      </c>
      <c r="I18" s="153">
        <f>IF(OR($H18="",SUM($H$17:$H$25)=0),"",$H18/SUM($H$17:$H$25))</f>
        <v/>
      </c>
      <c r="J18" s="175" t="n"/>
      <c r="K18" s="116" t="inlineStr">
        <is>
          <t>Depth without wine (alcohol-free build)</t>
        </is>
      </c>
    </row>
    <row r="19" ht="15" customHeight="1" s="106">
      <c r="A19" s="163" t="inlineStr">
        <is>
          <t>Durban Curry-Tomato Base</t>
        </is>
      </c>
      <c r="B19" s="134" t="inlineStr">
        <is>
          <t>PP-ONION</t>
        </is>
      </c>
      <c r="C19" s="113" t="inlineStr">
        <is>
          <t>Onion</t>
        </is>
      </c>
      <c r="D19" s="174" t="n">
        <v>2200</v>
      </c>
      <c r="E19" s="164" t="inlineStr">
        <is>
          <t>g</t>
        </is>
      </c>
      <c r="F19" s="157">
        <f>$D19</f>
        <v/>
      </c>
      <c r="G19" s="150">
        <f>IFERROR(INDEX('04 SKU Master'!$AM$5:$AM$165,MATCH($B19,'04 SKU Master'!$A$5:$A$165,0)),"")</f>
        <v/>
      </c>
      <c r="H19" s="150">
        <f>IF(OR($G19="",$F19=""),"",$G19*$F19)</f>
        <v/>
      </c>
      <c r="I19" s="153">
        <f>IF(OR($H19="",SUM($H$17:$H$25)=0),"",$H19/SUM($H$17:$H$25))</f>
        <v/>
      </c>
      <c r="J19" s="175" t="n"/>
      <c r="K19" s="116" t="inlineStr">
        <is>
          <t>Soffritto base</t>
        </is>
      </c>
    </row>
    <row r="20" ht="15" customHeight="1" s="106">
      <c r="A20" s="163" t="inlineStr">
        <is>
          <t>Durban Curry-Tomato Base</t>
        </is>
      </c>
      <c r="B20" s="134" t="inlineStr">
        <is>
          <t>PP-GARLIC</t>
        </is>
      </c>
      <c r="C20" s="113" t="inlineStr">
        <is>
          <t>Garlic</t>
        </is>
      </c>
      <c r="D20" s="174" t="n">
        <v>500</v>
      </c>
      <c r="E20" s="164" t="inlineStr">
        <is>
          <t>g</t>
        </is>
      </c>
      <c r="F20" s="157">
        <f>$D20</f>
        <v/>
      </c>
      <c r="G20" s="150">
        <f>IFERROR(INDEX('04 SKU Master'!$AM$5:$AM$165,MATCH($B20,'04 SKU Master'!$A$5:$A$165,0)),"")</f>
        <v/>
      </c>
      <c r="H20" s="150">
        <f>IF(OR($G20="",$F20=""),"",$G20*$F20)</f>
        <v/>
      </c>
      <c r="I20" s="153">
        <f>IF(OR($H20="",SUM($H$17:$H$25)=0),"",$H20/SUM($H$17:$H$25))</f>
        <v/>
      </c>
      <c r="J20" s="175" t="n"/>
      <c r="K20" s="116" t="inlineStr">
        <is>
          <t>Every sauce</t>
        </is>
      </c>
    </row>
    <row r="21" ht="15" customHeight="1" s="106">
      <c r="A21" s="163" t="inlineStr">
        <is>
          <t>Durban Curry-Tomato Base</t>
        </is>
      </c>
      <c r="B21" s="134" t="inlineStr">
        <is>
          <t>PP-SPICE-DURBAN</t>
        </is>
      </c>
      <c r="C21" s="113" t="inlineStr">
        <is>
          <t>Durban masala (mother-in-law)</t>
        </is>
      </c>
      <c r="D21" s="174" t="n">
        <v>700</v>
      </c>
      <c r="E21" s="164" t="inlineStr">
        <is>
          <t>g</t>
        </is>
      </c>
      <c r="F21" s="157">
        <f>$D21</f>
        <v/>
      </c>
      <c r="G21" s="150">
        <f>IFERROR(INDEX('04 SKU Master'!$AM$5:$AM$165,MATCH($B21,'04 SKU Master'!$A$5:$A$165,0)),"")</f>
        <v/>
      </c>
      <c r="H21" s="150">
        <f>IF(OR($G21="",$F21=""),"",$G21*$F21)</f>
        <v/>
      </c>
      <c r="I21" s="153">
        <f>IF(OR($H21="",SUM($H$17:$H$25)=0),"",$H21/SUM($H$17:$H$25))</f>
        <v/>
      </c>
      <c r="J21" s="175" t="n"/>
      <c r="K21" s="116" t="inlineStr">
        <is>
          <t>Y1 Winter, Y3 bring-back</t>
        </is>
      </c>
    </row>
    <row r="22" ht="15" customHeight="1" s="106">
      <c r="A22" s="163" t="inlineStr">
        <is>
          <t>Durban Curry-Tomato Base</t>
        </is>
      </c>
      <c r="B22" s="134" t="inlineStr">
        <is>
          <t>PP-OIL</t>
        </is>
      </c>
      <c r="C22" s="113" t="inlineStr">
        <is>
          <t>Cooking oil</t>
        </is>
      </c>
      <c r="D22" s="174" t="n">
        <v>1100</v>
      </c>
      <c r="E22" s="164" t="inlineStr">
        <is>
          <t>ml</t>
        </is>
      </c>
      <c r="F22" s="157">
        <f>$D22</f>
        <v/>
      </c>
      <c r="G22" s="150">
        <f>IFERROR(INDEX('04 SKU Master'!$AM$5:$AM$165,MATCH($B22,'04 SKU Master'!$A$5:$A$165,0)),"")</f>
        <v/>
      </c>
      <c r="H22" s="150">
        <f>IF(OR($G22="",$F22=""),"",$G22*$F22)</f>
        <v/>
      </c>
      <c r="I22" s="153">
        <f>IF(OR($H22="",SUM($H$17:$H$25)=0),"",$H22/SUM($H$17:$H$25))</f>
        <v/>
      </c>
      <c r="J22" s="175" t="n"/>
      <c r="K22" s="116" t="inlineStr">
        <is>
          <t>Commissary soffritto base</t>
        </is>
      </c>
    </row>
    <row r="23" ht="15" customHeight="1" s="106">
      <c r="A23" s="163" t="inlineStr">
        <is>
          <t>Durban Curry-Tomato Base</t>
        </is>
      </c>
      <c r="B23" s="134" t="inlineStr">
        <is>
          <t>PP-STOCK-BEEF</t>
        </is>
      </c>
      <c r="C23" s="113" t="inlineStr">
        <is>
          <t>Beef stock (halaal)</t>
        </is>
      </c>
      <c r="D23" s="174" t="n">
        <v>3000</v>
      </c>
      <c r="E23" s="164" t="inlineStr">
        <is>
          <t>ml</t>
        </is>
      </c>
      <c r="F23" s="157">
        <f>$D23</f>
        <v/>
      </c>
      <c r="G23" s="150">
        <f>IFERROR(INDEX('04 SKU Master'!$AM$5:$AM$165,MATCH($B23,'04 SKU Master'!$A$5:$A$165,0)),"")</f>
        <v/>
      </c>
      <c r="H23" s="150">
        <f>IF(OR($G23="",$F23=""),"",$G23*$F23)</f>
        <v/>
      </c>
      <c r="I23" s="153">
        <f>IF(OR($H23="",SUM($H$17:$H$25)=0),"",$H23/SUM($H$17:$H$25))</f>
        <v/>
      </c>
      <c r="J23" s="175" t="n"/>
      <c r="K23" s="116" t="inlineStr">
        <is>
          <t>Halaal-certified</t>
        </is>
      </c>
    </row>
    <row r="24" ht="15" customHeight="1" s="106">
      <c r="A24" s="163" t="inlineStr">
        <is>
          <t>Durban Curry-Tomato Base</t>
        </is>
      </c>
      <c r="B24" s="134" t="inlineStr">
        <is>
          <t>PP-SUGAR</t>
        </is>
      </c>
      <c r="C24" s="113" t="inlineStr">
        <is>
          <t>Sugar</t>
        </is>
      </c>
      <c r="D24" s="174" t="n">
        <v>100</v>
      </c>
      <c r="E24" s="164" t="inlineStr">
        <is>
          <t>g</t>
        </is>
      </c>
      <c r="F24" s="157">
        <f>$D24</f>
        <v/>
      </c>
      <c r="G24" s="150">
        <f>IFERROR(INDEX('04 SKU Master'!$AM$5:$AM$165,MATCH($B24,'04 SKU Master'!$A$5:$A$165,0)),"")</f>
        <v/>
      </c>
      <c r="H24" s="150">
        <f>IF(OR($G24="",$F24=""),"",$G24*$F24)</f>
        <v/>
      </c>
      <c r="I24" s="153">
        <f>IF(OR($H24="",SUM($H$17:$H$25)=0),"",$H24/SUM($H$17:$H$25))</f>
        <v/>
      </c>
      <c r="J24" s="175" t="n"/>
      <c r="K24" s="116" t="inlineStr">
        <is>
          <t>Whisper only - balance, not sweetness</t>
        </is>
      </c>
    </row>
    <row r="25" ht="15" customHeight="1" s="106">
      <c r="A25" s="163" t="inlineStr">
        <is>
          <t>Durban Curry-Tomato Base</t>
        </is>
      </c>
      <c r="B25" s="134" t="inlineStr">
        <is>
          <t>PP-SALT</t>
        </is>
      </c>
      <c r="C25" s="113" t="inlineStr">
        <is>
          <t>Salt</t>
        </is>
      </c>
      <c r="D25" s="174" t="n">
        <v>180</v>
      </c>
      <c r="E25" s="164" t="inlineStr">
        <is>
          <t>g</t>
        </is>
      </c>
      <c r="F25" s="157">
        <f>$D25</f>
        <v/>
      </c>
      <c r="G25" s="150">
        <f>IFERROR(INDEX('04 SKU Master'!$AM$5:$AM$165,MATCH($B25,'04 SKU Master'!$A$5:$A$165,0)),"")</f>
        <v/>
      </c>
      <c r="H25" s="150">
        <f>IF(OR($G25="",$F25=""),"",$G25*$F25)</f>
        <v/>
      </c>
      <c r="I25" s="153">
        <f>IF(OR($H25="",SUM($H$17:$H$25)=0),"",$H25/SUM($H$17:$H$25))</f>
        <v/>
      </c>
      <c r="J25" s="175" t="n"/>
      <c r="K25" s="116" t="inlineStr">
        <is>
          <t>Optional/recommended at 1-1.5% of dry weight</t>
        </is>
      </c>
    </row>
    <row r="27" ht="15" customHeight="1" s="106">
      <c r="B27" s="113" t="inlineStr">
        <is>
          <t>Batch net weight (g)</t>
        </is>
      </c>
      <c r="C27" s="111" t="n"/>
      <c r="D27" s="157">
        <f>SUM($F$17:$F$25)</f>
        <v/>
      </c>
    </row>
    <row r="28" ht="15" customHeight="1" s="106">
      <c r="B28" s="113" t="inlineStr">
        <is>
          <t>Lines still unpriced</t>
        </is>
      </c>
      <c r="C28" s="111" t="n"/>
      <c r="D28" s="157">
        <f>COUNTA($B$17:$B$25)-COUNT($H$17:$H$25)</f>
        <v/>
      </c>
    </row>
    <row r="29" ht="15" customHeight="1" s="106">
      <c r="B29" s="113" t="inlineStr">
        <is>
          <t>Batch cost of priced lines (partial)</t>
        </is>
      </c>
      <c r="C29" s="111" t="n"/>
      <c r="D29" s="150">
        <f>IF(COUNT($H$17:$H$25)=0,"",SUM($H$17:$H$25))</f>
        <v/>
      </c>
    </row>
    <row r="30" ht="15" customHeight="1" s="106">
      <c r="B30" s="113" t="inlineStr">
        <is>
          <t>Batch ingredient cost</t>
        </is>
      </c>
      <c r="C30" s="111" t="n"/>
      <c r="D30" s="150">
        <f>IF($D$28&gt;0,"",SUM($H$17:$H$25))</f>
        <v/>
      </c>
    </row>
    <row r="31" ht="15" customHeight="1" s="106">
      <c r="B31" s="113" t="inlineStr">
        <is>
          <t>Ingredient cost per kg</t>
        </is>
      </c>
      <c r="C31" s="111" t="n"/>
      <c r="D31" s="150">
        <f>IF(OR($D$30="",$D$27=0),"",$D$30/($D$27/1000))</f>
        <v/>
      </c>
    </row>
    <row r="32" ht="15" customHeight="1" s="106">
      <c r="B32" s="113" t="inlineStr">
        <is>
          <t xml:space="preserve">  add: CK labour &amp; energy per kg</t>
        </is>
      </c>
      <c r="C32" s="111" t="n"/>
      <c r="D32" s="150">
        <f>'01 Control'!$C$13</f>
        <v/>
      </c>
    </row>
    <row r="33" ht="15" customHeight="1" s="106">
      <c r="B33" s="113" t="inlineStr">
        <is>
          <t xml:space="preserve">  add: CK overhead &amp; distribution per kg</t>
        </is>
      </c>
      <c r="C33" s="111" t="n"/>
      <c r="D33" s="150">
        <f>'01 Control'!$C$14</f>
        <v/>
      </c>
    </row>
    <row r="34" ht="15" customHeight="1" s="106">
      <c r="B34" s="134" t="inlineStr">
        <is>
          <t>Pouch size (kg)</t>
        </is>
      </c>
      <c r="C34" s="111" t="n"/>
      <c r="D34" s="173" t="n">
        <v>2</v>
      </c>
    </row>
    <row r="35" ht="15" customHeight="1" s="106">
      <c r="B35" s="113" t="inlineStr">
        <is>
          <t xml:space="preserve">  add: Pouch, label &amp; carton per kg</t>
        </is>
      </c>
      <c r="C35" s="111" t="n"/>
      <c r="D35" s="150">
        <f>IFERROR((INDEX('05 Packaging Master'!$AM$5:$AM$50,MATCH("PP-PACK-CK-POUCH",'05 Packaging Master'!$A$5:$A$50,0))+INDEX('05 Packaging Master'!$AM$5:$AM$50,MATCH("PP-PACK-CK-LABEL",'05 Packaging Master'!$A$5:$A$50,0))+INDEX('05 Packaging Master'!$AM$5:$AM$50,MATCH("PP-PACK-CK-CARTON",'05 Packaging Master'!$A$5:$A$50,0))/6)/$D$34,0)</f>
        <v/>
      </c>
    </row>
    <row r="36" ht="15" customHeight="1" s="106">
      <c r="B36" s="134" t="inlineStr">
        <is>
          <t>CK TOTAL COST per kg</t>
        </is>
      </c>
      <c r="C36" s="111" t="n"/>
      <c r="D36" s="151">
        <f>IF($D$31="","",$D$31+$D$32+$D$33+$D$35)</f>
        <v/>
      </c>
    </row>
    <row r="37" ht="15" customHeight="1" s="106">
      <c r="B37" s="113" t="inlineStr">
        <is>
          <t>CK margin to franchisee</t>
        </is>
      </c>
      <c r="C37" s="111" t="n"/>
      <c r="D37" s="166">
        <f>'01 Control'!$C$15</f>
        <v/>
      </c>
    </row>
    <row r="38" ht="15" customHeight="1" s="106">
      <c r="B38" s="134" t="inlineStr">
        <is>
          <t>TRANSFER PRICE per kg</t>
        </is>
      </c>
      <c r="C38" s="111" t="n"/>
      <c r="D38" s="151">
        <f>IF($D$36="","",$D$36*(1+$D$37))</f>
        <v/>
      </c>
    </row>
    <row r="39" ht="15" customHeight="1" s="106">
      <c r="B39" s="134" t="inlineStr">
        <is>
          <t>Store portion (g)</t>
        </is>
      </c>
      <c r="C39" s="111" t="n"/>
      <c r="D39" s="168" t="n">
        <v>150</v>
      </c>
    </row>
    <row r="40" ht="15" customHeight="1" s="106">
      <c r="B40" s="134" t="inlineStr">
        <is>
          <t>SERVICE METHOD</t>
        </is>
      </c>
      <c r="C40" s="111" t="n"/>
      <c r="D40" s="171" t="inlineStr">
        <is>
          <t>WARMER</t>
        </is>
      </c>
      <c r="E40" s="172" t="inlineStr">
        <is>
          <t>Curry-tomato. Spice blooms on the hold - it gets better.</t>
        </is>
      </c>
    </row>
    <row r="41" ht="15" customHeight="1" s="106">
      <c r="B41" s="134" t="inlineStr">
        <is>
          <t>MAKE POINT</t>
        </is>
      </c>
      <c r="C41" s="111" t="n"/>
      <c r="D41" s="171" t="inlineStr">
        <is>
          <t>CENTRAL KITCHEN</t>
        </is>
      </c>
    </row>
    <row r="42" ht="15" customHeight="1" s="106">
      <c r="B42" s="134" t="inlineStr">
        <is>
          <t>In-store labour minutes per batch</t>
        </is>
      </c>
      <c r="C42" s="111" t="n"/>
      <c r="D42" s="168" t="n">
        <v>95</v>
      </c>
    </row>
    <row r="43" ht="15" customHeight="1" s="106">
      <c r="B43" s="134" t="inlineStr">
        <is>
          <t>In-store energy kWh per batch</t>
        </is>
      </c>
      <c r="C43" s="111" t="n"/>
      <c r="D43" s="173" t="n">
        <v>14</v>
      </c>
    </row>
    <row r="44" ht="15" customHeight="1" s="106">
      <c r="B44" s="113" t="inlineStr">
        <is>
          <t>In-store labour cost per batch</t>
        </is>
      </c>
      <c r="C44" s="111" t="n"/>
      <c r="D44" s="150">
        <f>$D$42/60*'01 Control'!$C$24</f>
        <v/>
      </c>
    </row>
    <row r="45" ht="15" customHeight="1" s="106">
      <c r="B45" s="113" t="inlineStr">
        <is>
          <t>In-store energy cost per batch</t>
        </is>
      </c>
      <c r="C45" s="111" t="n"/>
      <c r="D45" s="150">
        <f>$D$43*'01 Control'!$C$25</f>
        <v/>
      </c>
    </row>
    <row r="46" ht="15" customHeight="1" s="106">
      <c r="B46" s="113" t="inlineStr">
        <is>
          <t>IN-STORE batch cost</t>
        </is>
      </c>
      <c r="C46" s="111" t="n"/>
      <c r="D46" s="150">
        <f>IF($D$30="","",$D$30+$D$44+$D$45)</f>
        <v/>
      </c>
    </row>
    <row r="47" ht="15" customHeight="1" s="106">
      <c r="B47" s="113" t="inlineStr">
        <is>
          <t>IN-STORE cost per kg</t>
        </is>
      </c>
      <c r="C47" s="111" t="n"/>
      <c r="D47" s="150">
        <f>IF(OR($D$46="",$D$27=0),"",$D$46/($D$27/1000))</f>
        <v/>
      </c>
    </row>
    <row r="48" ht="15" customHeight="1" s="106">
      <c r="B48" s="113" t="inlineStr">
        <is>
          <t>IN-STORE cost per portion</t>
        </is>
      </c>
      <c r="C48" s="111" t="n"/>
      <c r="D48" s="150">
        <f>IF($D$47="","",$D$47/1000*$D$39)</f>
        <v/>
      </c>
    </row>
    <row r="49" ht="15" customHeight="1" s="106">
      <c r="B49" s="113" t="inlineStr">
        <is>
          <t>CK cost per portion</t>
        </is>
      </c>
      <c r="C49" s="111" t="n"/>
      <c r="D49" s="150">
        <f>IF($D$36="","",$D$36/1000*$D$39)</f>
        <v/>
      </c>
    </row>
    <row r="50" ht="15" customHeight="1" s="106">
      <c r="B50" s="113" t="inlineStr">
        <is>
          <t>CK TRANSFER PRICE per portion</t>
        </is>
      </c>
      <c r="C50" s="111" t="n"/>
      <c r="D50" s="150">
        <f>IF($D$38="","",$D$38/1000*$D$39)</f>
        <v/>
      </c>
    </row>
    <row r="51" ht="15" customHeight="1" s="106">
      <c r="B51" s="134" t="inlineStr">
        <is>
          <t>FRANCHISEE COST PER PORTION</t>
        </is>
      </c>
      <c r="C51" s="111" t="n"/>
      <c r="D51" s="151">
        <f>IF($D$41="IN-STORE",$D$48,$D$50)</f>
        <v/>
      </c>
    </row>
    <row r="52" ht="15" customHeight="1" s="106">
      <c r="B52" s="134" t="inlineStr">
        <is>
          <t>Franchisee cost per gram (live)</t>
        </is>
      </c>
      <c r="C52" s="111" t="n"/>
      <c r="D52" s="151">
        <f>IF(OR($D$51="",$D$39=0),"",$D$51/$D$39)</f>
        <v/>
      </c>
    </row>
    <row r="53" ht="15" customHeight="1" s="106">
      <c r="B53" s="113" t="inlineStr">
        <is>
          <t>In-store vs CK, per portion</t>
        </is>
      </c>
      <c r="C53" s="111" t="n"/>
      <c r="D53" s="150">
        <f>IF(OR($D$48="",$D$50=""),"",$D$48-$D$50)</f>
        <v/>
      </c>
    </row>
    <row r="54" ht="15" customHeight="1" s="106">
      <c r="B54" s="113" t="inlineStr">
        <is>
          <t>CK margin earned per portion</t>
        </is>
      </c>
      <c r="C54" s="111" t="n"/>
      <c r="D54" s="150">
        <f>IF(OR($D$41&lt;&gt;"CENTRAL KITCHEN",$D$50=""),0,$D$50-$D$49)</f>
        <v/>
      </c>
    </row>
    <row r="55" ht="15" customHeight="1" s="106">
      <c r="B55" s="113" t="inlineStr">
        <is>
          <t>Portions per batch</t>
        </is>
      </c>
      <c r="C55" s="111" t="n"/>
      <c r="D55" s="157">
        <f>$D$27/$D$39</f>
        <v/>
      </c>
    </row>
    <row r="56" ht="15" customHeight="1" s="106">
      <c r="B56" s="113" t="inlineStr">
        <is>
          <t>Pouches per batch</t>
        </is>
      </c>
      <c r="C56" s="111" t="n"/>
      <c r="D56" s="165">
        <f>$D$27/1000/$D$34</f>
        <v/>
      </c>
    </row>
    <row r="57" ht="15" customHeight="1" s="106">
      <c r="B57" s="113" t="inlineStr">
        <is>
          <t>Portions per pouch (= one day-part)</t>
        </is>
      </c>
      <c r="C57" s="111" t="n"/>
      <c r="D57" s="157">
        <f>$D$34*1000/$D$39</f>
        <v/>
      </c>
    </row>
    <row r="58" ht="15" customHeight="1" s="106">
      <c r="B58" s="113" t="inlineStr">
        <is>
          <t>Thawed shelf life (hours)</t>
        </is>
      </c>
      <c r="C58" s="111" t="n"/>
      <c r="D58" s="157">
        <f>'01 Control'!$C$22</f>
        <v/>
      </c>
    </row>
    <row r="61" ht="15" customHeight="1" s="106">
      <c r="A61" s="109" t="inlineStr">
        <is>
          <t>Slow-Braised Oxtail-Style Ragu   |   PP-SEASAUCE-OXTAIL   |   A rich alcohol-free slow braise in its own right - the beef is IN the base, not added at store.   |   USED IN: Y1 Winter Slow-Braised Beef (oxtail-style) Ragu</t>
        </is>
      </c>
      <c r="B61" s="110" t="n"/>
      <c r="C61" s="110" t="n"/>
      <c r="D61" s="110" t="n"/>
      <c r="E61" s="110" t="n"/>
      <c r="F61" s="110" t="n"/>
      <c r="G61" s="110" t="n"/>
      <c r="H61" s="110" t="n"/>
      <c r="I61" s="110" t="n"/>
      <c r="J61" s="110" t="n"/>
      <c r="K61" s="111" t="n"/>
    </row>
    <row r="62" ht="33.75" customHeight="1" s="106">
      <c r="A62" s="112" t="inlineStr">
        <is>
          <t>Sauce</t>
        </is>
      </c>
      <c r="B62" s="112" t="inlineStr">
        <is>
          <t>Ingredient SKU</t>
        </is>
      </c>
      <c r="C62" s="112" t="inlineStr">
        <is>
          <t>Ingredient</t>
        </is>
      </c>
      <c r="D62" s="112" t="inlineStr">
        <is>
          <t>Batch Qty</t>
        </is>
      </c>
      <c r="E62" s="112" t="inlineStr">
        <is>
          <t>Unit</t>
        </is>
      </c>
      <c r="F62" s="112" t="inlineStr">
        <is>
          <t>Base Qty (g/ml)</t>
        </is>
      </c>
      <c r="G62" s="112" t="inlineStr">
        <is>
          <t>Usable Cost per
Base Unit</t>
        </is>
      </c>
      <c r="H62" s="112" t="inlineStr">
        <is>
          <t>Line Cost</t>
        </is>
      </c>
      <c r="I62" s="112" t="inlineStr">
        <is>
          <t>% of Batch
Cost</t>
        </is>
      </c>
      <c r="J62" s="112" t="n"/>
      <c r="K62" s="112" t="inlineStr">
        <is>
          <t>Specification</t>
        </is>
      </c>
    </row>
    <row r="63" ht="15" customHeight="1" s="106">
      <c r="A63" s="163" t="inlineStr">
        <is>
          <t>Slow-Braised Oxtail-Style Ragu</t>
        </is>
      </c>
      <c r="B63" s="134" t="inlineStr">
        <is>
          <t>PP-BEEF-SHRED</t>
        </is>
      </c>
      <c r="C63" s="113" t="inlineStr">
        <is>
          <t>Slow-braised shredded beef</t>
        </is>
      </c>
      <c r="D63" s="174" t="n">
        <v>6500</v>
      </c>
      <c r="E63" s="164" t="inlineStr">
        <is>
          <t>g</t>
        </is>
      </c>
      <c r="F63" s="157">
        <f>$D63</f>
        <v/>
      </c>
      <c r="G63" s="150">
        <f>IFERROR(INDEX('04 SKU Master'!$AM$5:$AM$165,MATCH($B63,'04 SKU Master'!$A$5:$A$165,0)),"")</f>
        <v/>
      </c>
      <c r="H63" s="150">
        <f>IF(OR($G63="",$F63=""),"",$G63*$F63)</f>
        <v/>
      </c>
      <c r="I63" s="153">
        <f>IF(OR($H63="",SUM($H$63:$H$73)=0),"",$H63/SUM($H$63:$H$73))</f>
        <v/>
      </c>
      <c r="J63" s="175" t="n"/>
      <c r="K63" s="116" t="inlineStr">
        <is>
          <t>Seasonal - BBQ pulled beef</t>
        </is>
      </c>
    </row>
    <row r="64" ht="15" customHeight="1" s="106">
      <c r="A64" s="163" t="inlineStr">
        <is>
          <t>Slow-Braised Oxtail-Style Ragu</t>
        </is>
      </c>
      <c r="B64" s="134" t="inlineStr">
        <is>
          <t>PP-TOM-PLUM</t>
        </is>
      </c>
      <c r="C64" s="113" t="inlineStr">
        <is>
          <t>Plum tomatoes</t>
        </is>
      </c>
      <c r="D64" s="174" t="n">
        <v>5300</v>
      </c>
      <c r="E64" s="164" t="inlineStr">
        <is>
          <t>g</t>
        </is>
      </c>
      <c r="F64" s="157">
        <f>$D64</f>
        <v/>
      </c>
      <c r="G64" s="150">
        <f>IFERROR(INDEX('04 SKU Master'!$AM$5:$AM$165,MATCH($B64,'04 SKU Master'!$A$5:$A$165,0)),"")</f>
        <v/>
      </c>
      <c r="H64" s="150">
        <f>IF(OR($G64="",$F64=""),"",$G64*$F64)</f>
        <v/>
      </c>
      <c r="I64" s="153">
        <f>IF(OR($H64="",SUM($H$63:$H$73)=0),"",$H64/SUM($H$63:$H$73))</f>
        <v/>
      </c>
      <c r="J64" s="175" t="n"/>
      <c r="K64" s="116" t="inlineStr">
        <is>
          <t>Napoletana / Bolognese / Arrabbiata base</t>
        </is>
      </c>
    </row>
    <row r="65" ht="15" customHeight="1" s="106">
      <c r="A65" s="163" t="inlineStr">
        <is>
          <t>Slow-Braised Oxtail-Style Ragu</t>
        </is>
      </c>
      <c r="B65" s="134" t="inlineStr">
        <is>
          <t>PP-TOM-PASTE</t>
        </is>
      </c>
      <c r="C65" s="113" t="inlineStr">
        <is>
          <t>Tomato paste</t>
        </is>
      </c>
      <c r="D65" s="174" t="n">
        <v>900</v>
      </c>
      <c r="E65" s="164" t="inlineStr">
        <is>
          <t>g</t>
        </is>
      </c>
      <c r="F65" s="157">
        <f>$D65</f>
        <v/>
      </c>
      <c r="G65" s="150">
        <f>IFERROR(INDEX('04 SKU Master'!$AM$5:$AM$165,MATCH($B65,'04 SKU Master'!$A$5:$A$165,0)),"")</f>
        <v/>
      </c>
      <c r="H65" s="150">
        <f>IF(OR($G65="",$F65=""),"",$G65*$F65)</f>
        <v/>
      </c>
      <c r="I65" s="153">
        <f>IF(OR($H65="",SUM($H$63:$H$73)=0),"",$H65/SUM($H$63:$H$73))</f>
        <v/>
      </c>
      <c r="J65" s="175" t="n"/>
      <c r="K65" s="116" t="inlineStr">
        <is>
          <t>Depth without wine (alcohol-free build)</t>
        </is>
      </c>
    </row>
    <row r="66" ht="15" customHeight="1" s="106">
      <c r="A66" s="163" t="inlineStr">
        <is>
          <t>Slow-Braised Oxtail-Style Ragu</t>
        </is>
      </c>
      <c r="B66" s="134" t="inlineStr">
        <is>
          <t>PP-ONION</t>
        </is>
      </c>
      <c r="C66" s="113" t="inlineStr">
        <is>
          <t>Onion (soffritto)</t>
        </is>
      </c>
      <c r="D66" s="174" t="n">
        <v>1600</v>
      </c>
      <c r="E66" s="164" t="inlineStr">
        <is>
          <t>g</t>
        </is>
      </c>
      <c r="F66" s="157">
        <f>$D66</f>
        <v/>
      </c>
      <c r="G66" s="150">
        <f>IFERROR(INDEX('04 SKU Master'!$AM$5:$AM$165,MATCH($B66,'04 SKU Master'!$A$5:$A$165,0)),"")</f>
        <v/>
      </c>
      <c r="H66" s="150">
        <f>IF(OR($G66="",$F66=""),"",$G66*$F66)</f>
        <v/>
      </c>
      <c r="I66" s="153">
        <f>IF(OR($H66="",SUM($H$63:$H$73)=0),"",$H66/SUM($H$63:$H$73))</f>
        <v/>
      </c>
      <c r="J66" s="175" t="n"/>
      <c r="K66" s="116" t="inlineStr">
        <is>
          <t>Soffritto base</t>
        </is>
      </c>
    </row>
    <row r="67" ht="15" customHeight="1" s="106">
      <c r="A67" s="163" t="inlineStr">
        <is>
          <t>Slow-Braised Oxtail-Style Ragu</t>
        </is>
      </c>
      <c r="B67" s="134" t="inlineStr">
        <is>
          <t>PP-VEG-CARROT</t>
        </is>
      </c>
      <c r="C67" s="113" t="inlineStr">
        <is>
          <t>Carrot (soffritto)</t>
        </is>
      </c>
      <c r="D67" s="174" t="n">
        <v>1100</v>
      </c>
      <c r="E67" s="164" t="inlineStr">
        <is>
          <t>g</t>
        </is>
      </c>
      <c r="F67" s="157">
        <f>$D67</f>
        <v/>
      </c>
      <c r="G67" s="150">
        <f>IFERROR(INDEX('04 SKU Master'!$AM$5:$AM$165,MATCH($B67,'04 SKU Master'!$A$5:$A$165,0)),"")</f>
        <v/>
      </c>
      <c r="H67" s="150">
        <f>IF(OR($G67="",$F67=""),"",$G67*$F67)</f>
        <v/>
      </c>
      <c r="I67" s="153">
        <f>IF(OR($H67="",SUM($H$63:$H$73)=0),"",$H67/SUM($H$63:$H$73))</f>
        <v/>
      </c>
      <c r="J67" s="175" t="n"/>
      <c r="K67" s="116" t="inlineStr">
        <is>
          <t>Soffritto base</t>
        </is>
      </c>
    </row>
    <row r="68" ht="15" customHeight="1" s="106">
      <c r="A68" s="163" t="inlineStr">
        <is>
          <t>Slow-Braised Oxtail-Style Ragu</t>
        </is>
      </c>
      <c r="B68" s="134" t="inlineStr">
        <is>
          <t>PP-CELERY</t>
        </is>
      </c>
      <c r="C68" s="113" t="inlineStr">
        <is>
          <t>Celery (soffritto)</t>
        </is>
      </c>
      <c r="D68" s="174" t="n">
        <v>700</v>
      </c>
      <c r="E68" s="164" t="inlineStr">
        <is>
          <t>g</t>
        </is>
      </c>
      <c r="F68" s="157">
        <f>$D68</f>
        <v/>
      </c>
      <c r="G68" s="150">
        <f>IFERROR(INDEX('04 SKU Master'!$AM$5:$AM$165,MATCH($B68,'04 SKU Master'!$A$5:$A$165,0)),"")</f>
        <v/>
      </c>
      <c r="H68" s="150">
        <f>IF(OR($G68="",$F68=""),"",$G68*$F68)</f>
        <v/>
      </c>
      <c r="I68" s="153">
        <f>IF(OR($H68="",SUM($H$63:$H$73)=0),"",$H68/SUM($H$63:$H$73))</f>
        <v/>
      </c>
      <c r="J68" s="175" t="n"/>
      <c r="K68" s="116" t="inlineStr">
        <is>
          <t>Soffritto base</t>
        </is>
      </c>
    </row>
    <row r="69" ht="15" customHeight="1" s="106">
      <c r="A69" s="163" t="inlineStr">
        <is>
          <t>Slow-Braised Oxtail-Style Ragu</t>
        </is>
      </c>
      <c r="B69" s="134" t="inlineStr">
        <is>
          <t>PP-GARLIC</t>
        </is>
      </c>
      <c r="C69" s="113" t="inlineStr">
        <is>
          <t>Garlic</t>
        </is>
      </c>
      <c r="D69" s="174" t="n">
        <v>300</v>
      </c>
      <c r="E69" s="164" t="inlineStr">
        <is>
          <t>g</t>
        </is>
      </c>
      <c r="F69" s="157">
        <f>$D69</f>
        <v/>
      </c>
      <c r="G69" s="150">
        <f>IFERROR(INDEX('04 SKU Master'!$AM$5:$AM$165,MATCH($B69,'04 SKU Master'!$A$5:$A$165,0)),"")</f>
        <v/>
      </c>
      <c r="H69" s="150">
        <f>IF(OR($G69="",$F69=""),"",$G69*$F69)</f>
        <v/>
      </c>
      <c r="I69" s="153">
        <f>IF(OR($H69="",SUM($H$63:$H$73)=0),"",$H69/SUM($H$63:$H$73))</f>
        <v/>
      </c>
      <c r="J69" s="175" t="n"/>
      <c r="K69" s="116" t="inlineStr">
        <is>
          <t>Every sauce</t>
        </is>
      </c>
    </row>
    <row r="70" ht="15" customHeight="1" s="106">
      <c r="A70" s="163" t="inlineStr">
        <is>
          <t>Slow-Braised Oxtail-Style Ragu</t>
        </is>
      </c>
      <c r="B70" s="134" t="inlineStr">
        <is>
          <t>PP-STOCK-BEEF</t>
        </is>
      </c>
      <c r="C70" s="113" t="inlineStr">
        <is>
          <t>Beef stock (halaal)</t>
        </is>
      </c>
      <c r="D70" s="174" t="n">
        <v>2800</v>
      </c>
      <c r="E70" s="164" t="inlineStr">
        <is>
          <t>ml</t>
        </is>
      </c>
      <c r="F70" s="157">
        <f>$D70</f>
        <v/>
      </c>
      <c r="G70" s="150">
        <f>IFERROR(INDEX('04 SKU Master'!$AM$5:$AM$165,MATCH($B70,'04 SKU Master'!$A$5:$A$165,0)),"")</f>
        <v/>
      </c>
      <c r="H70" s="150">
        <f>IF(OR($G70="",$F70=""),"",$G70*$F70)</f>
        <v/>
      </c>
      <c r="I70" s="153">
        <f>IF(OR($H70="",SUM($H$63:$H$73)=0),"",$H70/SUM($H$63:$H$73))</f>
        <v/>
      </c>
      <c r="J70" s="175" t="n"/>
      <c r="K70" s="116" t="inlineStr">
        <is>
          <t>Halaal-certified</t>
        </is>
      </c>
    </row>
    <row r="71" ht="15" customHeight="1" s="106">
      <c r="A71" s="163" t="inlineStr">
        <is>
          <t>Slow-Braised Oxtail-Style Ragu</t>
        </is>
      </c>
      <c r="B71" s="134" t="inlineStr">
        <is>
          <t>PP-OIL</t>
        </is>
      </c>
      <c r="C71" s="113" t="inlineStr">
        <is>
          <t>Cooking oil</t>
        </is>
      </c>
      <c r="D71" s="174" t="n">
        <v>600</v>
      </c>
      <c r="E71" s="164" t="inlineStr">
        <is>
          <t>ml</t>
        </is>
      </c>
      <c r="F71" s="157">
        <f>$D71</f>
        <v/>
      </c>
      <c r="G71" s="150">
        <f>IFERROR(INDEX('04 SKU Master'!$AM$5:$AM$165,MATCH($B71,'04 SKU Master'!$A$5:$A$165,0)),"")</f>
        <v/>
      </c>
      <c r="H71" s="150">
        <f>IF(OR($G71="",$F71=""),"",$G71*$F71)</f>
        <v/>
      </c>
      <c r="I71" s="153">
        <f>IF(OR($H71="",SUM($H$63:$H$73)=0),"",$H71/SUM($H$63:$H$73))</f>
        <v/>
      </c>
      <c r="J71" s="175" t="n"/>
      <c r="K71" s="116" t="inlineStr">
        <is>
          <t>Commissary soffritto base</t>
        </is>
      </c>
    </row>
    <row r="72" ht="15" customHeight="1" s="106">
      <c r="A72" s="163" t="inlineStr">
        <is>
          <t>Slow-Braised Oxtail-Style Ragu</t>
        </is>
      </c>
      <c r="B72" s="134" t="inlineStr">
        <is>
          <t>PP-HERB-THYME</t>
        </is>
      </c>
      <c r="C72" s="113" t="inlineStr">
        <is>
          <t>Fresh thyme</t>
        </is>
      </c>
      <c r="D72" s="174" t="n">
        <v>120</v>
      </c>
      <c r="E72" s="164" t="inlineStr">
        <is>
          <t>g</t>
        </is>
      </c>
      <c r="F72" s="157">
        <f>$D72</f>
        <v/>
      </c>
      <c r="G72" s="150">
        <f>IFERROR(INDEX('04 SKU Master'!$AM$5:$AM$165,MATCH($B72,'04 SKU Master'!$A$5:$A$165,0)),"")</f>
        <v/>
      </c>
      <c r="H72" s="150">
        <f>IF(OR($G72="",$F72=""),"",$G72*$F72)</f>
        <v/>
      </c>
      <c r="I72" s="153">
        <f>IF(OR($H72="",SUM($H$63:$H$73)=0),"",$H72/SUM($H$63:$H$73))</f>
        <v/>
      </c>
      <c r="J72" s="175" t="n"/>
      <c r="K72" s="116" t="inlineStr">
        <is>
          <t>Boscaiola / Harvest seasonal</t>
        </is>
      </c>
    </row>
    <row r="73" ht="15" customHeight="1" s="106">
      <c r="A73" s="163" t="inlineStr">
        <is>
          <t>Slow-Braised Oxtail-Style Ragu</t>
        </is>
      </c>
      <c r="B73" s="134" t="inlineStr">
        <is>
          <t>PP-SALT</t>
        </is>
      </c>
      <c r="C73" s="113" t="inlineStr">
        <is>
          <t>Salt</t>
        </is>
      </c>
      <c r="D73" s="174" t="n">
        <v>160</v>
      </c>
      <c r="E73" s="164" t="inlineStr">
        <is>
          <t>g</t>
        </is>
      </c>
      <c r="F73" s="157">
        <f>$D73</f>
        <v/>
      </c>
      <c r="G73" s="150">
        <f>IFERROR(INDEX('04 SKU Master'!$AM$5:$AM$165,MATCH($B73,'04 SKU Master'!$A$5:$A$165,0)),"")</f>
        <v/>
      </c>
      <c r="H73" s="150">
        <f>IF(OR($G73="",$F73=""),"",$G73*$F73)</f>
        <v/>
      </c>
      <c r="I73" s="153">
        <f>IF(OR($H73="",SUM($H$63:$H$73)=0),"",$H73/SUM($H$63:$H$73))</f>
        <v/>
      </c>
      <c r="J73" s="175" t="n"/>
      <c r="K73" s="116" t="inlineStr">
        <is>
          <t>Optional/recommended at 1-1.5% of dry weight</t>
        </is>
      </c>
    </row>
    <row r="75" ht="15" customHeight="1" s="106">
      <c r="B75" s="113" t="inlineStr">
        <is>
          <t>Batch net weight (g)</t>
        </is>
      </c>
      <c r="C75" s="111" t="n"/>
      <c r="D75" s="157">
        <f>SUM($F$63:$F$73)</f>
        <v/>
      </c>
    </row>
    <row r="76" ht="15" customHeight="1" s="106">
      <c r="B76" s="113" t="inlineStr">
        <is>
          <t>Lines still unpriced</t>
        </is>
      </c>
      <c r="C76" s="111" t="n"/>
      <c r="D76" s="157">
        <f>COUNTA($B$63:$B$73)-COUNT($H$63:$H$73)</f>
        <v/>
      </c>
    </row>
    <row r="77" ht="15" customHeight="1" s="106">
      <c r="B77" s="113" t="inlineStr">
        <is>
          <t>Batch cost of priced lines (partial)</t>
        </is>
      </c>
      <c r="C77" s="111" t="n"/>
      <c r="D77" s="150">
        <f>IF(COUNT($H$63:$H$73)=0,"",SUM($H$63:$H$73))</f>
        <v/>
      </c>
    </row>
    <row r="78" ht="15" customHeight="1" s="106">
      <c r="B78" s="113" t="inlineStr">
        <is>
          <t>Batch ingredient cost</t>
        </is>
      </c>
      <c r="C78" s="111" t="n"/>
      <c r="D78" s="150">
        <f>IF($D$76&gt;0,"",SUM($H$63:$H$73))</f>
        <v/>
      </c>
    </row>
    <row r="79" ht="15" customHeight="1" s="106">
      <c r="B79" s="113" t="inlineStr">
        <is>
          <t>Ingredient cost per kg</t>
        </is>
      </c>
      <c r="C79" s="111" t="n"/>
      <c r="D79" s="150">
        <f>IF(OR($D$78="",$D$75=0),"",$D$78/($D$75/1000))</f>
        <v/>
      </c>
    </row>
    <row r="80" ht="15" customHeight="1" s="106">
      <c r="B80" s="113" t="inlineStr">
        <is>
          <t xml:space="preserve">  add: CK labour &amp; energy per kg</t>
        </is>
      </c>
      <c r="C80" s="111" t="n"/>
      <c r="D80" s="150">
        <f>'01 Control'!$C$13</f>
        <v/>
      </c>
    </row>
    <row r="81" ht="15" customHeight="1" s="106">
      <c r="B81" s="113" t="inlineStr">
        <is>
          <t xml:space="preserve">  add: CK overhead &amp; distribution per kg</t>
        </is>
      </c>
      <c r="C81" s="111" t="n"/>
      <c r="D81" s="150">
        <f>'01 Control'!$C$14</f>
        <v/>
      </c>
    </row>
    <row r="82" ht="15" customHeight="1" s="106">
      <c r="B82" s="134" t="inlineStr">
        <is>
          <t>Pouch size (kg)</t>
        </is>
      </c>
      <c r="C82" s="111" t="n"/>
      <c r="D82" s="173" t="n">
        <v>2</v>
      </c>
    </row>
    <row r="83" ht="15" customHeight="1" s="106">
      <c r="B83" s="113" t="inlineStr">
        <is>
          <t xml:space="preserve">  add: Pouch, label &amp; carton per kg</t>
        </is>
      </c>
      <c r="C83" s="111" t="n"/>
      <c r="D83" s="150">
        <f>IFERROR((INDEX('05 Packaging Master'!$AM$5:$AM$50,MATCH("PP-PACK-CK-POUCH",'05 Packaging Master'!$A$5:$A$50,0))+INDEX('05 Packaging Master'!$AM$5:$AM$50,MATCH("PP-PACK-CK-LABEL",'05 Packaging Master'!$A$5:$A$50,0))+INDEX('05 Packaging Master'!$AM$5:$AM$50,MATCH("PP-PACK-CK-CARTON",'05 Packaging Master'!$A$5:$A$50,0))/6)/$D$82,0)</f>
        <v/>
      </c>
    </row>
    <row r="84" ht="15" customHeight="1" s="106">
      <c r="B84" s="134" t="inlineStr">
        <is>
          <t>CK TOTAL COST per kg</t>
        </is>
      </c>
      <c r="C84" s="111" t="n"/>
      <c r="D84" s="151">
        <f>IF($D$79="","",$D$79+$D$80+$D$81+$D$83)</f>
        <v/>
      </c>
    </row>
    <row r="85" ht="15" customHeight="1" s="106">
      <c r="B85" s="113" t="inlineStr">
        <is>
          <t>CK margin to franchisee</t>
        </is>
      </c>
      <c r="C85" s="111" t="n"/>
      <c r="D85" s="166">
        <f>'01 Control'!$C$15</f>
        <v/>
      </c>
    </row>
    <row r="86" ht="15" customHeight="1" s="106">
      <c r="B86" s="134" t="inlineStr">
        <is>
          <t>TRANSFER PRICE per kg</t>
        </is>
      </c>
      <c r="C86" s="111" t="n"/>
      <c r="D86" s="151">
        <f>IF($D$84="","",$D$84*(1+$D$85))</f>
        <v/>
      </c>
    </row>
    <row r="87" ht="15" customHeight="1" s="106">
      <c r="B87" s="134" t="inlineStr">
        <is>
          <t>Store portion (g)</t>
        </is>
      </c>
      <c r="C87" s="111" t="n"/>
      <c r="D87" s="168" t="n">
        <v>170</v>
      </c>
    </row>
    <row r="88" ht="15" customHeight="1" s="106">
      <c r="B88" s="134" t="inlineStr">
        <is>
          <t>SERVICE METHOD</t>
        </is>
      </c>
      <c r="C88" s="111" t="n"/>
      <c r="D88" s="171" t="inlineStr">
        <is>
          <t>WARMER</t>
        </is>
      </c>
      <c r="E88" s="172" t="inlineStr">
        <is>
          <t>A braise, like the Bolognese. Built for holding.</t>
        </is>
      </c>
    </row>
    <row r="89" ht="15" customHeight="1" s="106">
      <c r="B89" s="134" t="inlineStr">
        <is>
          <t>MAKE POINT</t>
        </is>
      </c>
      <c r="C89" s="111" t="n"/>
      <c r="D89" s="171" t="inlineStr">
        <is>
          <t>CENTRAL KITCHEN</t>
        </is>
      </c>
    </row>
    <row r="90" ht="15" customHeight="1" s="106">
      <c r="B90" s="134" t="inlineStr">
        <is>
          <t>In-store labour minutes per batch</t>
        </is>
      </c>
      <c r="C90" s="111" t="n"/>
      <c r="D90" s="168" t="n">
        <v>180</v>
      </c>
    </row>
    <row r="91" ht="15" customHeight="1" s="106">
      <c r="B91" s="134" t="inlineStr">
        <is>
          <t>In-store energy kWh per batch</t>
        </is>
      </c>
      <c r="C91" s="111" t="n"/>
      <c r="D91" s="173" t="n">
        <v>26</v>
      </c>
    </row>
    <row r="92" ht="15" customHeight="1" s="106">
      <c r="B92" s="113" t="inlineStr">
        <is>
          <t>In-store labour cost per batch</t>
        </is>
      </c>
      <c r="C92" s="111" t="n"/>
      <c r="D92" s="150">
        <f>$D$90/60*'01 Control'!$C$24</f>
        <v/>
      </c>
    </row>
    <row r="93" ht="15" customHeight="1" s="106">
      <c r="B93" s="113" t="inlineStr">
        <is>
          <t>In-store energy cost per batch</t>
        </is>
      </c>
      <c r="C93" s="111" t="n"/>
      <c r="D93" s="150">
        <f>$D$91*'01 Control'!$C$25</f>
        <v/>
      </c>
    </row>
    <row r="94" ht="15" customHeight="1" s="106">
      <c r="B94" s="113" t="inlineStr">
        <is>
          <t>IN-STORE batch cost</t>
        </is>
      </c>
      <c r="C94" s="111" t="n"/>
      <c r="D94" s="150">
        <f>IF($D$78="","",$D$78+$D$92+$D$93)</f>
        <v/>
      </c>
    </row>
    <row r="95" ht="15" customHeight="1" s="106">
      <c r="B95" s="113" t="inlineStr">
        <is>
          <t>IN-STORE cost per kg</t>
        </is>
      </c>
      <c r="C95" s="111" t="n"/>
      <c r="D95" s="150">
        <f>IF(OR($D$94="",$D$75=0),"",$D$94/($D$75/1000))</f>
        <v/>
      </c>
    </row>
    <row r="96" ht="15" customHeight="1" s="106">
      <c r="B96" s="113" t="inlineStr">
        <is>
          <t>IN-STORE cost per portion</t>
        </is>
      </c>
      <c r="C96" s="111" t="n"/>
      <c r="D96" s="150">
        <f>IF($D$95="","",$D$95/1000*$D$87)</f>
        <v/>
      </c>
    </row>
    <row r="97" ht="15" customHeight="1" s="106">
      <c r="B97" s="113" t="inlineStr">
        <is>
          <t>CK cost per portion</t>
        </is>
      </c>
      <c r="C97" s="111" t="n"/>
      <c r="D97" s="150">
        <f>IF($D$84="","",$D$84/1000*$D$87)</f>
        <v/>
      </c>
    </row>
    <row r="98" ht="15" customHeight="1" s="106">
      <c r="B98" s="113" t="inlineStr">
        <is>
          <t>CK TRANSFER PRICE per portion</t>
        </is>
      </c>
      <c r="C98" s="111" t="n"/>
      <c r="D98" s="150">
        <f>IF($D$86="","",$D$86/1000*$D$87)</f>
        <v/>
      </c>
    </row>
    <row r="99" ht="15" customHeight="1" s="106">
      <c r="B99" s="134" t="inlineStr">
        <is>
          <t>FRANCHISEE COST PER PORTION</t>
        </is>
      </c>
      <c r="C99" s="111" t="n"/>
      <c r="D99" s="151">
        <f>IF($D$89="IN-STORE",$D$96,$D$98)</f>
        <v/>
      </c>
    </row>
    <row r="100" ht="15" customHeight="1" s="106">
      <c r="B100" s="134" t="inlineStr">
        <is>
          <t>Franchisee cost per gram (live)</t>
        </is>
      </c>
      <c r="C100" s="111" t="n"/>
      <c r="D100" s="151">
        <f>IF(OR($D$99="",$D$87=0),"",$D$99/$D$87)</f>
        <v/>
      </c>
    </row>
    <row r="101" ht="15" customHeight="1" s="106">
      <c r="B101" s="113" t="inlineStr">
        <is>
          <t>In-store vs CK, per portion</t>
        </is>
      </c>
      <c r="C101" s="111" t="n"/>
      <c r="D101" s="150">
        <f>IF(OR($D$96="",$D$98=""),"",$D$96-$D$98)</f>
        <v/>
      </c>
    </row>
    <row r="102" ht="15" customHeight="1" s="106">
      <c r="B102" s="113" t="inlineStr">
        <is>
          <t>CK margin earned per portion</t>
        </is>
      </c>
      <c r="C102" s="111" t="n"/>
      <c r="D102" s="150">
        <f>IF(OR($D$89&lt;&gt;"CENTRAL KITCHEN",$D$98=""),0,$D$98-$D$97)</f>
        <v/>
      </c>
    </row>
    <row r="103" ht="15" customHeight="1" s="106">
      <c r="B103" s="113" t="inlineStr">
        <is>
          <t>Portions per batch</t>
        </is>
      </c>
      <c r="C103" s="111" t="n"/>
      <c r="D103" s="157">
        <f>$D$75/$D$87</f>
        <v/>
      </c>
    </row>
    <row r="104" ht="15" customHeight="1" s="106">
      <c r="B104" s="113" t="inlineStr">
        <is>
          <t>Pouches per batch</t>
        </is>
      </c>
      <c r="C104" s="111" t="n"/>
      <c r="D104" s="165">
        <f>$D$75/1000/$D$82</f>
        <v/>
      </c>
    </row>
    <row r="105" ht="15" customHeight="1" s="106">
      <c r="B105" s="113" t="inlineStr">
        <is>
          <t>Portions per pouch (= one day-part)</t>
        </is>
      </c>
      <c r="C105" s="111" t="n"/>
      <c r="D105" s="157">
        <f>$D$82*1000/$D$87</f>
        <v/>
      </c>
    </row>
    <row r="106" ht="15" customHeight="1" s="106">
      <c r="B106" s="113" t="inlineStr">
        <is>
          <t>Thawed shelf life (hours)</t>
        </is>
      </c>
      <c r="C106" s="111" t="n"/>
      <c r="D106" s="157">
        <f>'01 Control'!$C$22</f>
        <v/>
      </c>
    </row>
    <row r="109" ht="15" customHeight="1" s="106">
      <c r="A109" s="109" t="inlineStr">
        <is>
          <t>Chakalaka Relish Base   |   PP-SEASAUCE-CHAKALAKA   |   A relish, not a sauce - spooned onto the Arrabbiata base at the store.   |   USED IN: Y1 Spring Chakalaka Arrabbiata (added to the Arrabbiata base)</t>
        </is>
      </c>
      <c r="B109" s="110" t="n"/>
      <c r="C109" s="110" t="n"/>
      <c r="D109" s="110" t="n"/>
      <c r="E109" s="110" t="n"/>
      <c r="F109" s="110" t="n"/>
      <c r="G109" s="110" t="n"/>
      <c r="H109" s="110" t="n"/>
      <c r="I109" s="110" t="n"/>
      <c r="J109" s="110" t="n"/>
      <c r="K109" s="111" t="n"/>
    </row>
    <row r="110" ht="33.75" customHeight="1" s="106">
      <c r="A110" s="112" t="inlineStr">
        <is>
          <t>Sauce</t>
        </is>
      </c>
      <c r="B110" s="112" t="inlineStr">
        <is>
          <t>Ingredient SKU</t>
        </is>
      </c>
      <c r="C110" s="112" t="inlineStr">
        <is>
          <t>Ingredient</t>
        </is>
      </c>
      <c r="D110" s="112" t="inlineStr">
        <is>
          <t>Batch Qty</t>
        </is>
      </c>
      <c r="E110" s="112" t="inlineStr">
        <is>
          <t>Unit</t>
        </is>
      </c>
      <c r="F110" s="112" t="inlineStr">
        <is>
          <t>Base Qty (g/ml)</t>
        </is>
      </c>
      <c r="G110" s="112" t="inlineStr">
        <is>
          <t>Usable Cost per
Base Unit</t>
        </is>
      </c>
      <c r="H110" s="112" t="inlineStr">
        <is>
          <t>Line Cost</t>
        </is>
      </c>
      <c r="I110" s="112" t="inlineStr">
        <is>
          <t>% of Batch
Cost</t>
        </is>
      </c>
      <c r="J110" s="112" t="n"/>
      <c r="K110" s="112" t="inlineStr">
        <is>
          <t>Specification</t>
        </is>
      </c>
    </row>
    <row r="111" ht="15" customHeight="1" s="106">
      <c r="A111" s="163" t="inlineStr">
        <is>
          <t>Chakalaka Relish Base</t>
        </is>
      </c>
      <c r="B111" s="134" t="inlineStr">
        <is>
          <t>PP-VEG-PEPPER</t>
        </is>
      </c>
      <c r="C111" s="113" t="inlineStr">
        <is>
          <t>Mixed peppers</t>
        </is>
      </c>
      <c r="D111" s="174" t="n">
        <v>2600</v>
      </c>
      <c r="E111" s="164" t="inlineStr">
        <is>
          <t>g</t>
        </is>
      </c>
      <c r="F111" s="157">
        <f>$D111</f>
        <v/>
      </c>
      <c r="G111" s="150">
        <f>IFERROR(INDEX('04 SKU Master'!$AM$5:$AM$165,MATCH($B111,'04 SKU Master'!$A$5:$A$165,0)),"")</f>
        <v/>
      </c>
      <c r="H111" s="150">
        <f>IF(OR($G111="",$F111=""),"",$G111*$F111)</f>
        <v/>
      </c>
      <c r="I111" s="153">
        <f>IF(OR($H111="",SUM($H$111:$H$119)=0),"",$H111/SUM($H$111:$H$119))</f>
        <v/>
      </c>
      <c r="J111" s="175" t="n"/>
      <c r="K111" s="116" t="n"/>
    </row>
    <row r="112" ht="15" customHeight="1" s="106">
      <c r="A112" s="163" t="inlineStr">
        <is>
          <t>Chakalaka Relish Base</t>
        </is>
      </c>
      <c r="B112" s="134" t="inlineStr">
        <is>
          <t>PP-ONION</t>
        </is>
      </c>
      <c r="C112" s="113" t="inlineStr">
        <is>
          <t>Onion</t>
        </is>
      </c>
      <c r="D112" s="174" t="n">
        <v>1800</v>
      </c>
      <c r="E112" s="164" t="inlineStr">
        <is>
          <t>g</t>
        </is>
      </c>
      <c r="F112" s="157">
        <f>$D112</f>
        <v/>
      </c>
      <c r="G112" s="150">
        <f>IFERROR(INDEX('04 SKU Master'!$AM$5:$AM$165,MATCH($B112,'04 SKU Master'!$A$5:$A$165,0)),"")</f>
        <v/>
      </c>
      <c r="H112" s="150">
        <f>IF(OR($G112="",$F112=""),"",$G112*$F112)</f>
        <v/>
      </c>
      <c r="I112" s="153">
        <f>IF(OR($H112="",SUM($H$111:$H$119)=0),"",$H112/SUM($H$111:$H$119))</f>
        <v/>
      </c>
      <c r="J112" s="175" t="n"/>
      <c r="K112" s="116" t="inlineStr">
        <is>
          <t>Soffritto base</t>
        </is>
      </c>
    </row>
    <row r="113" ht="15" customHeight="1" s="106">
      <c r="A113" s="163" t="inlineStr">
        <is>
          <t>Chakalaka Relish Base</t>
        </is>
      </c>
      <c r="B113" s="134" t="inlineStr">
        <is>
          <t>PP-VEG-CARROT</t>
        </is>
      </c>
      <c r="C113" s="113" t="inlineStr">
        <is>
          <t>Carrot, grated</t>
        </is>
      </c>
      <c r="D113" s="174" t="n">
        <v>1800</v>
      </c>
      <c r="E113" s="164" t="inlineStr">
        <is>
          <t>g</t>
        </is>
      </c>
      <c r="F113" s="157">
        <f>$D113</f>
        <v/>
      </c>
      <c r="G113" s="150">
        <f>IFERROR(INDEX('04 SKU Master'!$AM$5:$AM$165,MATCH($B113,'04 SKU Master'!$A$5:$A$165,0)),"")</f>
        <v/>
      </c>
      <c r="H113" s="150">
        <f>IF(OR($G113="",$F113=""),"",$G113*$F113)</f>
        <v/>
      </c>
      <c r="I113" s="153">
        <f>IF(OR($H113="",SUM($H$111:$H$119)=0),"",$H113/SUM($H$111:$H$119))</f>
        <v/>
      </c>
      <c r="J113" s="175" t="n"/>
      <c r="K113" s="116" t="inlineStr">
        <is>
          <t>Soffritto base</t>
        </is>
      </c>
    </row>
    <row r="114" ht="15" customHeight="1" s="106">
      <c r="A114" s="163" t="inlineStr">
        <is>
          <t>Chakalaka Relish Base</t>
        </is>
      </c>
      <c r="B114" s="134" t="inlineStr">
        <is>
          <t>PP-TOM-PLUM</t>
        </is>
      </c>
      <c r="C114" s="113" t="inlineStr">
        <is>
          <t>Plum tomatoes</t>
        </is>
      </c>
      <c r="D114" s="174" t="n">
        <v>2200</v>
      </c>
      <c r="E114" s="164" t="inlineStr">
        <is>
          <t>g</t>
        </is>
      </c>
      <c r="F114" s="157">
        <f>$D114</f>
        <v/>
      </c>
      <c r="G114" s="150">
        <f>IFERROR(INDEX('04 SKU Master'!$AM$5:$AM$165,MATCH($B114,'04 SKU Master'!$A$5:$A$165,0)),"")</f>
        <v/>
      </c>
      <c r="H114" s="150">
        <f>IF(OR($G114="",$F114=""),"",$G114*$F114)</f>
        <v/>
      </c>
      <c r="I114" s="153">
        <f>IF(OR($H114="",SUM($H$111:$H$119)=0),"",$H114/SUM($H$111:$H$119))</f>
        <v/>
      </c>
      <c r="J114" s="175" t="n"/>
      <c r="K114" s="116" t="inlineStr">
        <is>
          <t>Napoletana / Bolognese / Arrabbiata base</t>
        </is>
      </c>
    </row>
    <row r="115" ht="15" customHeight="1" s="106">
      <c r="A115" s="163" t="inlineStr">
        <is>
          <t>Chakalaka Relish Base</t>
        </is>
      </c>
      <c r="B115" s="134" t="inlineStr">
        <is>
          <t>PP-SPICE-CHAKALAKA</t>
        </is>
      </c>
      <c r="C115" s="113" t="inlineStr">
        <is>
          <t>Chakalaka spice</t>
        </is>
      </c>
      <c r="D115" s="174" t="n">
        <v>450</v>
      </c>
      <c r="E115" s="164" t="inlineStr">
        <is>
          <t>g</t>
        </is>
      </c>
      <c r="F115" s="157">
        <f>$D115</f>
        <v/>
      </c>
      <c r="G115" s="150">
        <f>IFERROR(INDEX('04 SKU Master'!$AM$5:$AM$165,MATCH($B115,'04 SKU Master'!$A$5:$A$165,0)),"")</f>
        <v/>
      </c>
      <c r="H115" s="150">
        <f>IF(OR($G115="",$F115=""),"",$G115*$F115)</f>
        <v/>
      </c>
      <c r="I115" s="153">
        <f>IF(OR($H115="",SUM($H$111:$H$119)=0),"",$H115/SUM($H$111:$H$119))</f>
        <v/>
      </c>
      <c r="J115" s="175" t="n"/>
      <c r="K115" s="116" t="inlineStr">
        <is>
          <t>Y1 Spring</t>
        </is>
      </c>
    </row>
    <row r="116" ht="15" customHeight="1" s="106">
      <c r="A116" s="163" t="inlineStr">
        <is>
          <t>Chakalaka Relish Base</t>
        </is>
      </c>
      <c r="B116" s="134" t="inlineStr">
        <is>
          <t>PP-GARLIC</t>
        </is>
      </c>
      <c r="C116" s="113" t="inlineStr">
        <is>
          <t>Garlic</t>
        </is>
      </c>
      <c r="D116" s="174" t="n">
        <v>250</v>
      </c>
      <c r="E116" s="164" t="inlineStr">
        <is>
          <t>g</t>
        </is>
      </c>
      <c r="F116" s="157">
        <f>$D116</f>
        <v/>
      </c>
      <c r="G116" s="150">
        <f>IFERROR(INDEX('04 SKU Master'!$AM$5:$AM$165,MATCH($B116,'04 SKU Master'!$A$5:$A$165,0)),"")</f>
        <v/>
      </c>
      <c r="H116" s="150">
        <f>IF(OR($G116="",$F116=""),"",$G116*$F116)</f>
        <v/>
      </c>
      <c r="I116" s="153">
        <f>IF(OR($H116="",SUM($H$111:$H$119)=0),"",$H116/SUM($H$111:$H$119))</f>
        <v/>
      </c>
      <c r="J116" s="175" t="n"/>
      <c r="K116" s="116" t="inlineStr">
        <is>
          <t>Every sauce</t>
        </is>
      </c>
    </row>
    <row r="117" ht="15" customHeight="1" s="106">
      <c r="A117" s="163" t="inlineStr">
        <is>
          <t>Chakalaka Relish Base</t>
        </is>
      </c>
      <c r="B117" s="134" t="inlineStr">
        <is>
          <t>PP-OIL</t>
        </is>
      </c>
      <c r="C117" s="113" t="inlineStr">
        <is>
          <t>Cooking oil</t>
        </is>
      </c>
      <c r="D117" s="174" t="n">
        <v>700</v>
      </c>
      <c r="E117" s="164" t="inlineStr">
        <is>
          <t>ml</t>
        </is>
      </c>
      <c r="F117" s="157">
        <f>$D117</f>
        <v/>
      </c>
      <c r="G117" s="150">
        <f>IFERROR(INDEX('04 SKU Master'!$AM$5:$AM$165,MATCH($B117,'04 SKU Master'!$A$5:$A$165,0)),"")</f>
        <v/>
      </c>
      <c r="H117" s="150">
        <f>IF(OR($G117="",$F117=""),"",$G117*$F117)</f>
        <v/>
      </c>
      <c r="I117" s="153">
        <f>IF(OR($H117="",SUM($H$111:$H$119)=0),"",$H117/SUM($H$111:$H$119))</f>
        <v/>
      </c>
      <c r="J117" s="175" t="n"/>
      <c r="K117" s="116" t="inlineStr">
        <is>
          <t>Commissary soffritto base</t>
        </is>
      </c>
    </row>
    <row r="118" ht="15" customHeight="1" s="106">
      <c r="A118" s="163" t="inlineStr">
        <is>
          <t>Chakalaka Relish Base</t>
        </is>
      </c>
      <c r="B118" s="134" t="inlineStr">
        <is>
          <t>PP-SUGAR</t>
        </is>
      </c>
      <c r="C118" s="113" t="inlineStr">
        <is>
          <t>Sugar</t>
        </is>
      </c>
      <c r="D118" s="174" t="n">
        <v>80</v>
      </c>
      <c r="E118" s="164" t="inlineStr">
        <is>
          <t>g</t>
        </is>
      </c>
      <c r="F118" s="157">
        <f>$D118</f>
        <v/>
      </c>
      <c r="G118" s="150">
        <f>IFERROR(INDEX('04 SKU Master'!$AM$5:$AM$165,MATCH($B118,'04 SKU Master'!$A$5:$A$165,0)),"")</f>
        <v/>
      </c>
      <c r="H118" s="150">
        <f>IF(OR($G118="",$F118=""),"",$G118*$F118)</f>
        <v/>
      </c>
      <c r="I118" s="153">
        <f>IF(OR($H118="",SUM($H$111:$H$119)=0),"",$H118/SUM($H$111:$H$119))</f>
        <v/>
      </c>
      <c r="J118" s="175" t="n"/>
      <c r="K118" s="116" t="inlineStr">
        <is>
          <t>Whisper only - balance, not sweetness</t>
        </is>
      </c>
    </row>
    <row r="119" ht="15" customHeight="1" s="106">
      <c r="A119" s="163" t="inlineStr">
        <is>
          <t>Chakalaka Relish Base</t>
        </is>
      </c>
      <c r="B119" s="134" t="inlineStr">
        <is>
          <t>PP-SALT</t>
        </is>
      </c>
      <c r="C119" s="113" t="inlineStr">
        <is>
          <t>Salt</t>
        </is>
      </c>
      <c r="D119" s="174" t="n">
        <v>100</v>
      </c>
      <c r="E119" s="164" t="inlineStr">
        <is>
          <t>g</t>
        </is>
      </c>
      <c r="F119" s="157">
        <f>$D119</f>
        <v/>
      </c>
      <c r="G119" s="150">
        <f>IFERROR(INDEX('04 SKU Master'!$AM$5:$AM$165,MATCH($B119,'04 SKU Master'!$A$5:$A$165,0)),"")</f>
        <v/>
      </c>
      <c r="H119" s="150">
        <f>IF(OR($G119="",$F119=""),"",$G119*$F119)</f>
        <v/>
      </c>
      <c r="I119" s="153">
        <f>IF(OR($H119="",SUM($H$111:$H$119)=0),"",$H119/SUM($H$111:$H$119))</f>
        <v/>
      </c>
      <c r="J119" s="175" t="n"/>
      <c r="K119" s="116" t="inlineStr">
        <is>
          <t>Optional/recommended at 1-1.5% of dry weight</t>
        </is>
      </c>
    </row>
    <row r="121" ht="15" customHeight="1" s="106">
      <c r="B121" s="113" t="inlineStr">
        <is>
          <t>Batch net weight (g)</t>
        </is>
      </c>
      <c r="C121" s="111" t="n"/>
      <c r="D121" s="157">
        <f>SUM($F$111:$F$119)</f>
        <v/>
      </c>
    </row>
    <row r="122" ht="15" customHeight="1" s="106">
      <c r="B122" s="113" t="inlineStr">
        <is>
          <t>Lines still unpriced</t>
        </is>
      </c>
      <c r="C122" s="111" t="n"/>
      <c r="D122" s="157">
        <f>COUNTA($B$111:$B$119)-COUNT($H$111:$H$119)</f>
        <v/>
      </c>
    </row>
    <row r="123" ht="15" customHeight="1" s="106">
      <c r="B123" s="113" t="inlineStr">
        <is>
          <t>Batch cost of priced lines (partial)</t>
        </is>
      </c>
      <c r="C123" s="111" t="n"/>
      <c r="D123" s="150">
        <f>IF(COUNT($H$111:$H$119)=0,"",SUM($H$111:$H$119))</f>
        <v/>
      </c>
    </row>
    <row r="124" ht="15" customHeight="1" s="106">
      <c r="B124" s="113" t="inlineStr">
        <is>
          <t>Batch ingredient cost</t>
        </is>
      </c>
      <c r="C124" s="111" t="n"/>
      <c r="D124" s="150">
        <f>IF($D$122&gt;0,"",SUM($H$111:$H$119))</f>
        <v/>
      </c>
    </row>
    <row r="125" ht="15" customHeight="1" s="106">
      <c r="B125" s="113" t="inlineStr">
        <is>
          <t>Ingredient cost per kg</t>
        </is>
      </c>
      <c r="C125" s="111" t="n"/>
      <c r="D125" s="150">
        <f>IF(OR($D$124="",$D$121=0),"",$D$124/($D$121/1000))</f>
        <v/>
      </c>
    </row>
    <row r="126" ht="15" customHeight="1" s="106">
      <c r="B126" s="113" t="inlineStr">
        <is>
          <t xml:space="preserve">  add: CK labour &amp; energy per kg</t>
        </is>
      </c>
      <c r="C126" s="111" t="n"/>
      <c r="D126" s="150">
        <f>'01 Control'!$C$13</f>
        <v/>
      </c>
    </row>
    <row r="127" ht="15" customHeight="1" s="106">
      <c r="B127" s="113" t="inlineStr">
        <is>
          <t xml:space="preserve">  add: CK overhead &amp; distribution per kg</t>
        </is>
      </c>
      <c r="C127" s="111" t="n"/>
      <c r="D127" s="150">
        <f>'01 Control'!$C$14</f>
        <v/>
      </c>
    </row>
    <row r="128" ht="15" customHeight="1" s="106">
      <c r="B128" s="134" t="inlineStr">
        <is>
          <t>Pouch size (kg)</t>
        </is>
      </c>
      <c r="C128" s="111" t="n"/>
      <c r="D128" s="173" t="n">
        <v>1</v>
      </c>
    </row>
    <row r="129" ht="15" customHeight="1" s="106">
      <c r="B129" s="113" t="inlineStr">
        <is>
          <t xml:space="preserve">  add: Pouch, label &amp; carton per kg</t>
        </is>
      </c>
      <c r="C129" s="111" t="n"/>
      <c r="D129" s="150">
        <f>IFERROR((INDEX('05 Packaging Master'!$AM$5:$AM$50,MATCH("PP-PACK-CK-POUCH",'05 Packaging Master'!$A$5:$A$50,0))+INDEX('05 Packaging Master'!$AM$5:$AM$50,MATCH("PP-PACK-CK-LABEL",'05 Packaging Master'!$A$5:$A$50,0))+INDEX('05 Packaging Master'!$AM$5:$AM$50,MATCH("PP-PACK-CK-CARTON",'05 Packaging Master'!$A$5:$A$50,0))/6)/$D$128,0)</f>
        <v/>
      </c>
    </row>
    <row r="130" ht="15" customHeight="1" s="106">
      <c r="B130" s="134" t="inlineStr">
        <is>
          <t>CK TOTAL COST per kg</t>
        </is>
      </c>
      <c r="C130" s="111" t="n"/>
      <c r="D130" s="151">
        <f>IF($D$125="","",$D$125+$D$126+$D$127+$D$129)</f>
        <v/>
      </c>
    </row>
    <row r="131" ht="15" customHeight="1" s="106">
      <c r="B131" s="113" t="inlineStr">
        <is>
          <t>CK margin to franchisee</t>
        </is>
      </c>
      <c r="C131" s="111" t="n"/>
      <c r="D131" s="166">
        <f>'01 Control'!$C$15</f>
        <v/>
      </c>
    </row>
    <row r="132" ht="15" customHeight="1" s="106">
      <c r="B132" s="134" t="inlineStr">
        <is>
          <t>TRANSFER PRICE per kg</t>
        </is>
      </c>
      <c r="C132" s="111" t="n"/>
      <c r="D132" s="151">
        <f>IF($D$130="","",$D$130*(1+$D$131))</f>
        <v/>
      </c>
    </row>
    <row r="133" ht="15" customHeight="1" s="106">
      <c r="B133" s="134" t="inlineStr">
        <is>
          <t>Store portion (g)</t>
        </is>
      </c>
      <c r="C133" s="111" t="n"/>
      <c r="D133" s="168" t="n">
        <v>45</v>
      </c>
    </row>
    <row r="134" ht="15" customHeight="1" s="106">
      <c r="B134" s="134" t="inlineStr">
        <is>
          <t>SERVICE METHOD</t>
        </is>
      </c>
      <c r="C134" s="111" t="n"/>
      <c r="D134" s="171" t="inlineStr">
        <is>
          <t>COLD</t>
        </is>
      </c>
      <c r="E134" s="172" t="inlineStr">
        <is>
          <t>A relish. Served at ambient, spooned at the pass.</t>
        </is>
      </c>
    </row>
    <row r="135" ht="15" customHeight="1" s="106">
      <c r="B135" s="134" t="inlineStr">
        <is>
          <t>MAKE POINT</t>
        </is>
      </c>
      <c r="C135" s="111" t="n"/>
      <c r="D135" s="171" t="inlineStr">
        <is>
          <t>CENTRAL KITCHEN</t>
        </is>
      </c>
    </row>
    <row r="136" ht="15" customHeight="1" s="106">
      <c r="B136" s="134" t="inlineStr">
        <is>
          <t>In-store labour minutes per batch</t>
        </is>
      </c>
      <c r="C136" s="111" t="n"/>
      <c r="D136" s="168" t="n">
        <v>70</v>
      </c>
    </row>
    <row r="137" ht="15" customHeight="1" s="106">
      <c r="B137" s="134" t="inlineStr">
        <is>
          <t>In-store energy kWh per batch</t>
        </is>
      </c>
      <c r="C137" s="111" t="n"/>
      <c r="D137" s="173" t="n">
        <v>8</v>
      </c>
    </row>
    <row r="138" ht="15" customHeight="1" s="106">
      <c r="B138" s="113" t="inlineStr">
        <is>
          <t>In-store labour cost per batch</t>
        </is>
      </c>
      <c r="C138" s="111" t="n"/>
      <c r="D138" s="150">
        <f>$D$136/60*'01 Control'!$C$24</f>
        <v/>
      </c>
    </row>
    <row r="139" ht="15" customHeight="1" s="106">
      <c r="B139" s="113" t="inlineStr">
        <is>
          <t>In-store energy cost per batch</t>
        </is>
      </c>
      <c r="C139" s="111" t="n"/>
      <c r="D139" s="150">
        <f>$D$137*'01 Control'!$C$25</f>
        <v/>
      </c>
    </row>
    <row r="140" ht="15" customHeight="1" s="106">
      <c r="B140" s="113" t="inlineStr">
        <is>
          <t>IN-STORE batch cost</t>
        </is>
      </c>
      <c r="C140" s="111" t="n"/>
      <c r="D140" s="150">
        <f>IF($D$124="","",$D$124+$D$138+$D$139)</f>
        <v/>
      </c>
    </row>
    <row r="141" ht="15" customHeight="1" s="106">
      <c r="B141" s="113" t="inlineStr">
        <is>
          <t>IN-STORE cost per kg</t>
        </is>
      </c>
      <c r="C141" s="111" t="n"/>
      <c r="D141" s="150">
        <f>IF(OR($D$140="",$D$121=0),"",$D$140/($D$121/1000))</f>
        <v/>
      </c>
    </row>
    <row r="142" ht="15" customHeight="1" s="106">
      <c r="B142" s="113" t="inlineStr">
        <is>
          <t>IN-STORE cost per portion</t>
        </is>
      </c>
      <c r="C142" s="111" t="n"/>
      <c r="D142" s="150">
        <f>IF($D$141="","",$D$141/1000*$D$133)</f>
        <v/>
      </c>
    </row>
    <row r="143" ht="15" customHeight="1" s="106">
      <c r="B143" s="113" t="inlineStr">
        <is>
          <t>CK cost per portion</t>
        </is>
      </c>
      <c r="C143" s="111" t="n"/>
      <c r="D143" s="150">
        <f>IF($D$130="","",$D$130/1000*$D$133)</f>
        <v/>
      </c>
    </row>
    <row r="144" ht="15" customHeight="1" s="106">
      <c r="B144" s="113" t="inlineStr">
        <is>
          <t>CK TRANSFER PRICE per portion</t>
        </is>
      </c>
      <c r="C144" s="111" t="n"/>
      <c r="D144" s="150">
        <f>IF($D$132="","",$D$132/1000*$D$133)</f>
        <v/>
      </c>
    </row>
    <row r="145" ht="15" customHeight="1" s="106">
      <c r="B145" s="134" t="inlineStr">
        <is>
          <t>FRANCHISEE COST PER PORTION</t>
        </is>
      </c>
      <c r="C145" s="111" t="n"/>
      <c r="D145" s="151">
        <f>IF($D$135="IN-STORE",$D$142,$D$144)</f>
        <v/>
      </c>
    </row>
    <row r="146" ht="15" customHeight="1" s="106">
      <c r="B146" s="134" t="inlineStr">
        <is>
          <t>Franchisee cost per gram (live)</t>
        </is>
      </c>
      <c r="C146" s="111" t="n"/>
      <c r="D146" s="151">
        <f>IF(OR($D$145="",$D$133=0),"",$D$145/$D$133)</f>
        <v/>
      </c>
    </row>
    <row r="147" ht="15" customHeight="1" s="106">
      <c r="B147" s="113" t="inlineStr">
        <is>
          <t>In-store vs CK, per portion</t>
        </is>
      </c>
      <c r="C147" s="111" t="n"/>
      <c r="D147" s="150">
        <f>IF(OR($D$142="",$D$144=""),"",$D$142-$D$144)</f>
        <v/>
      </c>
    </row>
    <row r="148" ht="15" customHeight="1" s="106">
      <c r="B148" s="113" t="inlineStr">
        <is>
          <t>CK margin earned per portion</t>
        </is>
      </c>
      <c r="C148" s="111" t="n"/>
      <c r="D148" s="150">
        <f>IF(OR($D$135&lt;&gt;"CENTRAL KITCHEN",$D$144=""),0,$D$144-$D$143)</f>
        <v/>
      </c>
    </row>
    <row r="149" ht="15" customHeight="1" s="106">
      <c r="B149" s="113" t="inlineStr">
        <is>
          <t>Portions per batch</t>
        </is>
      </c>
      <c r="C149" s="111" t="n"/>
      <c r="D149" s="157">
        <f>$D$121/$D$133</f>
        <v/>
      </c>
    </row>
    <row r="150" ht="15" customHeight="1" s="106">
      <c r="B150" s="113" t="inlineStr">
        <is>
          <t>Pouches per batch</t>
        </is>
      </c>
      <c r="C150" s="111" t="n"/>
      <c r="D150" s="165">
        <f>$D$121/1000/$D$128</f>
        <v/>
      </c>
    </row>
    <row r="151" ht="15" customHeight="1" s="106">
      <c r="B151" s="113" t="inlineStr">
        <is>
          <t>Portions per pouch (= one day-part)</t>
        </is>
      </c>
      <c r="C151" s="111" t="n"/>
      <c r="D151" s="157">
        <f>$D$128*1000/$D$133</f>
        <v/>
      </c>
    </row>
    <row r="152" ht="15" customHeight="1" s="106">
      <c r="B152" s="113" t="inlineStr">
        <is>
          <t>Thawed shelf life (hours)</t>
        </is>
      </c>
      <c r="C152" s="111" t="n"/>
      <c r="D152" s="157">
        <f>'01 Control'!$C$22</f>
        <v/>
      </c>
    </row>
    <row r="155" ht="15" customHeight="1" s="106">
      <c r="A155" s="109" t="inlineStr">
        <is>
          <t>Coconut-Cream Base   |   PP-SEASAUCE-COCONUT   |   Its own coconut-cream base - the doc does not build this one on Alfredo.   |   USED IN: Y2 Summer Coconut-Lime Beef</t>
        </is>
      </c>
      <c r="B155" s="110" t="n"/>
      <c r="C155" s="110" t="n"/>
      <c r="D155" s="110" t="n"/>
      <c r="E155" s="110" t="n"/>
      <c r="F155" s="110" t="n"/>
      <c r="G155" s="110" t="n"/>
      <c r="H155" s="110" t="n"/>
      <c r="I155" s="110" t="n"/>
      <c r="J155" s="110" t="n"/>
      <c r="K155" s="111" t="n"/>
    </row>
    <row r="156" ht="33.75" customHeight="1" s="106">
      <c r="A156" s="112" t="inlineStr">
        <is>
          <t>Sauce</t>
        </is>
      </c>
      <c r="B156" s="112" t="inlineStr">
        <is>
          <t>Ingredient SKU</t>
        </is>
      </c>
      <c r="C156" s="112" t="inlineStr">
        <is>
          <t>Ingredient</t>
        </is>
      </c>
      <c r="D156" s="112" t="inlineStr">
        <is>
          <t>Batch Qty</t>
        </is>
      </c>
      <c r="E156" s="112" t="inlineStr">
        <is>
          <t>Unit</t>
        </is>
      </c>
      <c r="F156" s="112" t="inlineStr">
        <is>
          <t>Base Qty (g/ml)</t>
        </is>
      </c>
      <c r="G156" s="112" t="inlineStr">
        <is>
          <t>Usable Cost per
Base Unit</t>
        </is>
      </c>
      <c r="H156" s="112" t="inlineStr">
        <is>
          <t>Line Cost</t>
        </is>
      </c>
      <c r="I156" s="112" t="inlineStr">
        <is>
          <t>% of Batch
Cost</t>
        </is>
      </c>
      <c r="J156" s="112" t="n"/>
      <c r="K156" s="112" t="inlineStr">
        <is>
          <t>Specification</t>
        </is>
      </c>
    </row>
    <row r="157" ht="15" customHeight="1" s="106">
      <c r="A157" s="163" t="inlineStr">
        <is>
          <t>Coconut-Cream Base</t>
        </is>
      </c>
      <c r="B157" s="134" t="inlineStr">
        <is>
          <t>PP-COCONUT-CREAM</t>
        </is>
      </c>
      <c r="C157" s="113" t="inlineStr">
        <is>
          <t>Coconut cream</t>
        </is>
      </c>
      <c r="D157" s="174" t="n">
        <v>11500</v>
      </c>
      <c r="E157" s="164" t="inlineStr">
        <is>
          <t>ml</t>
        </is>
      </c>
      <c r="F157" s="157">
        <f>$D157</f>
        <v/>
      </c>
      <c r="G157" s="150">
        <f>IFERROR(INDEX('04 SKU Master'!$AM$5:$AM$165,MATCH($B157,'04 SKU Master'!$A$5:$A$165,0)),"")</f>
        <v/>
      </c>
      <c r="H157" s="150">
        <f>IF(OR($G157="",$F157=""),"",$G157*$F157)</f>
        <v/>
      </c>
      <c r="I157" s="153">
        <f>IF(OR($H157="",SUM($H$157:$H$164)=0),"",$H157/SUM($H$157:$H$164))</f>
        <v/>
      </c>
      <c r="J157" s="175" t="n"/>
      <c r="K157" s="116" t="inlineStr">
        <is>
          <t>Y2 Summer</t>
        </is>
      </c>
    </row>
    <row r="158" ht="15" customHeight="1" s="106">
      <c r="A158" s="163" t="inlineStr">
        <is>
          <t>Coconut-Cream Base</t>
        </is>
      </c>
      <c r="B158" s="134" t="inlineStr">
        <is>
          <t>PP-CREAM</t>
        </is>
      </c>
      <c r="C158" s="113" t="inlineStr">
        <is>
          <t>Fresh cream</t>
        </is>
      </c>
      <c r="D158" s="174" t="n">
        <v>4500</v>
      </c>
      <c r="E158" s="164" t="inlineStr">
        <is>
          <t>ml</t>
        </is>
      </c>
      <c r="F158" s="157">
        <f>$D158</f>
        <v/>
      </c>
      <c r="G158" s="150">
        <f>IFERROR(INDEX('04 SKU Master'!$AM$5:$AM$165,MATCH($B158,'04 SKU Master'!$A$5:$A$165,0)),"")</f>
        <v/>
      </c>
      <c r="H158" s="150">
        <f>IF(OR($G158="",$F158=""),"",$G158*$F158)</f>
        <v/>
      </c>
      <c r="I158" s="153">
        <f>IF(OR($H158="",SUM($H$157:$H$164)=0),"",$H158/SUM($H$157:$H$164))</f>
        <v/>
      </c>
      <c r="J158" s="175" t="n"/>
      <c r="K158" s="116" t="inlineStr">
        <is>
          <t>Cream sauce bases</t>
        </is>
      </c>
    </row>
    <row r="159" ht="15" customHeight="1" s="106">
      <c r="A159" s="163" t="inlineStr">
        <is>
          <t>Coconut-Cream Base</t>
        </is>
      </c>
      <c r="B159" s="134" t="inlineStr">
        <is>
          <t>PP-ONION</t>
        </is>
      </c>
      <c r="C159" s="113" t="inlineStr">
        <is>
          <t>Onion</t>
        </is>
      </c>
      <c r="D159" s="174" t="n">
        <v>1200</v>
      </c>
      <c r="E159" s="164" t="inlineStr">
        <is>
          <t>g</t>
        </is>
      </c>
      <c r="F159" s="157">
        <f>$D159</f>
        <v/>
      </c>
      <c r="G159" s="150">
        <f>IFERROR(INDEX('04 SKU Master'!$AM$5:$AM$165,MATCH($B159,'04 SKU Master'!$A$5:$A$165,0)),"")</f>
        <v/>
      </c>
      <c r="H159" s="150">
        <f>IF(OR($G159="",$F159=""),"",$G159*$F159)</f>
        <v/>
      </c>
      <c r="I159" s="153">
        <f>IF(OR($H159="",SUM($H$157:$H$164)=0),"",$H159/SUM($H$157:$H$164))</f>
        <v/>
      </c>
      <c r="J159" s="175" t="n"/>
      <c r="K159" s="116" t="inlineStr">
        <is>
          <t>Soffritto base</t>
        </is>
      </c>
    </row>
    <row r="160" ht="15" customHeight="1" s="106">
      <c r="A160" s="163" t="inlineStr">
        <is>
          <t>Coconut-Cream Base</t>
        </is>
      </c>
      <c r="B160" s="134" t="inlineStr">
        <is>
          <t>PP-GARLIC</t>
        </is>
      </c>
      <c r="C160" s="113" t="inlineStr">
        <is>
          <t>Garlic</t>
        </is>
      </c>
      <c r="D160" s="174" t="n">
        <v>400</v>
      </c>
      <c r="E160" s="164" t="inlineStr">
        <is>
          <t>g</t>
        </is>
      </c>
      <c r="F160" s="157">
        <f>$D160</f>
        <v/>
      </c>
      <c r="G160" s="150">
        <f>IFERROR(INDEX('04 SKU Master'!$AM$5:$AM$165,MATCH($B160,'04 SKU Master'!$A$5:$A$165,0)),"")</f>
        <v/>
      </c>
      <c r="H160" s="150">
        <f>IF(OR($G160="",$F160=""),"",$G160*$F160)</f>
        <v/>
      </c>
      <c r="I160" s="153">
        <f>IF(OR($H160="",SUM($H$157:$H$164)=0),"",$H160/SUM($H$157:$H$164))</f>
        <v/>
      </c>
      <c r="J160" s="175" t="n"/>
      <c r="K160" s="116" t="inlineStr">
        <is>
          <t>Every sauce</t>
        </is>
      </c>
    </row>
    <row r="161" ht="15" customHeight="1" s="106">
      <c r="A161" s="163" t="inlineStr">
        <is>
          <t>Coconut-Cream Base</t>
        </is>
      </c>
      <c r="B161" s="134" t="inlineStr">
        <is>
          <t>PP-VEG-LEMON</t>
        </is>
      </c>
      <c r="C161" s="113" t="inlineStr">
        <is>
          <t>Lime / citrus juice</t>
        </is>
      </c>
      <c r="D161" s="174" t="n">
        <v>500</v>
      </c>
      <c r="E161" s="164" t="inlineStr">
        <is>
          <t>ml</t>
        </is>
      </c>
      <c r="F161" s="157">
        <f>$D161</f>
        <v/>
      </c>
      <c r="G161" s="150">
        <f>IFERROR(INDEX('04 SKU Master'!$AM$5:$AM$165,MATCH($B161,'04 SKU Master'!$A$5:$A$165,0)),"")</f>
        <v/>
      </c>
      <c r="H161" s="150">
        <f>IF(OR($G161="",$F161=""),"",$G161*$F161)</f>
        <v/>
      </c>
      <c r="I161" s="153">
        <f>IF(OR($H161="",SUM($H$157:$H$164)=0),"",$H161/SUM($H$157:$H$164))</f>
        <v/>
      </c>
      <c r="J161" s="175" t="n"/>
      <c r="K161" s="116" t="inlineStr">
        <is>
          <t>Juice yield only</t>
        </is>
      </c>
    </row>
    <row r="162" ht="15" customHeight="1" s="106">
      <c r="A162" s="163" t="inlineStr">
        <is>
          <t>Coconut-Cream Base</t>
        </is>
      </c>
      <c r="B162" s="134" t="inlineStr">
        <is>
          <t>PP-STOCK-VEG</t>
        </is>
      </c>
      <c r="C162" s="113" t="inlineStr">
        <is>
          <t>Vegetable stock</t>
        </is>
      </c>
      <c r="D162" s="174" t="n">
        <v>1600</v>
      </c>
      <c r="E162" s="164" t="inlineStr">
        <is>
          <t>ml</t>
        </is>
      </c>
      <c r="F162" s="157">
        <f>$D162</f>
        <v/>
      </c>
      <c r="G162" s="150">
        <f>IFERROR(INDEX('04 SKU Master'!$AM$5:$AM$165,MATCH($B162,'04 SKU Master'!$A$5:$A$165,0)),"")</f>
        <v/>
      </c>
      <c r="H162" s="150">
        <f>IF(OR($G162="",$F162=""),"",$G162*$F162)</f>
        <v/>
      </c>
      <c r="I162" s="153">
        <f>IF(OR($H162="",SUM($H$157:$H$164)=0),"",$H162/SUM($H$157:$H$164))</f>
        <v/>
      </c>
      <c r="J162" s="175" t="n"/>
      <c r="K162" s="116" t="n"/>
    </row>
    <row r="163" ht="15" customHeight="1" s="106">
      <c r="A163" s="163" t="inlineStr">
        <is>
          <t>Coconut-Cream Base</t>
        </is>
      </c>
      <c r="B163" s="134" t="inlineStr">
        <is>
          <t>PP-SPICE-PERIPERI</t>
        </is>
      </c>
      <c r="C163" s="113" t="inlineStr">
        <is>
          <t>Peri-peri (gentle warmth)</t>
        </is>
      </c>
      <c r="D163" s="174" t="n">
        <v>120</v>
      </c>
      <c r="E163" s="164" t="inlineStr">
        <is>
          <t>g</t>
        </is>
      </c>
      <c r="F163" s="157">
        <f>$D163</f>
        <v/>
      </c>
      <c r="G163" s="150">
        <f>IFERROR(INDEX('04 SKU Master'!$AM$5:$AM$165,MATCH($B163,'04 SKU Master'!$A$5:$A$165,0)),"")</f>
        <v/>
      </c>
      <c r="H163" s="150">
        <f>IF(OR($G163="",$F163=""),"",$G163*$F163)</f>
        <v/>
      </c>
      <c r="I163" s="153">
        <f>IF(OR($H163="",SUM($H$157:$H$164)=0),"",$H163/SUM($H$157:$H$164))</f>
        <v/>
      </c>
      <c r="J163" s="175" t="n"/>
      <c r="K163" s="116" t="inlineStr">
        <is>
          <t>Y1 Summer, Y2 Coast</t>
        </is>
      </c>
    </row>
    <row r="164" ht="15" customHeight="1" s="106">
      <c r="A164" s="163" t="inlineStr">
        <is>
          <t>Coconut-Cream Base</t>
        </is>
      </c>
      <c r="B164" s="134" t="inlineStr">
        <is>
          <t>PP-SALT</t>
        </is>
      </c>
      <c r="C164" s="113" t="inlineStr">
        <is>
          <t>Salt</t>
        </is>
      </c>
      <c r="D164" s="174" t="n">
        <v>130</v>
      </c>
      <c r="E164" s="164" t="inlineStr">
        <is>
          <t>g</t>
        </is>
      </c>
      <c r="F164" s="157">
        <f>$D164</f>
        <v/>
      </c>
      <c r="G164" s="150">
        <f>IFERROR(INDEX('04 SKU Master'!$AM$5:$AM$165,MATCH($B164,'04 SKU Master'!$A$5:$A$165,0)),"")</f>
        <v/>
      </c>
      <c r="H164" s="150">
        <f>IF(OR($G164="",$F164=""),"",$G164*$F164)</f>
        <v/>
      </c>
      <c r="I164" s="153">
        <f>IF(OR($H164="",SUM($H$157:$H$164)=0),"",$H164/SUM($H$157:$H$164))</f>
        <v/>
      </c>
      <c r="J164" s="175" t="n"/>
      <c r="K164" s="116" t="inlineStr">
        <is>
          <t>Optional/recommended at 1-1.5% of dry weight</t>
        </is>
      </c>
    </row>
    <row r="166" ht="15" customHeight="1" s="106">
      <c r="B166" s="113" t="inlineStr">
        <is>
          <t>Batch net weight (g)</t>
        </is>
      </c>
      <c r="C166" s="111" t="n"/>
      <c r="D166" s="157">
        <f>SUM($F$157:$F$164)</f>
        <v/>
      </c>
    </row>
    <row r="167" ht="15" customHeight="1" s="106">
      <c r="B167" s="113" t="inlineStr">
        <is>
          <t>Lines still unpriced</t>
        </is>
      </c>
      <c r="C167" s="111" t="n"/>
      <c r="D167" s="157">
        <f>COUNTA($B$157:$B$164)-COUNT($H$157:$H$164)</f>
        <v/>
      </c>
    </row>
    <row r="168" ht="15" customHeight="1" s="106">
      <c r="B168" s="113" t="inlineStr">
        <is>
          <t>Batch cost of priced lines (partial)</t>
        </is>
      </c>
      <c r="C168" s="111" t="n"/>
      <c r="D168" s="150">
        <f>IF(COUNT($H$157:$H$164)=0,"",SUM($H$157:$H$164))</f>
        <v/>
      </c>
    </row>
    <row r="169" ht="15" customHeight="1" s="106">
      <c r="B169" s="113" t="inlineStr">
        <is>
          <t>Batch ingredient cost</t>
        </is>
      </c>
      <c r="C169" s="111" t="n"/>
      <c r="D169" s="150">
        <f>IF($D$167&gt;0,"",SUM($H$157:$H$164))</f>
        <v/>
      </c>
    </row>
    <row r="170" ht="15" customHeight="1" s="106">
      <c r="B170" s="113" t="inlineStr">
        <is>
          <t>Ingredient cost per kg</t>
        </is>
      </c>
      <c r="C170" s="111" t="n"/>
      <c r="D170" s="150">
        <f>IF(OR($D$169="",$D$166=0),"",$D$169/($D$166/1000))</f>
        <v/>
      </c>
    </row>
    <row r="171" ht="15" customHeight="1" s="106">
      <c r="B171" s="113" t="inlineStr">
        <is>
          <t xml:space="preserve">  add: CK labour &amp; energy per kg</t>
        </is>
      </c>
      <c r="C171" s="111" t="n"/>
      <c r="D171" s="150">
        <f>'01 Control'!$C$13</f>
        <v/>
      </c>
    </row>
    <row r="172" ht="15" customHeight="1" s="106">
      <c r="B172" s="113" t="inlineStr">
        <is>
          <t xml:space="preserve">  add: CK overhead &amp; distribution per kg</t>
        </is>
      </c>
      <c r="C172" s="111" t="n"/>
      <c r="D172" s="150">
        <f>'01 Control'!$C$14</f>
        <v/>
      </c>
    </row>
    <row r="173" ht="15" customHeight="1" s="106">
      <c r="B173" s="134" t="inlineStr">
        <is>
          <t>Pouch size (kg)</t>
        </is>
      </c>
      <c r="C173" s="111" t="n"/>
      <c r="D173" s="173" t="n">
        <v>2</v>
      </c>
    </row>
    <row r="174" ht="15" customHeight="1" s="106">
      <c r="B174" s="113" t="inlineStr">
        <is>
          <t xml:space="preserve">  add: Pouch, label &amp; carton per kg</t>
        </is>
      </c>
      <c r="C174" s="111" t="n"/>
      <c r="D174" s="150">
        <f>IFERROR((INDEX('05 Packaging Master'!$AM$5:$AM$50,MATCH("PP-PACK-CK-POUCH",'05 Packaging Master'!$A$5:$A$50,0))+INDEX('05 Packaging Master'!$AM$5:$AM$50,MATCH("PP-PACK-CK-LABEL",'05 Packaging Master'!$A$5:$A$50,0))+INDEX('05 Packaging Master'!$AM$5:$AM$50,MATCH("PP-PACK-CK-CARTON",'05 Packaging Master'!$A$5:$A$50,0))/6)/$D$173,0)</f>
        <v/>
      </c>
    </row>
    <row r="175" ht="15" customHeight="1" s="106">
      <c r="B175" s="134" t="inlineStr">
        <is>
          <t>CK TOTAL COST per kg</t>
        </is>
      </c>
      <c r="C175" s="111" t="n"/>
      <c r="D175" s="151">
        <f>IF($D$170="","",$D$170+$D$171+$D$172+$D$174)</f>
        <v/>
      </c>
    </row>
    <row r="176" ht="15" customHeight="1" s="106">
      <c r="B176" s="113" t="inlineStr">
        <is>
          <t>CK margin to franchisee</t>
        </is>
      </c>
      <c r="C176" s="111" t="n"/>
      <c r="D176" s="166">
        <f>'01 Control'!$C$15</f>
        <v/>
      </c>
    </row>
    <row r="177" ht="15" customHeight="1" s="106">
      <c r="B177" s="134" t="inlineStr">
        <is>
          <t>TRANSFER PRICE per kg</t>
        </is>
      </c>
      <c r="C177" s="111" t="n"/>
      <c r="D177" s="151">
        <f>IF($D$175="","",$D$175*(1+$D$176))</f>
        <v/>
      </c>
    </row>
    <row r="178" ht="15" customHeight="1" s="106">
      <c r="B178" s="134" t="inlineStr">
        <is>
          <t>Store portion (g)</t>
        </is>
      </c>
      <c r="C178" s="111" t="n"/>
      <c r="D178" s="168" t="n">
        <v>140</v>
      </c>
    </row>
    <row r="179" ht="15" customHeight="1" s="106">
      <c r="B179" s="134" t="inlineStr">
        <is>
          <t>SERVICE METHOD</t>
        </is>
      </c>
      <c r="C179" s="111" t="n"/>
      <c r="D179" s="171" t="inlineStr">
        <is>
          <t>WOK TO ORDER</t>
        </is>
      </c>
      <c r="E179" s="172" t="inlineStr">
        <is>
          <t>Coconut cream splits and oils out on a long hold. Finished per bowl.</t>
        </is>
      </c>
    </row>
    <row r="180" ht="15" customHeight="1" s="106">
      <c r="B180" s="134" t="inlineStr">
        <is>
          <t>MAKE POINT</t>
        </is>
      </c>
      <c r="C180" s="111" t="n"/>
      <c r="D180" s="171" t="inlineStr">
        <is>
          <t>CENTRAL KITCHEN</t>
        </is>
      </c>
    </row>
    <row r="181" ht="15" customHeight="1" s="106">
      <c r="B181" s="134" t="inlineStr">
        <is>
          <t>In-store labour minutes per batch</t>
        </is>
      </c>
      <c r="C181" s="111" t="n"/>
      <c r="D181" s="168" t="n">
        <v>70</v>
      </c>
    </row>
    <row r="182" ht="15" customHeight="1" s="106">
      <c r="B182" s="134" t="inlineStr">
        <is>
          <t>In-store energy kWh per batch</t>
        </is>
      </c>
      <c r="C182" s="111" t="n"/>
      <c r="D182" s="173" t="n">
        <v>10</v>
      </c>
    </row>
    <row r="183" ht="15" customHeight="1" s="106">
      <c r="B183" s="113" t="inlineStr">
        <is>
          <t>In-store labour cost per batch</t>
        </is>
      </c>
      <c r="C183" s="111" t="n"/>
      <c r="D183" s="150">
        <f>$D$181/60*'01 Control'!$C$24</f>
        <v/>
      </c>
    </row>
    <row r="184" ht="15" customHeight="1" s="106">
      <c r="B184" s="113" t="inlineStr">
        <is>
          <t>In-store energy cost per batch</t>
        </is>
      </c>
      <c r="C184" s="111" t="n"/>
      <c r="D184" s="150">
        <f>$D$182*'01 Control'!$C$25</f>
        <v/>
      </c>
    </row>
    <row r="185" ht="15" customHeight="1" s="106">
      <c r="B185" s="113" t="inlineStr">
        <is>
          <t>IN-STORE batch cost</t>
        </is>
      </c>
      <c r="C185" s="111" t="n"/>
      <c r="D185" s="150">
        <f>IF($D$169="","",$D$169+$D$183+$D$184)</f>
        <v/>
      </c>
    </row>
    <row r="186" ht="15" customHeight="1" s="106">
      <c r="B186" s="113" t="inlineStr">
        <is>
          <t>IN-STORE cost per kg</t>
        </is>
      </c>
      <c r="C186" s="111" t="n"/>
      <c r="D186" s="150">
        <f>IF(OR($D$185="",$D$166=0),"",$D$185/($D$166/1000))</f>
        <v/>
      </c>
    </row>
    <row r="187" ht="15" customHeight="1" s="106">
      <c r="B187" s="113" t="inlineStr">
        <is>
          <t>IN-STORE cost per portion</t>
        </is>
      </c>
      <c r="C187" s="111" t="n"/>
      <c r="D187" s="150">
        <f>IF($D$186="","",$D$186/1000*$D$178)</f>
        <v/>
      </c>
    </row>
    <row r="188" ht="15" customHeight="1" s="106">
      <c r="B188" s="113" t="inlineStr">
        <is>
          <t>CK cost per portion</t>
        </is>
      </c>
      <c r="C188" s="111" t="n"/>
      <c r="D188" s="150">
        <f>IF($D$175="","",$D$175/1000*$D$178)</f>
        <v/>
      </c>
    </row>
    <row r="189" ht="15" customHeight="1" s="106">
      <c r="B189" s="113" t="inlineStr">
        <is>
          <t>CK TRANSFER PRICE per portion</t>
        </is>
      </c>
      <c r="C189" s="111" t="n"/>
      <c r="D189" s="150">
        <f>IF($D$177="","",$D$177/1000*$D$178)</f>
        <v/>
      </c>
    </row>
    <row r="190" ht="15" customHeight="1" s="106">
      <c r="B190" s="134" t="inlineStr">
        <is>
          <t>FRANCHISEE COST PER PORTION</t>
        </is>
      </c>
      <c r="C190" s="111" t="n"/>
      <c r="D190" s="151">
        <f>IF($D$180="IN-STORE",$D$187,$D$189)</f>
        <v/>
      </c>
    </row>
    <row r="191" ht="15" customHeight="1" s="106">
      <c r="B191" s="134" t="inlineStr">
        <is>
          <t>Franchisee cost per gram (live)</t>
        </is>
      </c>
      <c r="C191" s="111" t="n"/>
      <c r="D191" s="151">
        <f>IF(OR($D$190="",$D$178=0),"",$D$190/$D$178)</f>
        <v/>
      </c>
    </row>
    <row r="192" ht="15" customHeight="1" s="106">
      <c r="B192" s="113" t="inlineStr">
        <is>
          <t>In-store vs CK, per portion</t>
        </is>
      </c>
      <c r="C192" s="111" t="n"/>
      <c r="D192" s="150">
        <f>IF(OR($D$187="",$D$189=""),"",$D$187-$D$189)</f>
        <v/>
      </c>
    </row>
    <row r="193" ht="15" customHeight="1" s="106">
      <c r="B193" s="113" t="inlineStr">
        <is>
          <t>CK margin earned per portion</t>
        </is>
      </c>
      <c r="C193" s="111" t="n"/>
      <c r="D193" s="150">
        <f>IF(OR($D$180&lt;&gt;"CENTRAL KITCHEN",$D$189=""),0,$D$189-$D$188)</f>
        <v/>
      </c>
    </row>
    <row r="194" ht="15" customHeight="1" s="106">
      <c r="B194" s="113" t="inlineStr">
        <is>
          <t>Portions per batch</t>
        </is>
      </c>
      <c r="C194" s="111" t="n"/>
      <c r="D194" s="157">
        <f>$D$166/$D$178</f>
        <v/>
      </c>
    </row>
    <row r="195" ht="15" customHeight="1" s="106">
      <c r="B195" s="113" t="inlineStr">
        <is>
          <t>Pouches per batch</t>
        </is>
      </c>
      <c r="C195" s="111" t="n"/>
      <c r="D195" s="165">
        <f>$D$166/1000/$D$173</f>
        <v/>
      </c>
    </row>
    <row r="196" ht="15" customHeight="1" s="106">
      <c r="B196" s="113" t="inlineStr">
        <is>
          <t>Portions per pouch (= one day-part)</t>
        </is>
      </c>
      <c r="C196" s="111" t="n"/>
      <c r="D196" s="157">
        <f>$D$173*1000/$D$178</f>
        <v/>
      </c>
    </row>
    <row r="197" ht="15" customHeight="1" s="106">
      <c r="B197" s="113" t="inlineStr">
        <is>
          <t>Thawed shelf life (hours)</t>
        </is>
      </c>
      <c r="C197" s="111" t="n"/>
      <c r="D197" s="157">
        <f>'01 Control'!$C$22</f>
        <v/>
      </c>
    </row>
    <row r="200" ht="15" customHeight="1" s="106">
      <c r="A200" s="109" t="inlineStr">
        <is>
          <t>Cape Malay Curry-Cream Base   |   PP-SEASAUCE-CAPEMALAY   |   The doc specifies a curry-CREAM base - gentle Cape Malay masala, not Alfredo plus spice.   |   USED IN: Y2 Autumn Cape Malay Curry Beef</t>
        </is>
      </c>
      <c r="B200" s="110" t="n"/>
      <c r="C200" s="110" t="n"/>
      <c r="D200" s="110" t="n"/>
      <c r="E200" s="110" t="n"/>
      <c r="F200" s="110" t="n"/>
      <c r="G200" s="110" t="n"/>
      <c r="H200" s="110" t="n"/>
      <c r="I200" s="110" t="n"/>
      <c r="J200" s="110" t="n"/>
      <c r="K200" s="111" t="n"/>
    </row>
    <row r="201" ht="33.75" customHeight="1" s="106">
      <c r="A201" s="112" t="inlineStr">
        <is>
          <t>Sauce</t>
        </is>
      </c>
      <c r="B201" s="112" t="inlineStr">
        <is>
          <t>Ingredient SKU</t>
        </is>
      </c>
      <c r="C201" s="112" t="inlineStr">
        <is>
          <t>Ingredient</t>
        </is>
      </c>
      <c r="D201" s="112" t="inlineStr">
        <is>
          <t>Batch Qty</t>
        </is>
      </c>
      <c r="E201" s="112" t="inlineStr">
        <is>
          <t>Unit</t>
        </is>
      </c>
      <c r="F201" s="112" t="inlineStr">
        <is>
          <t>Base Qty (g/ml)</t>
        </is>
      </c>
      <c r="G201" s="112" t="inlineStr">
        <is>
          <t>Usable Cost per
Base Unit</t>
        </is>
      </c>
      <c r="H201" s="112" t="inlineStr">
        <is>
          <t>Line Cost</t>
        </is>
      </c>
      <c r="I201" s="112" t="inlineStr">
        <is>
          <t>% of Batch
Cost</t>
        </is>
      </c>
      <c r="J201" s="112" t="n"/>
      <c r="K201" s="112" t="inlineStr">
        <is>
          <t>Specification</t>
        </is>
      </c>
    </row>
    <row r="202" ht="15" customHeight="1" s="106">
      <c r="A202" s="163" t="inlineStr">
        <is>
          <t>Cape Malay Curry-Cream Base</t>
        </is>
      </c>
      <c r="B202" s="134" t="inlineStr">
        <is>
          <t>PP-CREAM</t>
        </is>
      </c>
      <c r="C202" s="113" t="inlineStr">
        <is>
          <t>Fresh cream</t>
        </is>
      </c>
      <c r="D202" s="174" t="n">
        <v>9500</v>
      </c>
      <c r="E202" s="164" t="inlineStr">
        <is>
          <t>ml</t>
        </is>
      </c>
      <c r="F202" s="157">
        <f>$D202</f>
        <v/>
      </c>
      <c r="G202" s="150">
        <f>IFERROR(INDEX('04 SKU Master'!$AM$5:$AM$165,MATCH($B202,'04 SKU Master'!$A$5:$A$165,0)),"")</f>
        <v/>
      </c>
      <c r="H202" s="150">
        <f>IF(OR($G202="",$F202=""),"",$G202*$F202)</f>
        <v/>
      </c>
      <c r="I202" s="153">
        <f>IF(OR($H202="",SUM($H$202:$H$210)=0),"",$H202/SUM($H$202:$H$210))</f>
        <v/>
      </c>
      <c r="J202" s="175" t="n"/>
      <c r="K202" s="116" t="inlineStr">
        <is>
          <t>Cream sauce bases</t>
        </is>
      </c>
    </row>
    <row r="203" ht="15" customHeight="1" s="106">
      <c r="A203" s="163" t="inlineStr">
        <is>
          <t>Cape Malay Curry-Cream Base</t>
        </is>
      </c>
      <c r="B203" s="134" t="inlineStr">
        <is>
          <t>PP-ONION</t>
        </is>
      </c>
      <c r="C203" s="113" t="inlineStr">
        <is>
          <t>Onion</t>
        </is>
      </c>
      <c r="D203" s="174" t="n">
        <v>2400</v>
      </c>
      <c r="E203" s="164" t="inlineStr">
        <is>
          <t>g</t>
        </is>
      </c>
      <c r="F203" s="157">
        <f>$D203</f>
        <v/>
      </c>
      <c r="G203" s="150">
        <f>IFERROR(INDEX('04 SKU Master'!$AM$5:$AM$165,MATCH($B203,'04 SKU Master'!$A$5:$A$165,0)),"")</f>
        <v/>
      </c>
      <c r="H203" s="150">
        <f>IF(OR($G203="",$F203=""),"",$G203*$F203)</f>
        <v/>
      </c>
      <c r="I203" s="153">
        <f>IF(OR($H203="",SUM($H$202:$H$210)=0),"",$H203/SUM($H$202:$H$210))</f>
        <v/>
      </c>
      <c r="J203" s="175" t="n"/>
      <c r="K203" s="116" t="inlineStr">
        <is>
          <t>Soffritto base</t>
        </is>
      </c>
    </row>
    <row r="204" ht="15" customHeight="1" s="106">
      <c r="A204" s="163" t="inlineStr">
        <is>
          <t>Cape Malay Curry-Cream Base</t>
        </is>
      </c>
      <c r="B204" s="134" t="inlineStr">
        <is>
          <t>PP-TOM-PLUM</t>
        </is>
      </c>
      <c r="C204" s="113" t="inlineStr">
        <is>
          <t>Plum tomatoes</t>
        </is>
      </c>
      <c r="D204" s="174" t="n">
        <v>2600</v>
      </c>
      <c r="E204" s="164" t="inlineStr">
        <is>
          <t>g</t>
        </is>
      </c>
      <c r="F204" s="157">
        <f>$D204</f>
        <v/>
      </c>
      <c r="G204" s="150">
        <f>IFERROR(INDEX('04 SKU Master'!$AM$5:$AM$165,MATCH($B204,'04 SKU Master'!$A$5:$A$165,0)),"")</f>
        <v/>
      </c>
      <c r="H204" s="150">
        <f>IF(OR($G204="",$F204=""),"",$G204*$F204)</f>
        <v/>
      </c>
      <c r="I204" s="153">
        <f>IF(OR($H204="",SUM($H$202:$H$210)=0),"",$H204/SUM($H$202:$H$210))</f>
        <v/>
      </c>
      <c r="J204" s="175" t="n"/>
      <c r="K204" s="116" t="inlineStr">
        <is>
          <t>Napoletana / Bolognese / Arrabbiata base</t>
        </is>
      </c>
    </row>
    <row r="205" ht="15" customHeight="1" s="106">
      <c r="A205" s="163" t="inlineStr">
        <is>
          <t>Cape Malay Curry-Cream Base</t>
        </is>
      </c>
      <c r="B205" s="134" t="inlineStr">
        <is>
          <t>PP-SPICE-CAPEMALAY</t>
        </is>
      </c>
      <c r="C205" s="113" t="inlineStr">
        <is>
          <t>Cape Malay masala</t>
        </is>
      </c>
      <c r="D205" s="174" t="n">
        <v>800</v>
      </c>
      <c r="E205" s="164" t="inlineStr">
        <is>
          <t>g</t>
        </is>
      </c>
      <c r="F205" s="157">
        <f>$D205</f>
        <v/>
      </c>
      <c r="G205" s="150">
        <f>IFERROR(INDEX('04 SKU Master'!$AM$5:$AM$165,MATCH($B205,'04 SKU Master'!$A$5:$A$165,0)),"")</f>
        <v/>
      </c>
      <c r="H205" s="150">
        <f>IF(OR($G205="",$F205=""),"",$G205*$F205)</f>
        <v/>
      </c>
      <c r="I205" s="153">
        <f>IF(OR($H205="",SUM($H$202:$H$210)=0),"",$H205/SUM($H$202:$H$210))</f>
        <v/>
      </c>
      <c r="J205" s="175" t="n"/>
      <c r="K205" s="116" t="inlineStr">
        <is>
          <t>Y2 Autumn</t>
        </is>
      </c>
    </row>
    <row r="206" ht="15" customHeight="1" s="106">
      <c r="A206" s="163" t="inlineStr">
        <is>
          <t>Cape Malay Curry-Cream Base</t>
        </is>
      </c>
      <c r="B206" s="134" t="inlineStr">
        <is>
          <t>PP-SPICE-TURMERIC</t>
        </is>
      </c>
      <c r="C206" s="113" t="inlineStr">
        <is>
          <t>Turmeric</t>
        </is>
      </c>
      <c r="D206" s="174" t="n">
        <v>150</v>
      </c>
      <c r="E206" s="164" t="inlineStr">
        <is>
          <t>g</t>
        </is>
      </c>
      <c r="F206" s="157">
        <f>$D206</f>
        <v/>
      </c>
      <c r="G206" s="150">
        <f>IFERROR(INDEX('04 SKU Master'!$AM$5:$AM$165,MATCH($B206,'04 SKU Master'!$A$5:$A$165,0)),"")</f>
        <v/>
      </c>
      <c r="H206" s="150">
        <f>IF(OR($G206="",$F206=""),"",$G206*$F206)</f>
        <v/>
      </c>
      <c r="I206" s="153">
        <f>IF(OR($H206="",SUM($H$202:$H$210)=0),"",$H206/SUM($H$202:$H$210))</f>
        <v/>
      </c>
      <c r="J206" s="175" t="n"/>
      <c r="K206" s="116" t="inlineStr">
        <is>
          <t>Y2 Autumn</t>
        </is>
      </c>
    </row>
    <row r="207" ht="15" customHeight="1" s="106">
      <c r="A207" s="163" t="inlineStr">
        <is>
          <t>Cape Malay Curry-Cream Base</t>
        </is>
      </c>
      <c r="B207" s="134" t="inlineStr">
        <is>
          <t>PP-GARLIC</t>
        </is>
      </c>
      <c r="C207" s="113" t="inlineStr">
        <is>
          <t>Garlic</t>
        </is>
      </c>
      <c r="D207" s="174" t="n">
        <v>450</v>
      </c>
      <c r="E207" s="164" t="inlineStr">
        <is>
          <t>g</t>
        </is>
      </c>
      <c r="F207" s="157">
        <f>$D207</f>
        <v/>
      </c>
      <c r="G207" s="150">
        <f>IFERROR(INDEX('04 SKU Master'!$AM$5:$AM$165,MATCH($B207,'04 SKU Master'!$A$5:$A$165,0)),"")</f>
        <v/>
      </c>
      <c r="H207" s="150">
        <f>IF(OR($G207="",$F207=""),"",$G207*$F207)</f>
        <v/>
      </c>
      <c r="I207" s="153">
        <f>IF(OR($H207="",SUM($H$202:$H$210)=0),"",$H207/SUM($H$202:$H$210))</f>
        <v/>
      </c>
      <c r="J207" s="175" t="n"/>
      <c r="K207" s="116" t="inlineStr">
        <is>
          <t>Every sauce</t>
        </is>
      </c>
    </row>
    <row r="208" ht="15" customHeight="1" s="106">
      <c r="A208" s="163" t="inlineStr">
        <is>
          <t>Cape Malay Curry-Cream Base</t>
        </is>
      </c>
      <c r="B208" s="134" t="inlineStr">
        <is>
          <t>PP-STOCK-VEG</t>
        </is>
      </c>
      <c r="C208" s="113" t="inlineStr">
        <is>
          <t>Vegetable stock</t>
        </is>
      </c>
      <c r="D208" s="174" t="n">
        <v>3200</v>
      </c>
      <c r="E208" s="164" t="inlineStr">
        <is>
          <t>ml</t>
        </is>
      </c>
      <c r="F208" s="157">
        <f>$D208</f>
        <v/>
      </c>
      <c r="G208" s="150">
        <f>IFERROR(INDEX('04 SKU Master'!$AM$5:$AM$165,MATCH($B208,'04 SKU Master'!$A$5:$A$165,0)),"")</f>
        <v/>
      </c>
      <c r="H208" s="150">
        <f>IF(OR($G208="",$F208=""),"",$G208*$F208)</f>
        <v/>
      </c>
      <c r="I208" s="153">
        <f>IF(OR($H208="",SUM($H$202:$H$210)=0),"",$H208/SUM($H$202:$H$210))</f>
        <v/>
      </c>
      <c r="J208" s="175" t="n"/>
      <c r="K208" s="116" t="n"/>
    </row>
    <row r="209" ht="15" customHeight="1" s="106">
      <c r="A209" s="163" t="inlineStr">
        <is>
          <t>Cape Malay Curry-Cream Base</t>
        </is>
      </c>
      <c r="B209" s="134" t="inlineStr">
        <is>
          <t>PP-OIL</t>
        </is>
      </c>
      <c r="C209" s="113" t="inlineStr">
        <is>
          <t>Cooking oil</t>
        </is>
      </c>
      <c r="D209" s="174" t="n">
        <v>700</v>
      </c>
      <c r="E209" s="164" t="inlineStr">
        <is>
          <t>ml</t>
        </is>
      </c>
      <c r="F209" s="157">
        <f>$D209</f>
        <v/>
      </c>
      <c r="G209" s="150">
        <f>IFERROR(INDEX('04 SKU Master'!$AM$5:$AM$165,MATCH($B209,'04 SKU Master'!$A$5:$A$165,0)),"")</f>
        <v/>
      </c>
      <c r="H209" s="150">
        <f>IF(OR($G209="",$F209=""),"",$G209*$F209)</f>
        <v/>
      </c>
      <c r="I209" s="153">
        <f>IF(OR($H209="",SUM($H$202:$H$210)=0),"",$H209/SUM($H$202:$H$210))</f>
        <v/>
      </c>
      <c r="J209" s="175" t="n"/>
      <c r="K209" s="116" t="inlineStr">
        <is>
          <t>Commissary soffritto base</t>
        </is>
      </c>
    </row>
    <row r="210" ht="15" customHeight="1" s="106">
      <c r="A210" s="163" t="inlineStr">
        <is>
          <t>Cape Malay Curry-Cream Base</t>
        </is>
      </c>
      <c r="B210" s="134" t="inlineStr">
        <is>
          <t>PP-SALT</t>
        </is>
      </c>
      <c r="C210" s="113" t="inlineStr">
        <is>
          <t>Salt</t>
        </is>
      </c>
      <c r="D210" s="174" t="n">
        <v>150</v>
      </c>
      <c r="E210" s="164" t="inlineStr">
        <is>
          <t>g</t>
        </is>
      </c>
      <c r="F210" s="157">
        <f>$D210</f>
        <v/>
      </c>
      <c r="G210" s="150">
        <f>IFERROR(INDEX('04 SKU Master'!$AM$5:$AM$165,MATCH($B210,'04 SKU Master'!$A$5:$A$165,0)),"")</f>
        <v/>
      </c>
      <c r="H210" s="150">
        <f>IF(OR($G210="",$F210=""),"",$G210*$F210)</f>
        <v/>
      </c>
      <c r="I210" s="153">
        <f>IF(OR($H210="",SUM($H$202:$H$210)=0),"",$H210/SUM($H$202:$H$210))</f>
        <v/>
      </c>
      <c r="J210" s="175" t="n"/>
      <c r="K210" s="116" t="inlineStr">
        <is>
          <t>Optional/recommended at 1-1.5% of dry weight</t>
        </is>
      </c>
    </row>
    <row r="212" ht="15" customHeight="1" s="106">
      <c r="B212" s="113" t="inlineStr">
        <is>
          <t>Batch net weight (g)</t>
        </is>
      </c>
      <c r="C212" s="111" t="n"/>
      <c r="D212" s="157">
        <f>SUM($F$202:$F$210)</f>
        <v/>
      </c>
    </row>
    <row r="213" ht="15" customHeight="1" s="106">
      <c r="B213" s="113" t="inlineStr">
        <is>
          <t>Lines still unpriced</t>
        </is>
      </c>
      <c r="C213" s="111" t="n"/>
      <c r="D213" s="157">
        <f>COUNTA($B$202:$B$210)-COUNT($H$202:$H$210)</f>
        <v/>
      </c>
    </row>
    <row r="214" ht="15" customHeight="1" s="106">
      <c r="B214" s="113" t="inlineStr">
        <is>
          <t>Batch cost of priced lines (partial)</t>
        </is>
      </c>
      <c r="C214" s="111" t="n"/>
      <c r="D214" s="150">
        <f>IF(COUNT($H$202:$H$210)=0,"",SUM($H$202:$H$210))</f>
        <v/>
      </c>
    </row>
    <row r="215" ht="15" customHeight="1" s="106">
      <c r="B215" s="113" t="inlineStr">
        <is>
          <t>Batch ingredient cost</t>
        </is>
      </c>
      <c r="C215" s="111" t="n"/>
      <c r="D215" s="150">
        <f>IF($D$213&gt;0,"",SUM($H$202:$H$210))</f>
        <v/>
      </c>
    </row>
    <row r="216" ht="15" customHeight="1" s="106">
      <c r="B216" s="113" t="inlineStr">
        <is>
          <t>Ingredient cost per kg</t>
        </is>
      </c>
      <c r="C216" s="111" t="n"/>
      <c r="D216" s="150">
        <f>IF(OR($D$215="",$D$212=0),"",$D$215/($D$212/1000))</f>
        <v/>
      </c>
    </row>
    <row r="217" ht="15" customHeight="1" s="106">
      <c r="B217" s="113" t="inlineStr">
        <is>
          <t xml:space="preserve">  add: CK labour &amp; energy per kg</t>
        </is>
      </c>
      <c r="C217" s="111" t="n"/>
      <c r="D217" s="150">
        <f>'01 Control'!$C$13</f>
        <v/>
      </c>
    </row>
    <row r="218" ht="15" customHeight="1" s="106">
      <c r="B218" s="113" t="inlineStr">
        <is>
          <t xml:space="preserve">  add: CK overhead &amp; distribution per kg</t>
        </is>
      </c>
      <c r="C218" s="111" t="n"/>
      <c r="D218" s="150">
        <f>'01 Control'!$C$14</f>
        <v/>
      </c>
    </row>
    <row r="219" ht="15" customHeight="1" s="106">
      <c r="B219" s="134" t="inlineStr">
        <is>
          <t>Pouch size (kg)</t>
        </is>
      </c>
      <c r="C219" s="111" t="n"/>
      <c r="D219" s="173" t="n">
        <v>2</v>
      </c>
    </row>
    <row r="220" ht="15" customHeight="1" s="106">
      <c r="B220" s="113" t="inlineStr">
        <is>
          <t xml:space="preserve">  add: Pouch, label &amp; carton per kg</t>
        </is>
      </c>
      <c r="C220" s="111" t="n"/>
      <c r="D220" s="150">
        <f>IFERROR((INDEX('05 Packaging Master'!$AM$5:$AM$50,MATCH("PP-PACK-CK-POUCH",'05 Packaging Master'!$A$5:$A$50,0))+INDEX('05 Packaging Master'!$AM$5:$AM$50,MATCH("PP-PACK-CK-LABEL",'05 Packaging Master'!$A$5:$A$50,0))+INDEX('05 Packaging Master'!$AM$5:$AM$50,MATCH("PP-PACK-CK-CARTON",'05 Packaging Master'!$A$5:$A$50,0))/6)/$D$219,0)</f>
        <v/>
      </c>
    </row>
    <row r="221" ht="15" customHeight="1" s="106">
      <c r="B221" s="134" t="inlineStr">
        <is>
          <t>CK TOTAL COST per kg</t>
        </is>
      </c>
      <c r="C221" s="111" t="n"/>
      <c r="D221" s="151">
        <f>IF($D$216="","",$D$216+$D$217+$D$218+$D$220)</f>
        <v/>
      </c>
    </row>
    <row r="222" ht="15" customHeight="1" s="106">
      <c r="B222" s="113" t="inlineStr">
        <is>
          <t>CK margin to franchisee</t>
        </is>
      </c>
      <c r="C222" s="111" t="n"/>
      <c r="D222" s="166">
        <f>'01 Control'!$C$15</f>
        <v/>
      </c>
    </row>
    <row r="223" ht="15" customHeight="1" s="106">
      <c r="B223" s="134" t="inlineStr">
        <is>
          <t>TRANSFER PRICE per kg</t>
        </is>
      </c>
      <c r="C223" s="111" t="n"/>
      <c r="D223" s="151">
        <f>IF($D$221="","",$D$221*(1+$D$222))</f>
        <v/>
      </c>
    </row>
    <row r="224" ht="15" customHeight="1" s="106">
      <c r="B224" s="134" t="inlineStr">
        <is>
          <t>Store portion (g)</t>
        </is>
      </c>
      <c r="C224" s="111" t="n"/>
      <c r="D224" s="168" t="n">
        <v>140</v>
      </c>
    </row>
    <row r="225" ht="15" customHeight="1" s="106">
      <c r="B225" s="134" t="inlineStr">
        <is>
          <t>SERVICE METHOD</t>
        </is>
      </c>
      <c r="C225" s="111" t="n"/>
      <c r="D225" s="171" t="inlineStr">
        <is>
          <t>WOK TO ORDER</t>
        </is>
      </c>
      <c r="E225" s="172" t="inlineStr">
        <is>
          <t>Curry-cream. The curry would hold; the cream would not. Finished per bowl.</t>
        </is>
      </c>
    </row>
    <row r="226" ht="15" customHeight="1" s="106">
      <c r="B226" s="134" t="inlineStr">
        <is>
          <t>MAKE POINT</t>
        </is>
      </c>
      <c r="C226" s="111" t="n"/>
      <c r="D226" s="171" t="inlineStr">
        <is>
          <t>CENTRAL KITCHEN</t>
        </is>
      </c>
    </row>
    <row r="227" ht="15" customHeight="1" s="106">
      <c r="B227" s="134" t="inlineStr">
        <is>
          <t>In-store labour minutes per batch</t>
        </is>
      </c>
      <c r="C227" s="111" t="n"/>
      <c r="D227" s="168" t="n">
        <v>85</v>
      </c>
    </row>
    <row r="228" ht="15" customHeight="1" s="106">
      <c r="B228" s="134" t="inlineStr">
        <is>
          <t>In-store energy kWh per batch</t>
        </is>
      </c>
      <c r="C228" s="111" t="n"/>
      <c r="D228" s="173" t="n">
        <v>12</v>
      </c>
    </row>
    <row r="229" ht="15" customHeight="1" s="106">
      <c r="B229" s="113" t="inlineStr">
        <is>
          <t>In-store labour cost per batch</t>
        </is>
      </c>
      <c r="C229" s="111" t="n"/>
      <c r="D229" s="150">
        <f>$D$227/60*'01 Control'!$C$24</f>
        <v/>
      </c>
    </row>
    <row r="230" ht="15" customHeight="1" s="106">
      <c r="B230" s="113" t="inlineStr">
        <is>
          <t>In-store energy cost per batch</t>
        </is>
      </c>
      <c r="C230" s="111" t="n"/>
      <c r="D230" s="150">
        <f>$D$228*'01 Control'!$C$25</f>
        <v/>
      </c>
    </row>
    <row r="231" ht="15" customHeight="1" s="106">
      <c r="B231" s="113" t="inlineStr">
        <is>
          <t>IN-STORE batch cost</t>
        </is>
      </c>
      <c r="C231" s="111" t="n"/>
      <c r="D231" s="150">
        <f>IF($D$215="","",$D$215+$D$229+$D$230)</f>
        <v/>
      </c>
    </row>
    <row r="232" ht="15" customHeight="1" s="106">
      <c r="B232" s="113" t="inlineStr">
        <is>
          <t>IN-STORE cost per kg</t>
        </is>
      </c>
      <c r="C232" s="111" t="n"/>
      <c r="D232" s="150">
        <f>IF(OR($D$231="",$D$212=0),"",$D$231/($D$212/1000))</f>
        <v/>
      </c>
    </row>
    <row r="233" ht="15" customHeight="1" s="106">
      <c r="B233" s="113" t="inlineStr">
        <is>
          <t>IN-STORE cost per portion</t>
        </is>
      </c>
      <c r="C233" s="111" t="n"/>
      <c r="D233" s="150">
        <f>IF($D$232="","",$D$232/1000*$D$224)</f>
        <v/>
      </c>
    </row>
    <row r="234" ht="15" customHeight="1" s="106">
      <c r="B234" s="113" t="inlineStr">
        <is>
          <t>CK cost per portion</t>
        </is>
      </c>
      <c r="C234" s="111" t="n"/>
      <c r="D234" s="150">
        <f>IF($D$221="","",$D$221/1000*$D$224)</f>
        <v/>
      </c>
    </row>
    <row r="235" ht="15" customHeight="1" s="106">
      <c r="B235" s="113" t="inlineStr">
        <is>
          <t>CK TRANSFER PRICE per portion</t>
        </is>
      </c>
      <c r="C235" s="111" t="n"/>
      <c r="D235" s="150">
        <f>IF($D$223="","",$D$223/1000*$D$224)</f>
        <v/>
      </c>
    </row>
    <row r="236" ht="15" customHeight="1" s="106">
      <c r="B236" s="134" t="inlineStr">
        <is>
          <t>FRANCHISEE COST PER PORTION</t>
        </is>
      </c>
      <c r="C236" s="111" t="n"/>
      <c r="D236" s="151">
        <f>IF($D$226="IN-STORE",$D$233,$D$235)</f>
        <v/>
      </c>
    </row>
    <row r="237" ht="15" customHeight="1" s="106">
      <c r="B237" s="134" t="inlineStr">
        <is>
          <t>Franchisee cost per gram (live)</t>
        </is>
      </c>
      <c r="C237" s="111" t="n"/>
      <c r="D237" s="151">
        <f>IF(OR($D$236="",$D$224=0),"",$D$236/$D$224)</f>
        <v/>
      </c>
    </row>
    <row r="238" ht="15" customHeight="1" s="106">
      <c r="B238" s="113" t="inlineStr">
        <is>
          <t>In-store vs CK, per portion</t>
        </is>
      </c>
      <c r="C238" s="111" t="n"/>
      <c r="D238" s="150">
        <f>IF(OR($D$233="",$D$235=""),"",$D$233-$D$235)</f>
        <v/>
      </c>
    </row>
    <row r="239" ht="15" customHeight="1" s="106">
      <c r="B239" s="113" t="inlineStr">
        <is>
          <t>CK margin earned per portion</t>
        </is>
      </c>
      <c r="C239" s="111" t="n"/>
      <c r="D239" s="150">
        <f>IF(OR($D$226&lt;&gt;"CENTRAL KITCHEN",$D$235=""),0,$D$235-$D$234)</f>
        <v/>
      </c>
    </row>
    <row r="240" ht="15" customHeight="1" s="106">
      <c r="B240" s="113" t="inlineStr">
        <is>
          <t>Portions per batch</t>
        </is>
      </c>
      <c r="C240" s="111" t="n"/>
      <c r="D240" s="157">
        <f>$D$212/$D$224</f>
        <v/>
      </c>
    </row>
    <row r="241" ht="15" customHeight="1" s="106">
      <c r="B241" s="113" t="inlineStr">
        <is>
          <t>Pouches per batch</t>
        </is>
      </c>
      <c r="C241" s="111" t="n"/>
      <c r="D241" s="165">
        <f>$D$212/1000/$D$219</f>
        <v/>
      </c>
    </row>
    <row r="242" ht="15" customHeight="1" s="106">
      <c r="B242" s="113" t="inlineStr">
        <is>
          <t>Portions per pouch (= one day-part)</t>
        </is>
      </c>
      <c r="C242" s="111" t="n"/>
      <c r="D242" s="157">
        <f>$D$219*1000/$D$224</f>
        <v/>
      </c>
    </row>
    <row r="243" ht="15" customHeight="1" s="106">
      <c r="B243" s="113" t="inlineStr">
        <is>
          <t>Thawed shelf life (hours)</t>
        </is>
      </c>
      <c r="C243" s="111" t="n"/>
      <c r="D243" s="157">
        <f>'01 Control'!$C$22</f>
        <v/>
      </c>
    </row>
    <row r="246" ht="15" customHeight="1" s="106">
      <c r="A246" s="109" t="inlineStr">
        <is>
          <t>Chermoula Herb Paste   |   PP-SEASAUCE-CHERMOULA   |   A raw cold herb paste like pesto - &lt;=4 C, short-dated, snap-chilled.   |   USED IN: Y2 Winter Chermoula Beef (on the Aglio e Olio kit)</t>
        </is>
      </c>
      <c r="B246" s="110" t="n"/>
      <c r="C246" s="110" t="n"/>
      <c r="D246" s="110" t="n"/>
      <c r="E246" s="110" t="n"/>
      <c r="F246" s="110" t="n"/>
      <c r="G246" s="110" t="n"/>
      <c r="H246" s="110" t="n"/>
      <c r="I246" s="110" t="n"/>
      <c r="J246" s="110" t="n"/>
      <c r="K246" s="111" t="n"/>
    </row>
    <row r="247" ht="33.75" customHeight="1" s="106">
      <c r="A247" s="112" t="inlineStr">
        <is>
          <t>Sauce</t>
        </is>
      </c>
      <c r="B247" s="112" t="inlineStr">
        <is>
          <t>Ingredient SKU</t>
        </is>
      </c>
      <c r="C247" s="112" t="inlineStr">
        <is>
          <t>Ingredient</t>
        </is>
      </c>
      <c r="D247" s="112" t="inlineStr">
        <is>
          <t>Batch Qty</t>
        </is>
      </c>
      <c r="E247" s="112" t="inlineStr">
        <is>
          <t>Unit</t>
        </is>
      </c>
      <c r="F247" s="112" t="inlineStr">
        <is>
          <t>Base Qty (g/ml)</t>
        </is>
      </c>
      <c r="G247" s="112" t="inlineStr">
        <is>
          <t>Usable Cost per
Base Unit</t>
        </is>
      </c>
      <c r="H247" s="112" t="inlineStr">
        <is>
          <t>Line Cost</t>
        </is>
      </c>
      <c r="I247" s="112" t="inlineStr">
        <is>
          <t>% of Batch
Cost</t>
        </is>
      </c>
      <c r="J247" s="112" t="n"/>
      <c r="K247" s="112" t="inlineStr">
        <is>
          <t>Specification</t>
        </is>
      </c>
    </row>
    <row r="248" ht="15" customHeight="1" s="106">
      <c r="A248" s="163" t="inlineStr">
        <is>
          <t>Chermoula Herb Paste</t>
        </is>
      </c>
      <c r="B248" s="134" t="inlineStr">
        <is>
          <t>PP-HERB-PARSLEY</t>
        </is>
      </c>
      <c r="C248" s="113" t="inlineStr">
        <is>
          <t>Fresh parsley / coriander</t>
        </is>
      </c>
      <c r="D248" s="174" t="n">
        <v>3200</v>
      </c>
      <c r="E248" s="164" t="inlineStr">
        <is>
          <t>g</t>
        </is>
      </c>
      <c r="F248" s="157">
        <f>$D248</f>
        <v/>
      </c>
      <c r="G248" s="150">
        <f>IFERROR(INDEX('04 SKU Master'!$AM$5:$AM$165,MATCH($B248,'04 SKU Master'!$A$5:$A$165,0)),"")</f>
        <v/>
      </c>
      <c r="H248" s="150">
        <f>IF(OR($G248="",$F248=""),"",$G248*$F248)</f>
        <v/>
      </c>
      <c r="I248" s="153">
        <f>IF(OR($H248="",SUM($H$248:$H$253)=0),"",$H248/SUM($H$248:$H$253))</f>
        <v/>
      </c>
      <c r="J248" s="175" t="n"/>
      <c r="K248" s="116" t="inlineStr">
        <is>
          <t>Aglio e Olio finish</t>
        </is>
      </c>
    </row>
    <row r="249" ht="15" customHeight="1" s="106">
      <c r="A249" s="163" t="inlineStr">
        <is>
          <t>Chermoula Herb Paste</t>
        </is>
      </c>
      <c r="B249" s="134" t="inlineStr">
        <is>
          <t>PP-EVOO</t>
        </is>
      </c>
      <c r="C249" s="113" t="inlineStr">
        <is>
          <t>Extra-virgin olive oil</t>
        </is>
      </c>
      <c r="D249" s="174" t="n">
        <v>3400</v>
      </c>
      <c r="E249" s="164" t="inlineStr">
        <is>
          <t>ml</t>
        </is>
      </c>
      <c r="F249" s="157">
        <f>$D249</f>
        <v/>
      </c>
      <c r="G249" s="150">
        <f>IFERROR(INDEX('04 SKU Master'!$AM$5:$AM$165,MATCH($B249,'04 SKU Master'!$A$5:$A$165,0)),"")</f>
        <v/>
      </c>
      <c r="H249" s="150">
        <f>IF(OR($G249="",$F249=""),"",$G249*$F249)</f>
        <v/>
      </c>
      <c r="I249" s="153">
        <f>IF(OR($H249="",SUM($H$248:$H$253)=0),"",$H249/SUM($H$248:$H$253))</f>
        <v/>
      </c>
      <c r="J249" s="175" t="n"/>
      <c r="K249" s="116" t="inlineStr">
        <is>
          <t>Mouthfeel / aroma carrier; also a finishing item</t>
        </is>
      </c>
    </row>
    <row r="250" ht="15" customHeight="1" s="106">
      <c r="A250" s="163" t="inlineStr">
        <is>
          <t>Chermoula Herb Paste</t>
        </is>
      </c>
      <c r="B250" s="134" t="inlineStr">
        <is>
          <t>PP-VEG-LEMON</t>
        </is>
      </c>
      <c r="C250" s="113" t="inlineStr">
        <is>
          <t>Lemon juice</t>
        </is>
      </c>
      <c r="D250" s="174" t="n">
        <v>1600</v>
      </c>
      <c r="E250" s="164" t="inlineStr">
        <is>
          <t>ml</t>
        </is>
      </c>
      <c r="F250" s="157">
        <f>$D250</f>
        <v/>
      </c>
      <c r="G250" s="150">
        <f>IFERROR(INDEX('04 SKU Master'!$AM$5:$AM$165,MATCH($B250,'04 SKU Master'!$A$5:$A$165,0)),"")</f>
        <v/>
      </c>
      <c r="H250" s="150">
        <f>IF(OR($G250="",$F250=""),"",$G250*$F250)</f>
        <v/>
      </c>
      <c r="I250" s="153">
        <f>IF(OR($H250="",SUM($H$248:$H$253)=0),"",$H250/SUM($H$248:$H$253))</f>
        <v/>
      </c>
      <c r="J250" s="175" t="n"/>
      <c r="K250" s="116" t="inlineStr">
        <is>
          <t>Juice yield only</t>
        </is>
      </c>
    </row>
    <row r="251" ht="15" customHeight="1" s="106">
      <c r="A251" s="163" t="inlineStr">
        <is>
          <t>Chermoula Herb Paste</t>
        </is>
      </c>
      <c r="B251" s="134" t="inlineStr">
        <is>
          <t>PP-SPICE-CHERMOULA</t>
        </is>
      </c>
      <c r="C251" s="113" t="inlineStr">
        <is>
          <t>Chermoula spice (cumin, etc.)</t>
        </is>
      </c>
      <c r="D251" s="174" t="n">
        <v>900</v>
      </c>
      <c r="E251" s="164" t="inlineStr">
        <is>
          <t>g</t>
        </is>
      </c>
      <c r="F251" s="157">
        <f>$D251</f>
        <v/>
      </c>
      <c r="G251" s="150">
        <f>IFERROR(INDEX('04 SKU Master'!$AM$5:$AM$165,MATCH($B251,'04 SKU Master'!$A$5:$A$165,0)),"")</f>
        <v/>
      </c>
      <c r="H251" s="150">
        <f>IF(OR($G251="",$F251=""),"",$G251*$F251)</f>
        <v/>
      </c>
      <c r="I251" s="153">
        <f>IF(OR($H251="",SUM($H$248:$H$253)=0),"",$H251/SUM($H$248:$H$253))</f>
        <v/>
      </c>
      <c r="J251" s="175" t="n"/>
      <c r="K251" s="116" t="inlineStr">
        <is>
          <t>Y2 Winter</t>
        </is>
      </c>
    </row>
    <row r="252" ht="15" customHeight="1" s="106">
      <c r="A252" s="163" t="inlineStr">
        <is>
          <t>Chermoula Herb Paste</t>
        </is>
      </c>
      <c r="B252" s="134" t="inlineStr">
        <is>
          <t>PP-GARLIC</t>
        </is>
      </c>
      <c r="C252" s="113" t="inlineStr">
        <is>
          <t>Garlic</t>
        </is>
      </c>
      <c r="D252" s="174" t="n">
        <v>700</v>
      </c>
      <c r="E252" s="164" t="inlineStr">
        <is>
          <t>g</t>
        </is>
      </c>
      <c r="F252" s="157">
        <f>$D252</f>
        <v/>
      </c>
      <c r="G252" s="150">
        <f>IFERROR(INDEX('04 SKU Master'!$AM$5:$AM$165,MATCH($B252,'04 SKU Master'!$A$5:$A$165,0)),"")</f>
        <v/>
      </c>
      <c r="H252" s="150">
        <f>IF(OR($G252="",$F252=""),"",$G252*$F252)</f>
        <v/>
      </c>
      <c r="I252" s="153">
        <f>IF(OR($H252="",SUM($H$248:$H$253)=0),"",$H252/SUM($H$248:$H$253))</f>
        <v/>
      </c>
      <c r="J252" s="175" t="n"/>
      <c r="K252" s="116" t="inlineStr">
        <is>
          <t>Every sauce</t>
        </is>
      </c>
    </row>
    <row r="253" ht="15" customHeight="1" s="106">
      <c r="A253" s="163" t="inlineStr">
        <is>
          <t>Chermoula Herb Paste</t>
        </is>
      </c>
      <c r="B253" s="134" t="inlineStr">
        <is>
          <t>PP-SALT</t>
        </is>
      </c>
      <c r="C253" s="113" t="inlineStr">
        <is>
          <t>Salt</t>
        </is>
      </c>
      <c r="D253" s="174" t="n">
        <v>120</v>
      </c>
      <c r="E253" s="164" t="inlineStr">
        <is>
          <t>g</t>
        </is>
      </c>
      <c r="F253" s="157">
        <f>$D253</f>
        <v/>
      </c>
      <c r="G253" s="150">
        <f>IFERROR(INDEX('04 SKU Master'!$AM$5:$AM$165,MATCH($B253,'04 SKU Master'!$A$5:$A$165,0)),"")</f>
        <v/>
      </c>
      <c r="H253" s="150">
        <f>IF(OR($G253="",$F253=""),"",$G253*$F253)</f>
        <v/>
      </c>
      <c r="I253" s="153">
        <f>IF(OR($H253="",SUM($H$248:$H$253)=0),"",$H253/SUM($H$248:$H$253))</f>
        <v/>
      </c>
      <c r="J253" s="175" t="n"/>
      <c r="K253" s="116" t="inlineStr">
        <is>
          <t>Optional/recommended at 1-1.5% of dry weight</t>
        </is>
      </c>
    </row>
    <row r="255" ht="15" customHeight="1" s="106">
      <c r="B255" s="113" t="inlineStr">
        <is>
          <t>Batch net weight (g)</t>
        </is>
      </c>
      <c r="C255" s="111" t="n"/>
      <c r="D255" s="157">
        <f>SUM($F$248:$F$253)</f>
        <v/>
      </c>
    </row>
    <row r="256" ht="15" customHeight="1" s="106">
      <c r="B256" s="113" t="inlineStr">
        <is>
          <t>Lines still unpriced</t>
        </is>
      </c>
      <c r="C256" s="111" t="n"/>
      <c r="D256" s="157">
        <f>COUNTA($B$248:$B$253)-COUNT($H$248:$H$253)</f>
        <v/>
      </c>
    </row>
    <row r="257" ht="15" customHeight="1" s="106">
      <c r="B257" s="113" t="inlineStr">
        <is>
          <t>Batch cost of priced lines (partial)</t>
        </is>
      </c>
      <c r="C257" s="111" t="n"/>
      <c r="D257" s="150">
        <f>IF(COUNT($H$248:$H$253)=0,"",SUM($H$248:$H$253))</f>
        <v/>
      </c>
    </row>
    <row r="258" ht="15" customHeight="1" s="106">
      <c r="B258" s="113" t="inlineStr">
        <is>
          <t>Batch ingredient cost</t>
        </is>
      </c>
      <c r="C258" s="111" t="n"/>
      <c r="D258" s="150">
        <f>IF($D$256&gt;0,"",SUM($H$248:$H$253))</f>
        <v/>
      </c>
    </row>
    <row r="259" ht="15" customHeight="1" s="106">
      <c r="B259" s="113" t="inlineStr">
        <is>
          <t>Ingredient cost per kg</t>
        </is>
      </c>
      <c r="C259" s="111" t="n"/>
      <c r="D259" s="150">
        <f>IF(OR($D$258="",$D$255=0),"",$D$258/($D$255/1000))</f>
        <v/>
      </c>
    </row>
    <row r="260" ht="15" customHeight="1" s="106">
      <c r="B260" s="113" t="inlineStr">
        <is>
          <t xml:space="preserve">  add: CK labour &amp; energy per kg</t>
        </is>
      </c>
      <c r="C260" s="111" t="n"/>
      <c r="D260" s="150">
        <f>'01 Control'!$C$13</f>
        <v/>
      </c>
    </row>
    <row r="261" ht="15" customHeight="1" s="106">
      <c r="B261" s="113" t="inlineStr">
        <is>
          <t xml:space="preserve">  add: CK overhead &amp; distribution per kg</t>
        </is>
      </c>
      <c r="C261" s="111" t="n"/>
      <c r="D261" s="150">
        <f>'01 Control'!$C$14</f>
        <v/>
      </c>
    </row>
    <row r="262" ht="15" customHeight="1" s="106">
      <c r="B262" s="134" t="inlineStr">
        <is>
          <t>Pouch size (kg)</t>
        </is>
      </c>
      <c r="C262" s="111" t="n"/>
      <c r="D262" s="173" t="n">
        <v>1</v>
      </c>
    </row>
    <row r="263" ht="15" customHeight="1" s="106">
      <c r="B263" s="113" t="inlineStr">
        <is>
          <t xml:space="preserve">  add: Pouch, label &amp; carton per kg</t>
        </is>
      </c>
      <c r="C263" s="111" t="n"/>
      <c r="D263" s="150">
        <f>IFERROR((INDEX('05 Packaging Master'!$AM$5:$AM$50,MATCH("PP-PACK-CK-POUCH",'05 Packaging Master'!$A$5:$A$50,0))+INDEX('05 Packaging Master'!$AM$5:$AM$50,MATCH("PP-PACK-CK-LABEL",'05 Packaging Master'!$A$5:$A$50,0))+INDEX('05 Packaging Master'!$AM$5:$AM$50,MATCH("PP-PACK-CK-CARTON",'05 Packaging Master'!$A$5:$A$50,0))/6)/$D$262,0)</f>
        <v/>
      </c>
    </row>
    <row r="264" ht="15" customHeight="1" s="106">
      <c r="B264" s="134" t="inlineStr">
        <is>
          <t>CK TOTAL COST per kg</t>
        </is>
      </c>
      <c r="C264" s="111" t="n"/>
      <c r="D264" s="151">
        <f>IF($D$259="","",$D$259+$D$260+$D$261+$D$263)</f>
        <v/>
      </c>
    </row>
    <row r="265" ht="15" customHeight="1" s="106">
      <c r="B265" s="113" t="inlineStr">
        <is>
          <t>CK margin to franchisee</t>
        </is>
      </c>
      <c r="C265" s="111" t="n"/>
      <c r="D265" s="166">
        <f>'01 Control'!$C$15</f>
        <v/>
      </c>
    </row>
    <row r="266" ht="15" customHeight="1" s="106">
      <c r="B266" s="134" t="inlineStr">
        <is>
          <t>TRANSFER PRICE per kg</t>
        </is>
      </c>
      <c r="C266" s="111" t="n"/>
      <c r="D266" s="151">
        <f>IF($D$264="","",$D$264*(1+$D$265))</f>
        <v/>
      </c>
    </row>
    <row r="267" ht="15" customHeight="1" s="106">
      <c r="B267" s="134" t="inlineStr">
        <is>
          <t>Store portion (g)</t>
        </is>
      </c>
      <c r="C267" s="111" t="n"/>
      <c r="D267" s="168" t="n">
        <v>25</v>
      </c>
    </row>
    <row r="268" ht="15" customHeight="1" s="106">
      <c r="B268" s="134" t="inlineStr">
        <is>
          <t>SERVICE METHOD</t>
        </is>
      </c>
      <c r="C268" s="111" t="n"/>
      <c r="D268" s="171" t="inlineStr">
        <is>
          <t>COLD</t>
        </is>
      </c>
      <c r="E268" s="172" t="inlineStr">
        <is>
          <t>Raw herb paste. Same rule as pesto - never heated.</t>
        </is>
      </c>
    </row>
    <row r="269" ht="15" customHeight="1" s="106">
      <c r="B269" s="134" t="inlineStr">
        <is>
          <t>MAKE POINT</t>
        </is>
      </c>
      <c r="C269" s="111" t="n"/>
      <c r="D269" s="171" t="inlineStr">
        <is>
          <t>CENTRAL KITCHEN</t>
        </is>
      </c>
    </row>
    <row r="270" ht="15" customHeight="1" s="106">
      <c r="B270" s="134" t="inlineStr">
        <is>
          <t>In-store labour minutes per batch</t>
        </is>
      </c>
      <c r="C270" s="111" t="n"/>
      <c r="D270" s="168" t="n">
        <v>35</v>
      </c>
    </row>
    <row r="271" ht="15" customHeight="1" s="106">
      <c r="B271" s="134" t="inlineStr">
        <is>
          <t>In-store energy kWh per batch</t>
        </is>
      </c>
      <c r="C271" s="111" t="n"/>
      <c r="D271" s="173" t="n">
        <v>1</v>
      </c>
    </row>
    <row r="272" ht="15" customHeight="1" s="106">
      <c r="B272" s="113" t="inlineStr">
        <is>
          <t>In-store labour cost per batch</t>
        </is>
      </c>
      <c r="C272" s="111" t="n"/>
      <c r="D272" s="150">
        <f>$D$270/60*'01 Control'!$C$24</f>
        <v/>
      </c>
    </row>
    <row r="273" ht="15" customHeight="1" s="106">
      <c r="B273" s="113" t="inlineStr">
        <is>
          <t>In-store energy cost per batch</t>
        </is>
      </c>
      <c r="C273" s="111" t="n"/>
      <c r="D273" s="150">
        <f>$D$271*'01 Control'!$C$25</f>
        <v/>
      </c>
    </row>
    <row r="274" ht="15" customHeight="1" s="106">
      <c r="B274" s="113" t="inlineStr">
        <is>
          <t>IN-STORE batch cost</t>
        </is>
      </c>
      <c r="C274" s="111" t="n"/>
      <c r="D274" s="150">
        <f>IF($D$258="","",$D$258+$D$272+$D$273)</f>
        <v/>
      </c>
    </row>
    <row r="275" ht="15" customHeight="1" s="106">
      <c r="B275" s="113" t="inlineStr">
        <is>
          <t>IN-STORE cost per kg</t>
        </is>
      </c>
      <c r="C275" s="111" t="n"/>
      <c r="D275" s="150">
        <f>IF(OR($D$274="",$D$255=0),"",$D$274/($D$255/1000))</f>
        <v/>
      </c>
    </row>
    <row r="276" ht="15" customHeight="1" s="106">
      <c r="B276" s="113" t="inlineStr">
        <is>
          <t>IN-STORE cost per portion</t>
        </is>
      </c>
      <c r="C276" s="111" t="n"/>
      <c r="D276" s="150">
        <f>IF($D$275="","",$D$275/1000*$D$267)</f>
        <v/>
      </c>
    </row>
    <row r="277" ht="15" customHeight="1" s="106">
      <c r="B277" s="113" t="inlineStr">
        <is>
          <t>CK cost per portion</t>
        </is>
      </c>
      <c r="C277" s="111" t="n"/>
      <c r="D277" s="150">
        <f>IF($D$264="","",$D$264/1000*$D$267)</f>
        <v/>
      </c>
    </row>
    <row r="278" ht="15" customHeight="1" s="106">
      <c r="B278" s="113" t="inlineStr">
        <is>
          <t>CK TRANSFER PRICE per portion</t>
        </is>
      </c>
      <c r="C278" s="111" t="n"/>
      <c r="D278" s="150">
        <f>IF($D$266="","",$D$266/1000*$D$267)</f>
        <v/>
      </c>
    </row>
    <row r="279" ht="15" customHeight="1" s="106">
      <c r="B279" s="134" t="inlineStr">
        <is>
          <t>FRANCHISEE COST PER PORTION</t>
        </is>
      </c>
      <c r="C279" s="111" t="n"/>
      <c r="D279" s="151">
        <f>IF($D$269="IN-STORE",$D$276,$D$278)</f>
        <v/>
      </c>
    </row>
    <row r="280" ht="15" customHeight="1" s="106">
      <c r="B280" s="134" t="inlineStr">
        <is>
          <t>Franchisee cost per gram (live)</t>
        </is>
      </c>
      <c r="C280" s="111" t="n"/>
      <c r="D280" s="151">
        <f>IF(OR($D$279="",$D$267=0),"",$D$279/$D$267)</f>
        <v/>
      </c>
    </row>
    <row r="281" ht="15" customHeight="1" s="106">
      <c r="B281" s="113" t="inlineStr">
        <is>
          <t>In-store vs CK, per portion</t>
        </is>
      </c>
      <c r="C281" s="111" t="n"/>
      <c r="D281" s="150">
        <f>IF(OR($D$276="",$D$278=""),"",$D$276-$D$278)</f>
        <v/>
      </c>
    </row>
    <row r="282" ht="15" customHeight="1" s="106">
      <c r="B282" s="113" t="inlineStr">
        <is>
          <t>CK margin earned per portion</t>
        </is>
      </c>
      <c r="C282" s="111" t="n"/>
      <c r="D282" s="150">
        <f>IF(OR($D$269&lt;&gt;"CENTRAL KITCHEN",$D$278=""),0,$D$278-$D$277)</f>
        <v/>
      </c>
    </row>
    <row r="283" ht="15" customHeight="1" s="106">
      <c r="B283" s="113" t="inlineStr">
        <is>
          <t>Portions per batch</t>
        </is>
      </c>
      <c r="C283" s="111" t="n"/>
      <c r="D283" s="157">
        <f>$D$255/$D$267</f>
        <v/>
      </c>
    </row>
    <row r="284" ht="15" customHeight="1" s="106">
      <c r="B284" s="113" t="inlineStr">
        <is>
          <t>Pouches per batch</t>
        </is>
      </c>
      <c r="C284" s="111" t="n"/>
      <c r="D284" s="165">
        <f>$D$255/1000/$D$262</f>
        <v/>
      </c>
    </row>
    <row r="285" ht="15" customHeight="1" s="106">
      <c r="B285" s="113" t="inlineStr">
        <is>
          <t>Portions per pouch (= one day-part)</t>
        </is>
      </c>
      <c r="C285" s="111" t="n"/>
      <c r="D285" s="157">
        <f>$D$262*1000/$D$267</f>
        <v/>
      </c>
    </row>
    <row r="286" ht="15" customHeight="1" s="106">
      <c r="B286" s="113" t="inlineStr">
        <is>
          <t>Thawed shelf life (hours)</t>
        </is>
      </c>
      <c r="C286" s="111" t="n"/>
      <c r="D286" s="157">
        <f>'01 Control'!$C$22</f>
        <v/>
      </c>
    </row>
    <row r="289" ht="15" customHeight="1" s="106">
      <c r="A289" s="109" t="inlineStr">
        <is>
          <t>Groundnut Cream Base   |   PP-SEASAUCE-GROUNDNUT   |   PEANUT ALLERGEN - dedicated batch, segregated line and labelling (see 02.05).   |   USED IN: Y2 Spring Groundnut Creamy Beef</t>
        </is>
      </c>
      <c r="B289" s="110" t="n"/>
      <c r="C289" s="110" t="n"/>
      <c r="D289" s="110" t="n"/>
      <c r="E289" s="110" t="n"/>
      <c r="F289" s="110" t="n"/>
      <c r="G289" s="110" t="n"/>
      <c r="H289" s="110" t="n"/>
      <c r="I289" s="110" t="n"/>
      <c r="J289" s="110" t="n"/>
      <c r="K289" s="111" t="n"/>
    </row>
    <row r="290" ht="33.75" customHeight="1" s="106">
      <c r="A290" s="112" t="inlineStr">
        <is>
          <t>Sauce</t>
        </is>
      </c>
      <c r="B290" s="112" t="inlineStr">
        <is>
          <t>Ingredient SKU</t>
        </is>
      </c>
      <c r="C290" s="112" t="inlineStr">
        <is>
          <t>Ingredient</t>
        </is>
      </c>
      <c r="D290" s="112" t="inlineStr">
        <is>
          <t>Batch Qty</t>
        </is>
      </c>
      <c r="E290" s="112" t="inlineStr">
        <is>
          <t>Unit</t>
        </is>
      </c>
      <c r="F290" s="112" t="inlineStr">
        <is>
          <t>Base Qty (g/ml)</t>
        </is>
      </c>
      <c r="G290" s="112" t="inlineStr">
        <is>
          <t>Usable Cost per
Base Unit</t>
        </is>
      </c>
      <c r="H290" s="112" t="inlineStr">
        <is>
          <t>Line Cost</t>
        </is>
      </c>
      <c r="I290" s="112" t="inlineStr">
        <is>
          <t>% of Batch
Cost</t>
        </is>
      </c>
      <c r="J290" s="112" t="n"/>
      <c r="K290" s="112" t="inlineStr">
        <is>
          <t>Specification</t>
        </is>
      </c>
    </row>
    <row r="291" ht="15" customHeight="1" s="106">
      <c r="A291" s="163" t="inlineStr">
        <is>
          <t>Groundnut Cream Base</t>
        </is>
      </c>
      <c r="B291" s="134" t="inlineStr">
        <is>
          <t>PP-PEANUT-BUTTER</t>
        </is>
      </c>
      <c r="C291" s="113" t="inlineStr">
        <is>
          <t>Groundnut paste (PEANUT)</t>
        </is>
      </c>
      <c r="D291" s="174" t="n">
        <v>5200</v>
      </c>
      <c r="E291" s="164" t="inlineStr">
        <is>
          <t>g</t>
        </is>
      </c>
      <c r="F291" s="157">
        <f>$D291</f>
        <v/>
      </c>
      <c r="G291" s="150">
        <f>IFERROR(INDEX('04 SKU Master'!$AM$5:$AM$165,MATCH($B291,'04 SKU Master'!$A$5:$A$165,0)),"")</f>
        <v/>
      </c>
      <c r="H291" s="150">
        <f>IF(OR($G291="",$F291=""),"",$G291*$F291)</f>
        <v/>
      </c>
      <c r="I291" s="153">
        <f>IF(OR($H291="",SUM($H$291:$H$298)=0),"",$H291/SUM($H$291:$H$298))</f>
        <v/>
      </c>
      <c r="J291" s="175" t="n"/>
      <c r="K291" s="116" t="inlineStr">
        <is>
          <t>PEANUT ALLERGEN - Y2 West Africa</t>
        </is>
      </c>
    </row>
    <row r="292" ht="15" customHeight="1" s="106">
      <c r="A292" s="163" t="inlineStr">
        <is>
          <t>Groundnut Cream Base</t>
        </is>
      </c>
      <c r="B292" s="134" t="inlineStr">
        <is>
          <t>PP-CREAM</t>
        </is>
      </c>
      <c r="C292" s="113" t="inlineStr">
        <is>
          <t>Fresh cream</t>
        </is>
      </c>
      <c r="D292" s="174" t="n">
        <v>7500</v>
      </c>
      <c r="E292" s="164" t="inlineStr">
        <is>
          <t>ml</t>
        </is>
      </c>
      <c r="F292" s="157">
        <f>$D292</f>
        <v/>
      </c>
      <c r="G292" s="150">
        <f>IFERROR(INDEX('04 SKU Master'!$AM$5:$AM$165,MATCH($B292,'04 SKU Master'!$A$5:$A$165,0)),"")</f>
        <v/>
      </c>
      <c r="H292" s="150">
        <f>IF(OR($G292="",$F292=""),"",$G292*$F292)</f>
        <v/>
      </c>
      <c r="I292" s="153">
        <f>IF(OR($H292="",SUM($H$291:$H$298)=0),"",$H292/SUM($H$291:$H$298))</f>
        <v/>
      </c>
      <c r="J292" s="175" t="n"/>
      <c r="K292" s="116" t="inlineStr">
        <is>
          <t>Cream sauce bases</t>
        </is>
      </c>
    </row>
    <row r="293" ht="15" customHeight="1" s="106">
      <c r="A293" s="163" t="inlineStr">
        <is>
          <t>Groundnut Cream Base</t>
        </is>
      </c>
      <c r="B293" s="134" t="inlineStr">
        <is>
          <t>PP-TOM-PASTE</t>
        </is>
      </c>
      <c r="C293" s="113" t="inlineStr">
        <is>
          <t>Tomato paste</t>
        </is>
      </c>
      <c r="D293" s="174" t="n">
        <v>900</v>
      </c>
      <c r="E293" s="164" t="inlineStr">
        <is>
          <t>g</t>
        </is>
      </c>
      <c r="F293" s="157">
        <f>$D293</f>
        <v/>
      </c>
      <c r="G293" s="150">
        <f>IFERROR(INDEX('04 SKU Master'!$AM$5:$AM$165,MATCH($B293,'04 SKU Master'!$A$5:$A$165,0)),"")</f>
        <v/>
      </c>
      <c r="H293" s="150">
        <f>IF(OR($G293="",$F293=""),"",$G293*$F293)</f>
        <v/>
      </c>
      <c r="I293" s="153">
        <f>IF(OR($H293="",SUM($H$291:$H$298)=0),"",$H293/SUM($H$291:$H$298))</f>
        <v/>
      </c>
      <c r="J293" s="175" t="n"/>
      <c r="K293" s="116" t="inlineStr">
        <is>
          <t>Depth without wine (alcohol-free build)</t>
        </is>
      </c>
    </row>
    <row r="294" ht="15" customHeight="1" s="106">
      <c r="A294" s="163" t="inlineStr">
        <is>
          <t>Groundnut Cream Base</t>
        </is>
      </c>
      <c r="B294" s="134" t="inlineStr">
        <is>
          <t>PP-ONION</t>
        </is>
      </c>
      <c r="C294" s="113" t="inlineStr">
        <is>
          <t>Onion</t>
        </is>
      </c>
      <c r="D294" s="174" t="n">
        <v>1800</v>
      </c>
      <c r="E294" s="164" t="inlineStr">
        <is>
          <t>g</t>
        </is>
      </c>
      <c r="F294" s="157">
        <f>$D294</f>
        <v/>
      </c>
      <c r="G294" s="150">
        <f>IFERROR(INDEX('04 SKU Master'!$AM$5:$AM$165,MATCH($B294,'04 SKU Master'!$A$5:$A$165,0)),"")</f>
        <v/>
      </c>
      <c r="H294" s="150">
        <f>IF(OR($G294="",$F294=""),"",$G294*$F294)</f>
        <v/>
      </c>
      <c r="I294" s="153">
        <f>IF(OR($H294="",SUM($H$291:$H$298)=0),"",$H294/SUM($H$291:$H$298))</f>
        <v/>
      </c>
      <c r="J294" s="175" t="n"/>
      <c r="K294" s="116" t="inlineStr">
        <is>
          <t>Soffritto base</t>
        </is>
      </c>
    </row>
    <row r="295" ht="15" customHeight="1" s="106">
      <c r="A295" s="163" t="inlineStr">
        <is>
          <t>Groundnut Cream Base</t>
        </is>
      </c>
      <c r="B295" s="134" t="inlineStr">
        <is>
          <t>PP-GARLIC</t>
        </is>
      </c>
      <c r="C295" s="113" t="inlineStr">
        <is>
          <t>Garlic</t>
        </is>
      </c>
      <c r="D295" s="174" t="n">
        <v>400</v>
      </c>
      <c r="E295" s="164" t="inlineStr">
        <is>
          <t>g</t>
        </is>
      </c>
      <c r="F295" s="157">
        <f>$D295</f>
        <v/>
      </c>
      <c r="G295" s="150">
        <f>IFERROR(INDEX('04 SKU Master'!$AM$5:$AM$165,MATCH($B295,'04 SKU Master'!$A$5:$A$165,0)),"")</f>
        <v/>
      </c>
      <c r="H295" s="150">
        <f>IF(OR($G295="",$F295=""),"",$G295*$F295)</f>
        <v/>
      </c>
      <c r="I295" s="153">
        <f>IF(OR($H295="",SUM($H$291:$H$298)=0),"",$H295/SUM($H$291:$H$298))</f>
        <v/>
      </c>
      <c r="J295" s="175" t="n"/>
      <c r="K295" s="116" t="inlineStr">
        <is>
          <t>Every sauce</t>
        </is>
      </c>
    </row>
    <row r="296" ht="15" customHeight="1" s="106">
      <c r="A296" s="163" t="inlineStr">
        <is>
          <t>Groundnut Cream Base</t>
        </is>
      </c>
      <c r="B296" s="134" t="inlineStr">
        <is>
          <t>PP-STOCK-VEG</t>
        </is>
      </c>
      <c r="C296" s="113" t="inlineStr">
        <is>
          <t>Vegetable stock</t>
        </is>
      </c>
      <c r="D296" s="174" t="n">
        <v>3600</v>
      </c>
      <c r="E296" s="164" t="inlineStr">
        <is>
          <t>ml</t>
        </is>
      </c>
      <c r="F296" s="157">
        <f>$D296</f>
        <v/>
      </c>
      <c r="G296" s="150">
        <f>IFERROR(INDEX('04 SKU Master'!$AM$5:$AM$165,MATCH($B296,'04 SKU Master'!$A$5:$A$165,0)),"")</f>
        <v/>
      </c>
      <c r="H296" s="150">
        <f>IF(OR($G296="",$F296=""),"",$G296*$F296)</f>
        <v/>
      </c>
      <c r="I296" s="153">
        <f>IF(OR($H296="",SUM($H$291:$H$298)=0),"",$H296/SUM($H$291:$H$298))</f>
        <v/>
      </c>
      <c r="J296" s="175" t="n"/>
      <c r="K296" s="116" t="n"/>
    </row>
    <row r="297" ht="15" customHeight="1" s="106">
      <c r="A297" s="163" t="inlineStr">
        <is>
          <t>Groundnut Cream Base</t>
        </is>
      </c>
      <c r="B297" s="134" t="inlineStr">
        <is>
          <t>PP-SPICE-PERIPERI</t>
        </is>
      </c>
      <c r="C297" s="113" t="inlineStr">
        <is>
          <t>Peri-peri</t>
        </is>
      </c>
      <c r="D297" s="174" t="n">
        <v>200</v>
      </c>
      <c r="E297" s="164" t="inlineStr">
        <is>
          <t>g</t>
        </is>
      </c>
      <c r="F297" s="157">
        <f>$D297</f>
        <v/>
      </c>
      <c r="G297" s="150">
        <f>IFERROR(INDEX('04 SKU Master'!$AM$5:$AM$165,MATCH($B297,'04 SKU Master'!$A$5:$A$165,0)),"")</f>
        <v/>
      </c>
      <c r="H297" s="150">
        <f>IF(OR($G297="",$F297=""),"",$G297*$F297)</f>
        <v/>
      </c>
      <c r="I297" s="153">
        <f>IF(OR($H297="",SUM($H$291:$H$298)=0),"",$H297/SUM($H$291:$H$298))</f>
        <v/>
      </c>
      <c r="J297" s="175" t="n"/>
      <c r="K297" s="116" t="inlineStr">
        <is>
          <t>Y1 Summer, Y2 Coast</t>
        </is>
      </c>
    </row>
    <row r="298" ht="15" customHeight="1" s="106">
      <c r="A298" s="163" t="inlineStr">
        <is>
          <t>Groundnut Cream Base</t>
        </is>
      </c>
      <c r="B298" s="134" t="inlineStr">
        <is>
          <t>PP-SALT</t>
        </is>
      </c>
      <c r="C298" s="113" t="inlineStr">
        <is>
          <t>Salt</t>
        </is>
      </c>
      <c r="D298" s="174" t="n">
        <v>150</v>
      </c>
      <c r="E298" s="164" t="inlineStr">
        <is>
          <t>g</t>
        </is>
      </c>
      <c r="F298" s="157">
        <f>$D298</f>
        <v/>
      </c>
      <c r="G298" s="150">
        <f>IFERROR(INDEX('04 SKU Master'!$AM$5:$AM$165,MATCH($B298,'04 SKU Master'!$A$5:$A$165,0)),"")</f>
        <v/>
      </c>
      <c r="H298" s="150">
        <f>IF(OR($G298="",$F298=""),"",$G298*$F298)</f>
        <v/>
      </c>
      <c r="I298" s="153">
        <f>IF(OR($H298="",SUM($H$291:$H$298)=0),"",$H298/SUM($H$291:$H$298))</f>
        <v/>
      </c>
      <c r="J298" s="175" t="n"/>
      <c r="K298" s="116" t="inlineStr">
        <is>
          <t>Optional/recommended at 1-1.5% of dry weight</t>
        </is>
      </c>
    </row>
    <row r="300" ht="15" customHeight="1" s="106">
      <c r="B300" s="113" t="inlineStr">
        <is>
          <t>Batch net weight (g)</t>
        </is>
      </c>
      <c r="C300" s="111" t="n"/>
      <c r="D300" s="157">
        <f>SUM($F$291:$F$298)</f>
        <v/>
      </c>
    </row>
    <row r="301" ht="15" customHeight="1" s="106">
      <c r="B301" s="113" t="inlineStr">
        <is>
          <t>Lines still unpriced</t>
        </is>
      </c>
      <c r="C301" s="111" t="n"/>
      <c r="D301" s="157">
        <f>COUNTA($B$291:$B$298)-COUNT($H$291:$H$298)</f>
        <v/>
      </c>
    </row>
    <row r="302" ht="15" customHeight="1" s="106">
      <c r="B302" s="113" t="inlineStr">
        <is>
          <t>Batch cost of priced lines (partial)</t>
        </is>
      </c>
      <c r="C302" s="111" t="n"/>
      <c r="D302" s="150">
        <f>IF(COUNT($H$291:$H$298)=0,"",SUM($H$291:$H$298))</f>
        <v/>
      </c>
    </row>
    <row r="303" ht="15" customHeight="1" s="106">
      <c r="B303" s="113" t="inlineStr">
        <is>
          <t>Batch ingredient cost</t>
        </is>
      </c>
      <c r="C303" s="111" t="n"/>
      <c r="D303" s="150">
        <f>IF($D$301&gt;0,"",SUM($H$291:$H$298))</f>
        <v/>
      </c>
    </row>
    <row r="304" ht="15" customHeight="1" s="106">
      <c r="B304" s="113" t="inlineStr">
        <is>
          <t>Ingredient cost per kg</t>
        </is>
      </c>
      <c r="C304" s="111" t="n"/>
      <c r="D304" s="150">
        <f>IF(OR($D$303="",$D$300=0),"",$D$303/($D$300/1000))</f>
        <v/>
      </c>
    </row>
    <row r="305" ht="15" customHeight="1" s="106">
      <c r="B305" s="113" t="inlineStr">
        <is>
          <t xml:space="preserve">  add: CK labour &amp; energy per kg</t>
        </is>
      </c>
      <c r="C305" s="111" t="n"/>
      <c r="D305" s="150">
        <f>'01 Control'!$C$13</f>
        <v/>
      </c>
    </row>
    <row r="306" ht="15" customHeight="1" s="106">
      <c r="B306" s="113" t="inlineStr">
        <is>
          <t xml:space="preserve">  add: CK overhead &amp; distribution per kg</t>
        </is>
      </c>
      <c r="C306" s="111" t="n"/>
      <c r="D306" s="150">
        <f>'01 Control'!$C$14</f>
        <v/>
      </c>
    </row>
    <row r="307" ht="15" customHeight="1" s="106">
      <c r="B307" s="134" t="inlineStr">
        <is>
          <t>Pouch size (kg)</t>
        </is>
      </c>
      <c r="C307" s="111" t="n"/>
      <c r="D307" s="173" t="n">
        <v>2</v>
      </c>
    </row>
    <row r="308" ht="15" customHeight="1" s="106">
      <c r="B308" s="113" t="inlineStr">
        <is>
          <t xml:space="preserve">  add: Pouch, label &amp; carton per kg</t>
        </is>
      </c>
      <c r="C308" s="111" t="n"/>
      <c r="D308" s="150">
        <f>IFERROR((INDEX('05 Packaging Master'!$AM$5:$AM$50,MATCH("PP-PACK-CK-POUCH",'05 Packaging Master'!$A$5:$A$50,0))+INDEX('05 Packaging Master'!$AM$5:$AM$50,MATCH("PP-PACK-CK-LABEL",'05 Packaging Master'!$A$5:$A$50,0))+INDEX('05 Packaging Master'!$AM$5:$AM$50,MATCH("PP-PACK-CK-CARTON",'05 Packaging Master'!$A$5:$A$50,0))/6)/$D$307,0)</f>
        <v/>
      </c>
    </row>
    <row r="309" ht="15" customHeight="1" s="106">
      <c r="B309" s="134" t="inlineStr">
        <is>
          <t>CK TOTAL COST per kg</t>
        </is>
      </c>
      <c r="C309" s="111" t="n"/>
      <c r="D309" s="151">
        <f>IF($D$304="","",$D$304+$D$305+$D$306+$D$308)</f>
        <v/>
      </c>
    </row>
    <row r="310" ht="15" customHeight="1" s="106">
      <c r="B310" s="113" t="inlineStr">
        <is>
          <t>CK margin to franchisee</t>
        </is>
      </c>
      <c r="C310" s="111" t="n"/>
      <c r="D310" s="166">
        <f>'01 Control'!$C$15</f>
        <v/>
      </c>
    </row>
    <row r="311" ht="15" customHeight="1" s="106">
      <c r="B311" s="134" t="inlineStr">
        <is>
          <t>TRANSFER PRICE per kg</t>
        </is>
      </c>
      <c r="C311" s="111" t="n"/>
      <c r="D311" s="151">
        <f>IF($D$309="","",$D$309*(1+$D$310))</f>
        <v/>
      </c>
    </row>
    <row r="312" ht="15" customHeight="1" s="106">
      <c r="B312" s="134" t="inlineStr">
        <is>
          <t>Store portion (g)</t>
        </is>
      </c>
      <c r="C312" s="111" t="n"/>
      <c r="D312" s="168" t="n">
        <v>130</v>
      </c>
    </row>
    <row r="313" ht="15" customHeight="1" s="106">
      <c r="B313" s="134" t="inlineStr">
        <is>
          <t>SERVICE METHOD</t>
        </is>
      </c>
      <c r="C313" s="111" t="n"/>
      <c r="D313" s="171" t="inlineStr">
        <is>
          <t>WARMER</t>
        </is>
      </c>
      <c r="E313" s="172" t="inlineStr">
        <is>
          <t>Groundnut cream is emulsion-stable hot and thickens predictably.</t>
        </is>
      </c>
    </row>
    <row r="314" ht="15" customHeight="1" s="106">
      <c r="B314" s="134" t="inlineStr">
        <is>
          <t>MAKE POINT</t>
        </is>
      </c>
      <c r="C314" s="111" t="n"/>
      <c r="D314" s="171" t="inlineStr">
        <is>
          <t>CENTRAL KITCHEN</t>
        </is>
      </c>
    </row>
    <row r="315" ht="15" customHeight="1" s="106">
      <c r="B315" s="134" t="inlineStr">
        <is>
          <t>In-store labour minutes per batch</t>
        </is>
      </c>
      <c r="C315" s="111" t="n"/>
      <c r="D315" s="168" t="n">
        <v>75</v>
      </c>
    </row>
    <row r="316" ht="15" customHeight="1" s="106">
      <c r="B316" s="134" t="inlineStr">
        <is>
          <t>In-store energy kWh per batch</t>
        </is>
      </c>
      <c r="C316" s="111" t="n"/>
      <c r="D316" s="173" t="n">
        <v>11</v>
      </c>
    </row>
    <row r="317" ht="15" customHeight="1" s="106">
      <c r="B317" s="113" t="inlineStr">
        <is>
          <t>In-store labour cost per batch</t>
        </is>
      </c>
      <c r="C317" s="111" t="n"/>
      <c r="D317" s="150">
        <f>$D$315/60*'01 Control'!$C$24</f>
        <v/>
      </c>
    </row>
    <row r="318" ht="15" customHeight="1" s="106">
      <c r="B318" s="113" t="inlineStr">
        <is>
          <t>In-store energy cost per batch</t>
        </is>
      </c>
      <c r="C318" s="111" t="n"/>
      <c r="D318" s="150">
        <f>$D$316*'01 Control'!$C$25</f>
        <v/>
      </c>
    </row>
    <row r="319" ht="15" customHeight="1" s="106">
      <c r="B319" s="113" t="inlineStr">
        <is>
          <t>IN-STORE batch cost</t>
        </is>
      </c>
      <c r="C319" s="111" t="n"/>
      <c r="D319" s="150">
        <f>IF($D$303="","",$D$303+$D$317+$D$318)</f>
        <v/>
      </c>
    </row>
    <row r="320" ht="15" customHeight="1" s="106">
      <c r="B320" s="113" t="inlineStr">
        <is>
          <t>IN-STORE cost per kg</t>
        </is>
      </c>
      <c r="C320" s="111" t="n"/>
      <c r="D320" s="150">
        <f>IF(OR($D$319="",$D$300=0),"",$D$319/($D$300/1000))</f>
        <v/>
      </c>
    </row>
    <row r="321" ht="15" customHeight="1" s="106">
      <c r="B321" s="113" t="inlineStr">
        <is>
          <t>IN-STORE cost per portion</t>
        </is>
      </c>
      <c r="C321" s="111" t="n"/>
      <c r="D321" s="150">
        <f>IF($D$320="","",$D$320/1000*$D$312)</f>
        <v/>
      </c>
    </row>
    <row r="322" ht="15" customHeight="1" s="106">
      <c r="B322" s="113" t="inlineStr">
        <is>
          <t>CK cost per portion</t>
        </is>
      </c>
      <c r="C322" s="111" t="n"/>
      <c r="D322" s="150">
        <f>IF($D$309="","",$D$309/1000*$D$312)</f>
        <v/>
      </c>
    </row>
    <row r="323" ht="15" customHeight="1" s="106">
      <c r="B323" s="113" t="inlineStr">
        <is>
          <t>CK TRANSFER PRICE per portion</t>
        </is>
      </c>
      <c r="C323" s="111" t="n"/>
      <c r="D323" s="150">
        <f>IF($D$311="","",$D$311/1000*$D$312)</f>
        <v/>
      </c>
    </row>
    <row r="324" ht="15" customHeight="1" s="106">
      <c r="B324" s="134" t="inlineStr">
        <is>
          <t>FRANCHISEE COST PER PORTION</t>
        </is>
      </c>
      <c r="C324" s="111" t="n"/>
      <c r="D324" s="151">
        <f>IF($D$314="IN-STORE",$D$321,$D$323)</f>
        <v/>
      </c>
    </row>
    <row r="325" ht="15" customHeight="1" s="106">
      <c r="B325" s="134" t="inlineStr">
        <is>
          <t>Franchisee cost per gram (live)</t>
        </is>
      </c>
      <c r="C325" s="111" t="n"/>
      <c r="D325" s="151">
        <f>IF(OR($D$324="",$D$312=0),"",$D$324/$D$312)</f>
        <v/>
      </c>
    </row>
    <row r="326" ht="15" customHeight="1" s="106">
      <c r="B326" s="113" t="inlineStr">
        <is>
          <t>In-store vs CK, per portion</t>
        </is>
      </c>
      <c r="C326" s="111" t="n"/>
      <c r="D326" s="150">
        <f>IF(OR($D$321="",$D$323=""),"",$D$321-$D$323)</f>
        <v/>
      </c>
    </row>
    <row r="327" ht="15" customHeight="1" s="106">
      <c r="B327" s="113" t="inlineStr">
        <is>
          <t>CK margin earned per portion</t>
        </is>
      </c>
      <c r="C327" s="111" t="n"/>
      <c r="D327" s="150">
        <f>IF(OR($D$314&lt;&gt;"CENTRAL KITCHEN",$D$323=""),0,$D$323-$D$322)</f>
        <v/>
      </c>
    </row>
    <row r="328" ht="15" customHeight="1" s="106">
      <c r="B328" s="113" t="inlineStr">
        <is>
          <t>Portions per batch</t>
        </is>
      </c>
      <c r="C328" s="111" t="n"/>
      <c r="D328" s="157">
        <f>$D$300/$D$312</f>
        <v/>
      </c>
    </row>
    <row r="329" ht="15" customHeight="1" s="106">
      <c r="B329" s="113" t="inlineStr">
        <is>
          <t>Pouches per batch</t>
        </is>
      </c>
      <c r="C329" s="111" t="n"/>
      <c r="D329" s="165">
        <f>$D$300/1000/$D$307</f>
        <v/>
      </c>
    </row>
    <row r="330" ht="15" customHeight="1" s="106">
      <c r="B330" s="113" t="inlineStr">
        <is>
          <t>Portions per pouch (= one day-part)</t>
        </is>
      </c>
      <c r="C330" s="111" t="n"/>
      <c r="D330" s="157">
        <f>$D$307*1000/$D$312</f>
        <v/>
      </c>
    </row>
    <row r="331" ht="15" customHeight="1" s="106">
      <c r="B331" s="113" t="inlineStr">
        <is>
          <t>Thawed shelf life (hours)</t>
        </is>
      </c>
      <c r="C331" s="111" t="n"/>
      <c r="D331" s="157">
        <f>'01 Control'!$C$22</f>
        <v/>
      </c>
    </row>
  </sheetData>
  <sheetProtection selectLockedCells="0" selectUnlockedCells="0" sheet="1" objects="0" insertRows="1" insertHyperlinks="1" autoFilter="0" scenarios="0" formatColumns="0" deleteColumns="1" insertColumns="1" pivotTables="1" deleteRows="1" formatCells="0" formatRows="0" sort="0"/>
  <mergeCells count="242">
    <mergeCell ref="B91:C91"/>
    <mergeCell ref="B100:C100"/>
    <mergeCell ref="B327:C327"/>
    <mergeCell ref="B271:C271"/>
    <mergeCell ref="A15:K15"/>
    <mergeCell ref="B232:C232"/>
    <mergeCell ref="B141:C141"/>
    <mergeCell ref="B311:C311"/>
    <mergeCell ref="B193:C193"/>
    <mergeCell ref="B93:C93"/>
    <mergeCell ref="B149:C149"/>
    <mergeCell ref="B31:C31"/>
    <mergeCell ref="B264:C264"/>
    <mergeCell ref="B102:C102"/>
    <mergeCell ref="B215:C215"/>
    <mergeCell ref="B320:C320"/>
    <mergeCell ref="B326:C326"/>
    <mergeCell ref="B77:C77"/>
    <mergeCell ref="B86:C86"/>
    <mergeCell ref="B262:C262"/>
    <mergeCell ref="B151:C151"/>
    <mergeCell ref="B235:C235"/>
    <mergeCell ref="B101:C101"/>
    <mergeCell ref="B312:C312"/>
    <mergeCell ref="B182:C182"/>
    <mergeCell ref="B38:C38"/>
    <mergeCell ref="B78:C78"/>
    <mergeCell ref="B191:C191"/>
    <mergeCell ref="B243:C243"/>
    <mergeCell ref="B283:C283"/>
    <mergeCell ref="B314:C314"/>
    <mergeCell ref="B178:C178"/>
    <mergeCell ref="A2:K2"/>
    <mergeCell ref="B127:C127"/>
    <mergeCell ref="B40:C40"/>
    <mergeCell ref="B255:C255"/>
    <mergeCell ref="B49:C49"/>
    <mergeCell ref="B285:C285"/>
    <mergeCell ref="B316:C316"/>
    <mergeCell ref="B55:C55"/>
    <mergeCell ref="B183:C183"/>
    <mergeCell ref="B177:C177"/>
    <mergeCell ref="B266:C266"/>
    <mergeCell ref="B33:C33"/>
    <mergeCell ref="E40:K40"/>
    <mergeCell ref="B104:C104"/>
    <mergeCell ref="B275:C275"/>
    <mergeCell ref="B51:C51"/>
    <mergeCell ref="B32:C32"/>
    <mergeCell ref="B197:C197"/>
    <mergeCell ref="B212:C212"/>
    <mergeCell ref="B330:C330"/>
    <mergeCell ref="B41:C41"/>
    <mergeCell ref="B237:C237"/>
    <mergeCell ref="B268:C268"/>
    <mergeCell ref="B277:C277"/>
    <mergeCell ref="B324:C324"/>
    <mergeCell ref="B35:C35"/>
    <mergeCell ref="B129:C129"/>
    <mergeCell ref="B106:C106"/>
    <mergeCell ref="B138:C138"/>
    <mergeCell ref="B90:C90"/>
    <mergeCell ref="B261:C261"/>
    <mergeCell ref="B301:C301"/>
    <mergeCell ref="B131:C131"/>
    <mergeCell ref="B236:C236"/>
    <mergeCell ref="B27:C27"/>
    <mergeCell ref="B140:C140"/>
    <mergeCell ref="B223:C223"/>
    <mergeCell ref="B180:C180"/>
    <mergeCell ref="B238:C238"/>
    <mergeCell ref="B220:C220"/>
    <mergeCell ref="A61:K61"/>
    <mergeCell ref="B303:C303"/>
    <mergeCell ref="B130:C130"/>
    <mergeCell ref="B195:C195"/>
    <mergeCell ref="B231:C231"/>
    <mergeCell ref="B240:C240"/>
    <mergeCell ref="B179:C179"/>
    <mergeCell ref="B328:C328"/>
    <mergeCell ref="B132:C132"/>
    <mergeCell ref="B53:C53"/>
    <mergeCell ref="B166:C166"/>
    <mergeCell ref="B29:C29"/>
    <mergeCell ref="B103:C103"/>
    <mergeCell ref="B37:C37"/>
    <mergeCell ref="B174:C174"/>
    <mergeCell ref="B186:C186"/>
    <mergeCell ref="B196:C196"/>
    <mergeCell ref="B168:C168"/>
    <mergeCell ref="B230:C230"/>
    <mergeCell ref="B257:C257"/>
    <mergeCell ref="B279:C279"/>
    <mergeCell ref="B84:C84"/>
    <mergeCell ref="B329:C329"/>
    <mergeCell ref="B281:C281"/>
    <mergeCell ref="B142:C142"/>
    <mergeCell ref="A109:K109"/>
    <mergeCell ref="B80:C80"/>
    <mergeCell ref="B95:C95"/>
    <mergeCell ref="B213:C213"/>
    <mergeCell ref="B265:C265"/>
    <mergeCell ref="B89:C89"/>
    <mergeCell ref="B313:C313"/>
    <mergeCell ref="B169:C169"/>
    <mergeCell ref="B331:C331"/>
    <mergeCell ref="A155:K155"/>
    <mergeCell ref="B79:C79"/>
    <mergeCell ref="B306:C306"/>
    <mergeCell ref="B144:C144"/>
    <mergeCell ref="E225:K225"/>
    <mergeCell ref="B315:C315"/>
    <mergeCell ref="B97:C97"/>
    <mergeCell ref="B242:C242"/>
    <mergeCell ref="B224:C224"/>
    <mergeCell ref="B54:C54"/>
    <mergeCell ref="B302:C302"/>
    <mergeCell ref="B125:C125"/>
    <mergeCell ref="B185:C185"/>
    <mergeCell ref="B134:C134"/>
    <mergeCell ref="B81:C81"/>
    <mergeCell ref="B194:C194"/>
    <mergeCell ref="B121:C121"/>
    <mergeCell ref="B122:C122"/>
    <mergeCell ref="B56:C56"/>
    <mergeCell ref="B96:C96"/>
    <mergeCell ref="B184:C184"/>
    <mergeCell ref="A1:K1"/>
    <mergeCell ref="B105:C105"/>
    <mergeCell ref="E134:K134"/>
    <mergeCell ref="B43:C43"/>
    <mergeCell ref="B58:C58"/>
    <mergeCell ref="B176:C176"/>
    <mergeCell ref="B214:C214"/>
    <mergeCell ref="B52:C52"/>
    <mergeCell ref="B228:C228"/>
    <mergeCell ref="E268:K268"/>
    <mergeCell ref="B276:C276"/>
    <mergeCell ref="B307:C307"/>
    <mergeCell ref="B322:C322"/>
    <mergeCell ref="B98:C98"/>
    <mergeCell ref="B42:C42"/>
    <mergeCell ref="B278:C278"/>
    <mergeCell ref="B318:C318"/>
    <mergeCell ref="A246:K246"/>
    <mergeCell ref="B57:C57"/>
    <mergeCell ref="B88:C88"/>
    <mergeCell ref="B148:C148"/>
    <mergeCell ref="B82:C82"/>
    <mergeCell ref="B170:C170"/>
    <mergeCell ref="B171:C171"/>
    <mergeCell ref="B44:C44"/>
    <mergeCell ref="E88:K88"/>
    <mergeCell ref="B234:C234"/>
    <mergeCell ref="B34:C34"/>
    <mergeCell ref="B172:C172"/>
    <mergeCell ref="B146:C146"/>
    <mergeCell ref="B28:C28"/>
    <mergeCell ref="B317:C317"/>
    <mergeCell ref="B99:C99"/>
    <mergeCell ref="B270:C270"/>
    <mergeCell ref="B304:C304"/>
    <mergeCell ref="A14:K14"/>
    <mergeCell ref="B187:C187"/>
    <mergeCell ref="B239:C239"/>
    <mergeCell ref="B83:C83"/>
    <mergeCell ref="B143:C143"/>
    <mergeCell ref="B92:C92"/>
    <mergeCell ref="B319:C319"/>
    <mergeCell ref="B30:C30"/>
    <mergeCell ref="A4:K4"/>
    <mergeCell ref="B241:C241"/>
    <mergeCell ref="B124:C124"/>
    <mergeCell ref="B133:C133"/>
    <mergeCell ref="B76:C76"/>
    <mergeCell ref="B189:C189"/>
    <mergeCell ref="B45:C45"/>
    <mergeCell ref="B216:C216"/>
    <mergeCell ref="B85:C85"/>
    <mergeCell ref="B256:C256"/>
    <mergeCell ref="B94:C94"/>
    <mergeCell ref="B173:C173"/>
    <mergeCell ref="B188:C188"/>
    <mergeCell ref="B305:C305"/>
    <mergeCell ref="B126:C126"/>
    <mergeCell ref="B75:C75"/>
    <mergeCell ref="B135:C135"/>
    <mergeCell ref="B280:C280"/>
    <mergeCell ref="B47:C47"/>
    <mergeCell ref="B218:C218"/>
    <mergeCell ref="B233:C233"/>
    <mergeCell ref="B227:C227"/>
    <mergeCell ref="E179:K179"/>
    <mergeCell ref="B150:C150"/>
    <mergeCell ref="B321:C321"/>
    <mergeCell ref="B190:C190"/>
    <mergeCell ref="B46:C46"/>
    <mergeCell ref="B273:C273"/>
    <mergeCell ref="B282:C282"/>
    <mergeCell ref="B263:C263"/>
    <mergeCell ref="B39:C39"/>
    <mergeCell ref="B152:C152"/>
    <mergeCell ref="B167:C167"/>
    <mergeCell ref="B272:C272"/>
    <mergeCell ref="B48:C48"/>
    <mergeCell ref="B219:C219"/>
    <mergeCell ref="B323:C323"/>
    <mergeCell ref="B259:C259"/>
    <mergeCell ref="B136:C136"/>
    <mergeCell ref="B229:C229"/>
    <mergeCell ref="B145:C145"/>
    <mergeCell ref="B181:C181"/>
    <mergeCell ref="B225:C225"/>
    <mergeCell ref="B274:C274"/>
    <mergeCell ref="E313:K313"/>
    <mergeCell ref="B175:C175"/>
    <mergeCell ref="B87:C87"/>
    <mergeCell ref="B258:C258"/>
    <mergeCell ref="B147:C147"/>
    <mergeCell ref="B267:C267"/>
    <mergeCell ref="B128:C128"/>
    <mergeCell ref="B137:C137"/>
    <mergeCell ref="B226:C226"/>
    <mergeCell ref="B308:C308"/>
    <mergeCell ref="B260:C260"/>
    <mergeCell ref="B217:C217"/>
    <mergeCell ref="B269:C269"/>
    <mergeCell ref="B300:C300"/>
    <mergeCell ref="B192:C192"/>
    <mergeCell ref="B139:C139"/>
    <mergeCell ref="B284:C284"/>
    <mergeCell ref="B310:C310"/>
    <mergeCell ref="B222:C222"/>
    <mergeCell ref="A200:K200"/>
    <mergeCell ref="B123:C123"/>
    <mergeCell ref="B36:C36"/>
    <mergeCell ref="B325:C325"/>
    <mergeCell ref="B50:C50"/>
    <mergeCell ref="B221:C221"/>
    <mergeCell ref="B286:C286"/>
    <mergeCell ref="B309:C309"/>
    <mergeCell ref="A289:K289"/>
  </mergeCells>
  <dataValidations count="2">
    <dataValidation sqref="D40 D88 D134 D179 D225 D268 D313" showDropDown="0" showInputMessage="0" showErrorMessage="1" allowBlank="0" errorTitle="Service method" error="Choose WARMER, WOK TO ORDER or COLD." type="list" errorStyle="stop" operator="between">
      <formula1>"WARMER,WOK TO ORDER,COLD"</formula1>
      <formula2>0</formula2>
    </dataValidation>
    <dataValidation sqref="D41 D89 D135 D180 D226 D269 D314" showDropDown="0" showInputMessage="0" showErrorMessage="1" allowBlank="0" errorTitle="Make point" error="Choose IN-STORE or CENTRAL KITCHEN." type="list" errorStyle="stop" operator="between">
      <formula1>"IN-STORE,CENTRAL KITCHEN"</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K26"/>
  <sheetViews>
    <sheetView showFormulas="0" showGridLines="0"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cols>
    <col width="26" customWidth="1" style="105" min="1" max="1"/>
    <col width="46" customWidth="1" style="105" min="2" max="2"/>
    <col width="17" customWidth="1" style="105" min="3" max="3"/>
    <col width="10" customWidth="1" style="105" min="4" max="4"/>
    <col width="20" customWidth="1" style="105" min="5" max="5"/>
    <col width="15" customWidth="1" style="105" min="6" max="7"/>
    <col width="16" customWidth="1" style="105" min="8" max="9"/>
    <col width="24" customWidth="1" style="105" min="10" max="10"/>
    <col width="50" customWidth="1" style="105" min="11" max="11"/>
  </cols>
  <sheetData>
    <row r="1" ht="30" customHeight="1" s="106">
      <c r="A1" s="107" t="inlineStr">
        <is>
          <t>COST INDEX  -  THE MAKE-POINT SWITCHBOARD</t>
        </is>
      </c>
    </row>
    <row r="2" ht="18" customHeight="1" s="106">
      <c r="A2" s="108" t="inlineStr">
        <is>
          <t>Every dough and sauce, what it costs made IN-STORE versus bought from the CENTRAL KITCHEN, and the live cost the menu tabs actually read. Column C is the live number - it follows the MAKE POINT switch on tabs 06, 07 and 08. Flip a switch there and every plate cost in this workbook moves with it. Nothing on this tab is typed by hand.</t>
        </is>
      </c>
    </row>
    <row r="4" ht="48" customHeight="1" s="106">
      <c r="A4" s="112" t="inlineStr">
        <is>
          <t>Component SKU</t>
        </is>
      </c>
      <c r="B4" s="112" t="inlineStr">
        <is>
          <t>Description</t>
        </is>
      </c>
      <c r="C4" s="112" t="inlineStr">
        <is>
          <t>FRANCHISEE Cost
per Base Unit
(LIVE)</t>
        </is>
      </c>
      <c r="D4" s="112" t="inlineStr">
        <is>
          <t>Base
Unit</t>
        </is>
      </c>
      <c r="E4" s="112" t="inlineStr">
        <is>
          <t>MAKE POINT</t>
        </is>
      </c>
      <c r="F4" s="112" t="inlineStr">
        <is>
          <t>In-Store
Cost / unit</t>
        </is>
      </c>
      <c r="G4" s="112" t="inlineStr">
        <is>
          <t>CK Transfer
Cost / unit</t>
        </is>
      </c>
      <c r="H4" s="112" t="inlineStr">
        <is>
          <t>In-store vs CK
per portion</t>
        </is>
      </c>
      <c r="I4" s="112" t="inlineStr">
        <is>
          <t>CK Margin Earned
per portion</t>
        </is>
      </c>
      <c r="J4" s="112" t="inlineStr">
        <is>
          <t>Source Tab</t>
        </is>
      </c>
      <c r="K4" s="112" t="inlineStr">
        <is>
          <t>Basis</t>
        </is>
      </c>
    </row>
    <row r="5" ht="19.4" customHeight="1" s="106">
      <c r="A5" s="134" t="inlineStr">
        <is>
          <t>PP-DOUGH-BOKGAT</t>
        </is>
      </c>
      <c r="B5" s="113" t="inlineStr">
        <is>
          <t>Bokgat Base - dried pasta</t>
        </is>
      </c>
      <c r="C5" s="151">
        <f>'06 Pasta Dough BOM'!$D$59</f>
        <v/>
      </c>
      <c r="D5" s="139" t="inlineStr">
        <is>
          <t>g</t>
        </is>
      </c>
      <c r="E5" s="176">
        <f>'06 Pasta Dough BOM'!$D$47</f>
        <v/>
      </c>
      <c r="F5" s="150">
        <f>'06 Pasta Dough BOM'!$D$54</f>
        <v/>
      </c>
      <c r="G5" s="150">
        <f>'06 Pasta Dough BOM'!$D$57</f>
        <v/>
      </c>
      <c r="H5" s="150">
        <f>'06 Pasta Dough BOM'!$D$60</f>
        <v/>
      </c>
      <c r="I5" s="150">
        <f>'06 Pasta Dough BOM'!$D$61</f>
        <v/>
      </c>
      <c r="J5" s="138" t="inlineStr">
        <is>
          <t>06 Pasta Dough BOM</t>
        </is>
      </c>
      <c r="K5" s="116" t="inlineStr">
        <is>
          <t>The volume driver and the Pasta Theatre. This is the franchisee's main line - they own it.</t>
        </is>
      </c>
    </row>
    <row r="6" ht="19.4" customHeight="1" s="106">
      <c r="A6" s="134" t="inlineStr">
        <is>
          <t>PP-DOUGH-PROTEIN</t>
        </is>
      </c>
      <c r="B6" s="113" t="inlineStr">
        <is>
          <t>Protein+ Pro - dried pasta</t>
        </is>
      </c>
      <c r="C6" s="151">
        <f>'06 Pasta Dough BOM'!$D$113</f>
        <v/>
      </c>
      <c r="D6" s="139" t="inlineStr">
        <is>
          <t>g</t>
        </is>
      </c>
      <c r="E6" s="176">
        <f>'06 Pasta Dough BOM'!$D$101</f>
        <v/>
      </c>
      <c r="F6" s="150">
        <f>'06 Pasta Dough BOM'!$D$108</f>
        <v/>
      </c>
      <c r="G6" s="150">
        <f>'06 Pasta Dough BOM'!$D$111</f>
        <v/>
      </c>
      <c r="H6" s="150">
        <f>'06 Pasta Dough BOM'!$D$114</f>
        <v/>
      </c>
      <c r="I6" s="150">
        <f>'06 Pasta Dough BOM'!$D$115</f>
        <v/>
      </c>
      <c r="J6" s="138" t="inlineStr">
        <is>
          <t>06 Pasta Dough BOM</t>
        </is>
      </c>
      <c r="K6" s="116" t="inlineStr">
        <is>
          <t>LUPIN allergen needs a dedicated line or full deep-clean. Not a job for a 40 sqm store.</t>
        </is>
      </c>
    </row>
    <row r="7" ht="19.4" customHeight="1" s="106">
      <c r="A7" s="134" t="inlineStr">
        <is>
          <t>PP-DOUGH-FARMHOUSE</t>
        </is>
      </c>
      <c r="B7" s="113" t="inlineStr">
        <is>
          <t>Farmhouse - dried pasta</t>
        </is>
      </c>
      <c r="C7" s="151">
        <f>'06 Pasta Dough BOM'!$D$167</f>
        <v/>
      </c>
      <c r="D7" s="139" t="inlineStr">
        <is>
          <t>g</t>
        </is>
      </c>
      <c r="E7" s="176">
        <f>'06 Pasta Dough BOM'!$D$155</f>
        <v/>
      </c>
      <c r="F7" s="150">
        <f>'06 Pasta Dough BOM'!$D$162</f>
        <v/>
      </c>
      <c r="G7" s="150">
        <f>'06 Pasta Dough BOM'!$D$165</f>
        <v/>
      </c>
      <c r="H7" s="150">
        <f>'06 Pasta Dough BOM'!$D$168</f>
        <v/>
      </c>
      <c r="I7" s="150">
        <f>'06 Pasta Dough BOM'!$D$169</f>
        <v/>
      </c>
      <c r="J7" s="138" t="inlineStr">
        <is>
          <t>06 Pasta Dough BOM</t>
        </is>
      </c>
      <c r="K7" s="116" t="inlineStr">
        <is>
          <t>Runs on The Local Farmer powders - keep that supply chain and the milling at the CK.</t>
        </is>
      </c>
    </row>
    <row r="8" ht="19.4" customHeight="1" s="106">
      <c r="A8" s="134" t="inlineStr">
        <is>
          <t>PP-DOUGH-CHICKPEA</t>
        </is>
      </c>
      <c r="B8" s="113" t="inlineStr">
        <is>
          <t>Chickpea Power Pro - dried pasta</t>
        </is>
      </c>
      <c r="C8" s="151">
        <f>'06 Pasta Dough BOM'!$D$220</f>
        <v/>
      </c>
      <c r="D8" s="139" t="inlineStr">
        <is>
          <t>g</t>
        </is>
      </c>
      <c r="E8" s="176">
        <f>'06 Pasta Dough BOM'!$D$208</f>
        <v/>
      </c>
      <c r="F8" s="150">
        <f>'06 Pasta Dough BOM'!$D$215</f>
        <v/>
      </c>
      <c r="G8" s="150">
        <f>'06 Pasta Dough BOM'!$D$218</f>
        <v/>
      </c>
      <c r="H8" s="150">
        <f>'06 Pasta Dough BOM'!$D$221</f>
        <v/>
      </c>
      <c r="I8" s="150">
        <f>'06 Pasta Dough BOM'!$D$222</f>
        <v/>
      </c>
      <c r="J8" s="138" t="inlineStr">
        <is>
          <t>06 Pasta Dough BOM</t>
        </is>
      </c>
      <c r="K8" s="116" t="inlineStr">
        <is>
          <t>Needs roasted + fermented chickpea flour. Pre-treatment belongs at the CK.</t>
        </is>
      </c>
    </row>
    <row r="9" ht="15" customHeight="1" s="106">
      <c r="A9" s="134" t="inlineStr">
        <is>
          <t>PP-SAUCE-NAP</t>
        </is>
      </c>
      <c r="B9" s="113" t="inlineStr">
        <is>
          <t>Napoletana (Pomodoro) (core sauce, Central Kitchen product)</t>
        </is>
      </c>
      <c r="C9" s="151">
        <f>'07 Core Sauce BOM CK'!$D$55</f>
        <v/>
      </c>
      <c r="D9" s="139" t="inlineStr">
        <is>
          <t>g</t>
        </is>
      </c>
      <c r="E9" s="176">
        <f>'07 Core Sauce BOM CK'!$D$44</f>
        <v/>
      </c>
      <c r="F9" s="150">
        <f>IF('07 Core Sauce BOM CK'!$D$50="","",'07 Core Sauce BOM CK'!$D$50/1000)</f>
        <v/>
      </c>
      <c r="G9" s="150">
        <f>IF('07 Core Sauce BOM CK'!$D$41="","",'07 Core Sauce BOM CK'!$D$41/1000)</f>
        <v/>
      </c>
      <c r="H9" s="150">
        <f>'07 Core Sauce BOM CK'!$D$56</f>
        <v/>
      </c>
      <c r="I9" s="150">
        <f>'07 Core Sauce BOM CK'!$D$57</f>
        <v/>
      </c>
      <c r="J9" s="138" t="inlineStr">
        <is>
          <t>07 Core Sauce BOM CK</t>
        </is>
      </c>
      <c r="K9" s="116" t="inlineStr">
        <is>
          <t>The mother sauce. Vegan. Also the base for Arrabbiata and Bolognese.</t>
        </is>
      </c>
    </row>
    <row r="10" ht="15" customHeight="1" s="106">
      <c r="A10" s="134" t="inlineStr">
        <is>
          <t>PP-SAUCE-BOL</t>
        </is>
      </c>
      <c r="B10" s="113" t="inlineStr">
        <is>
          <t>Papa's Bolognese (core sauce, Central Kitchen product)</t>
        </is>
      </c>
      <c r="C10" s="151">
        <f>'07 Core Sauce BOM CK'!$D$104</f>
        <v/>
      </c>
      <c r="D10" s="139" t="inlineStr">
        <is>
          <t>g</t>
        </is>
      </c>
      <c r="E10" s="176">
        <f>'07 Core Sauce BOM CK'!$D$93</f>
        <v/>
      </c>
      <c r="F10" s="150">
        <f>IF('07 Core Sauce BOM CK'!$D$99="","",'07 Core Sauce BOM CK'!$D$99/1000)</f>
        <v/>
      </c>
      <c r="G10" s="150">
        <f>IF('07 Core Sauce BOM CK'!$D$90="","",'07 Core Sauce BOM CK'!$D$90/1000)</f>
        <v/>
      </c>
      <c r="H10" s="150">
        <f>'07 Core Sauce BOM CK'!$D$105</f>
        <v/>
      </c>
      <c r="I10" s="150">
        <f>'07 Core Sauce BOM CK'!$D$106</f>
        <v/>
      </c>
      <c r="J10" s="138" t="inlineStr">
        <is>
          <t>07 Core Sauce BOM CK</t>
        </is>
      </c>
      <c r="K10" s="116" t="inlineStr">
        <is>
          <t>All-beef ragu, halaal, alcohol-free. Fully braised at commissary.</t>
        </is>
      </c>
    </row>
    <row r="11" ht="19.4" customHeight="1" s="106">
      <c r="A11" s="134" t="inlineStr">
        <is>
          <t>PP-SAUCE-ALF</t>
        </is>
      </c>
      <c r="B11" s="113" t="inlineStr">
        <is>
          <t>Creamy Alfredo (core sauce, Central Kitchen product)</t>
        </is>
      </c>
      <c r="C11" s="151">
        <f>'07 Core Sauce BOM CK'!$D$148</f>
        <v/>
      </c>
      <c r="D11" s="139" t="inlineStr">
        <is>
          <t>g</t>
        </is>
      </c>
      <c r="E11" s="176">
        <f>'07 Core Sauce BOM CK'!$D$137</f>
        <v/>
      </c>
      <c r="F11" s="150">
        <f>IF('07 Core Sauce BOM CK'!$D$143="","",'07 Core Sauce BOM CK'!$D$143/1000)</f>
        <v/>
      </c>
      <c r="G11" s="150">
        <f>IF('07 Core Sauce BOM CK'!$D$134="","",'07 Core Sauce BOM CK'!$D$134/1000)</f>
        <v/>
      </c>
      <c r="H11" s="150">
        <f>'07 Core Sauce BOM CK'!$D$149</f>
        <v/>
      </c>
      <c r="I11" s="150">
        <f>'07 Core Sauce BOM CK'!$D$150</f>
        <v/>
      </c>
      <c r="J11" s="138" t="inlineStr">
        <is>
          <t>07 Core Sauce BOM CK</t>
        </is>
      </c>
      <c r="K11" s="116" t="inlineStr">
        <is>
          <t>Stabilised parmesan-garlic cream base, engineered to reheat without splitting.</t>
        </is>
      </c>
    </row>
    <row r="12" ht="19.4" customHeight="1" s="106">
      <c r="A12" s="134" t="inlineStr">
        <is>
          <t>PP-SAUCE-CAR</t>
        </is>
      </c>
      <c r="B12" s="113" t="inlineStr">
        <is>
          <t>Carbonara Base (core sauce, Central Kitchen product)</t>
        </is>
      </c>
      <c r="C12" s="151">
        <f>'07 Core Sauce BOM CK'!$D$191</f>
        <v/>
      </c>
      <c r="D12" s="139" t="inlineStr">
        <is>
          <t>g</t>
        </is>
      </c>
      <c r="E12" s="176">
        <f>'07 Core Sauce BOM CK'!$D$180</f>
        <v/>
      </c>
      <c r="F12" s="150">
        <f>IF('07 Core Sauce BOM CK'!$D$186="","",'07 Core Sauce BOM CK'!$D$186/1000)</f>
        <v/>
      </c>
      <c r="G12" s="150">
        <f>IF('07 Core Sauce BOM CK'!$D$177="","",'07 Core Sauce BOM CK'!$D$177/1000)</f>
        <v/>
      </c>
      <c r="H12" s="150">
        <f>'07 Core Sauce BOM CK'!$D$192</f>
        <v/>
      </c>
      <c r="I12" s="150">
        <f>'07 Core Sauce BOM CK'!$D$193</f>
        <v/>
      </c>
      <c r="J12" s="138" t="inlineStr">
        <is>
          <t>07 Core Sauce BOM CK</t>
        </is>
      </c>
      <c r="K12" s="116" t="inlineStr">
        <is>
          <t>Pasteurised egg-pecorino emulsion. NO CREAM. Beef bacon added at store.</t>
        </is>
      </c>
    </row>
    <row r="13" ht="15" customHeight="1" s="106">
      <c r="A13" s="134" t="inlineStr">
        <is>
          <t>PP-SAUCE-ARR</t>
        </is>
      </c>
      <c r="B13" s="113" t="inlineStr">
        <is>
          <t>Arrabbiata (core sauce, Central Kitchen product)</t>
        </is>
      </c>
      <c r="C13" s="151">
        <f>'07 Core Sauce BOM CK'!$D$238</f>
        <v/>
      </c>
      <c r="D13" s="139" t="inlineStr">
        <is>
          <t>g</t>
        </is>
      </c>
      <c r="E13" s="176">
        <f>'07 Core Sauce BOM CK'!$D$227</f>
        <v/>
      </c>
      <c r="F13" s="150">
        <f>IF('07 Core Sauce BOM CK'!$D$233="","",'07 Core Sauce BOM CK'!$D$233/1000)</f>
        <v/>
      </c>
      <c r="G13" s="150">
        <f>IF('07 Core Sauce BOM CK'!$D$224="","",'07 Core Sauce BOM CK'!$D$224/1000)</f>
        <v/>
      </c>
      <c r="H13" s="150">
        <f>'07 Core Sauce BOM CK'!$D$239</f>
        <v/>
      </c>
      <c r="I13" s="150">
        <f>'07 Core Sauce BOM CK'!$D$240</f>
        <v/>
      </c>
      <c r="J13" s="138" t="inlineStr">
        <is>
          <t>07 Core Sauce BOM CK</t>
        </is>
      </c>
      <c r="K13" s="116" t="inlineStr">
        <is>
          <t>Napoletana rebuilt angry. Heat dialled at store via finishing chilli oil.</t>
        </is>
      </c>
    </row>
    <row r="14" ht="19.4" customHeight="1" s="106">
      <c r="A14" s="134" t="inlineStr">
        <is>
          <t>PP-SAUCE-PES</t>
        </is>
      </c>
      <c r="B14" s="113" t="inlineStr">
        <is>
          <t>Basil Pesto (core sauce, Central Kitchen product)</t>
        </is>
      </c>
      <c r="C14" s="151">
        <f>'07 Core Sauce BOM CK'!$D$282</f>
        <v/>
      </c>
      <c r="D14" s="139" t="inlineStr">
        <is>
          <t>g</t>
        </is>
      </c>
      <c r="E14" s="176">
        <f>'07 Core Sauce BOM CK'!$D$271</f>
        <v/>
      </c>
      <c r="F14" s="150">
        <f>IF('07 Core Sauce BOM CK'!$D$277="","",'07 Core Sauce BOM CK'!$D$277/1000)</f>
        <v/>
      </c>
      <c r="G14" s="150">
        <f>IF('07 Core Sauce BOM CK'!$D$268="","",'07 Core Sauce BOM CK'!$D$268/1000)</f>
        <v/>
      </c>
      <c r="H14" s="150">
        <f>'07 Core Sauce BOM CK'!$D$283</f>
        <v/>
      </c>
      <c r="I14" s="150">
        <f>'07 Core Sauce BOM CK'!$D$284</f>
        <v/>
      </c>
      <c r="J14" s="138" t="inlineStr">
        <is>
          <t>07 Core Sauce BOM CK</t>
        </is>
      </c>
      <c r="K14" s="116" t="inlineStr">
        <is>
          <t>Raw cold sauce, snap-chilled. Short-dated, &lt;=4 C. NUT + DAIRY allergen.</t>
        </is>
      </c>
    </row>
    <row r="15" ht="19.4" customHeight="1" s="106">
      <c r="A15" s="134" t="inlineStr">
        <is>
          <t>PP-SAUCE-BOSC</t>
        </is>
      </c>
      <c r="B15" s="113" t="inlineStr">
        <is>
          <t>Boscaiola (core sauce, Central Kitchen product)</t>
        </is>
      </c>
      <c r="C15" s="151">
        <f>'07 Core Sauce BOM CK'!$D$328</f>
        <v/>
      </c>
      <c r="D15" s="139" t="inlineStr">
        <is>
          <t>g</t>
        </is>
      </c>
      <c r="E15" s="176">
        <f>'07 Core Sauce BOM CK'!$D$317</f>
        <v/>
      </c>
      <c r="F15" s="150">
        <f>IF('07 Core Sauce BOM CK'!$D$323="","",'07 Core Sauce BOM CK'!$D$323/1000)</f>
        <v/>
      </c>
      <c r="G15" s="150">
        <f>IF('07 Core Sauce BOM CK'!$D$314="","",'07 Core Sauce BOM CK'!$D$314/1000)</f>
        <v/>
      </c>
      <c r="H15" s="150">
        <f>'07 Core Sauce BOM CK'!$D$329</f>
        <v/>
      </c>
      <c r="I15" s="150">
        <f>'07 Core Sauce BOM CK'!$D$330</f>
        <v/>
      </c>
      <c r="J15" s="138" t="inlineStr">
        <is>
          <t>07 Core Sauce BOM CK</t>
        </is>
      </c>
      <c r="K15" s="116" t="inlineStr">
        <is>
          <t>Reheat-safe mushroom-cream base. Beef or mushroom-only build at store.</t>
        </is>
      </c>
    </row>
    <row r="16" ht="15" customHeight="1" s="106">
      <c r="A16" s="134" t="inlineStr">
        <is>
          <t>PP-SAUCE-QF</t>
        </is>
      </c>
      <c r="B16" s="113" t="inlineStr">
        <is>
          <t>Quattro Formaggi (core sauce, Central Kitchen product)</t>
        </is>
      </c>
      <c r="C16" s="151">
        <f>'07 Core Sauce BOM CK'!$D$373</f>
        <v/>
      </c>
      <c r="D16" s="139" t="inlineStr">
        <is>
          <t>g</t>
        </is>
      </c>
      <c r="E16" s="176">
        <f>'07 Core Sauce BOM CK'!$D$362</f>
        <v/>
      </c>
      <c r="F16" s="150">
        <f>IF('07 Core Sauce BOM CK'!$D$368="","",'07 Core Sauce BOM CK'!$D$368/1000)</f>
        <v/>
      </c>
      <c r="G16" s="150">
        <f>IF('07 Core Sauce BOM CK'!$D$359="","",'07 Core Sauce BOM CK'!$D$359/1000)</f>
        <v/>
      </c>
      <c r="H16" s="150">
        <f>'07 Core Sauce BOM CK'!$D$374</f>
        <v/>
      </c>
      <c r="I16" s="150">
        <f>'07 Core Sauce BOM CK'!$D$375</f>
        <v/>
      </c>
      <c r="J16" s="138" t="inlineStr">
        <is>
          <t>07 Core Sauce BOM CK</t>
        </is>
      </c>
      <c r="K16" s="116" t="inlineStr">
        <is>
          <t>Four-cheese cream base, melts smooth and reheats without splitting.</t>
        </is>
      </c>
    </row>
    <row r="17" ht="15" customHeight="1" s="106">
      <c r="A17" s="134" t="inlineStr">
        <is>
          <t>PP-SAUCE-ALO</t>
        </is>
      </c>
      <c r="B17" s="113" t="inlineStr">
        <is>
          <t>Aglio e Olio Kit (core sauce, Central Kitchen product)</t>
        </is>
      </c>
      <c r="C17" s="151">
        <f>'07 Core Sauce BOM CK'!$D$415</f>
        <v/>
      </c>
      <c r="D17" s="139" t="inlineStr">
        <is>
          <t>g</t>
        </is>
      </c>
      <c r="E17" s="176">
        <f>'07 Core Sauce BOM CK'!$D$404</f>
        <v/>
      </c>
      <c r="F17" s="150">
        <f>IF('07 Core Sauce BOM CK'!$D$410="","",'07 Core Sauce BOM CK'!$D$410/1000)</f>
        <v/>
      </c>
      <c r="G17" s="150">
        <f>IF('07 Core Sauce BOM CK'!$D$401="","",'07 Core Sauce BOM CK'!$D$401/1000)</f>
        <v/>
      </c>
      <c r="H17" s="150">
        <f>'07 Core Sauce BOM CK'!$D$416</f>
        <v/>
      </c>
      <c r="I17" s="150">
        <f>'07 Core Sauce BOM CK'!$D$417</f>
        <v/>
      </c>
      <c r="J17" s="138" t="inlineStr">
        <is>
          <t>07 Core Sauce BOM CK</t>
        </is>
      </c>
      <c r="K17" s="116" t="inlineStr">
        <is>
          <t>Prep kit, not a cooked base - confit garlic, calibrated chilli, EVOO blend.</t>
        </is>
      </c>
    </row>
    <row r="18" ht="19.4" customHeight="1" s="106">
      <c r="A18" s="134" t="inlineStr">
        <is>
          <t>PP-SEASAUCE-CURRYTOM</t>
        </is>
      </c>
      <c r="B18" s="113" t="inlineStr">
        <is>
          <t>Durban Curry-Tomato Base (seasonal sauce, Central Kitchen product)</t>
        </is>
      </c>
      <c r="C18" s="151">
        <f>'08 Seasonal Sauce BOM CK'!$D$52</f>
        <v/>
      </c>
      <c r="D18" s="139" t="inlineStr">
        <is>
          <t>g</t>
        </is>
      </c>
      <c r="E18" s="176">
        <f>'08 Seasonal Sauce BOM CK'!$D$41</f>
        <v/>
      </c>
      <c r="F18" s="150">
        <f>IF('08 Seasonal Sauce BOM CK'!$D$47="","",'08 Seasonal Sauce BOM CK'!$D$47/1000)</f>
        <v/>
      </c>
      <c r="G18" s="150">
        <f>IF('08 Seasonal Sauce BOM CK'!$D$38="","",'08 Seasonal Sauce BOM CK'!$D$38/1000)</f>
        <v/>
      </c>
      <c r="H18" s="150">
        <f>'08 Seasonal Sauce BOM CK'!$D$53</f>
        <v/>
      </c>
      <c r="I18" s="150">
        <f>'08 Seasonal Sauce BOM CK'!$D$54</f>
        <v/>
      </c>
      <c r="J18" s="138" t="inlineStr">
        <is>
          <t>08 Seasonal Sauce BOM CK</t>
        </is>
      </c>
      <c r="K18" s="116" t="inlineStr">
        <is>
          <t>The concept doc calls for a SPECIAL curry-tomato base, not Napoletana plus masala.</t>
        </is>
      </c>
    </row>
    <row r="19" ht="19.4" customHeight="1" s="106">
      <c r="A19" s="134" t="inlineStr">
        <is>
          <t>PP-SEASAUCE-OXTAIL</t>
        </is>
      </c>
      <c r="B19" s="113" t="inlineStr">
        <is>
          <t>Slow-Braised Oxtail-Style Ragu (seasonal sauce, Central Kitchen product)</t>
        </is>
      </c>
      <c r="C19" s="151">
        <f>'08 Seasonal Sauce BOM CK'!$D$100</f>
        <v/>
      </c>
      <c r="D19" s="139" t="inlineStr">
        <is>
          <t>g</t>
        </is>
      </c>
      <c r="E19" s="176">
        <f>'08 Seasonal Sauce BOM CK'!$D$89</f>
        <v/>
      </c>
      <c r="F19" s="150">
        <f>IF('08 Seasonal Sauce BOM CK'!$D$95="","",'08 Seasonal Sauce BOM CK'!$D$95/1000)</f>
        <v/>
      </c>
      <c r="G19" s="150">
        <f>IF('08 Seasonal Sauce BOM CK'!$D$86="","",'08 Seasonal Sauce BOM CK'!$D$86/1000)</f>
        <v/>
      </c>
      <c r="H19" s="150">
        <f>'08 Seasonal Sauce BOM CK'!$D$101</f>
        <v/>
      </c>
      <c r="I19" s="150">
        <f>'08 Seasonal Sauce BOM CK'!$D$102</f>
        <v/>
      </c>
      <c r="J19" s="138" t="inlineStr">
        <is>
          <t>08 Seasonal Sauce BOM CK</t>
        </is>
      </c>
      <c r="K19" s="116" t="inlineStr">
        <is>
          <t>A rich alcohol-free slow braise in its own right - the beef is IN the base, not added at store.</t>
        </is>
      </c>
    </row>
    <row r="20" ht="15" customHeight="1" s="106">
      <c r="A20" s="134" t="inlineStr">
        <is>
          <t>PP-SEASAUCE-CHAKALAKA</t>
        </is>
      </c>
      <c r="B20" s="113" t="inlineStr">
        <is>
          <t>Chakalaka Relish Base (seasonal sauce, Central Kitchen product)</t>
        </is>
      </c>
      <c r="C20" s="151">
        <f>'08 Seasonal Sauce BOM CK'!$D$146</f>
        <v/>
      </c>
      <c r="D20" s="139" t="inlineStr">
        <is>
          <t>g</t>
        </is>
      </c>
      <c r="E20" s="176">
        <f>'08 Seasonal Sauce BOM CK'!$D$135</f>
        <v/>
      </c>
      <c r="F20" s="150">
        <f>IF('08 Seasonal Sauce BOM CK'!$D$141="","",'08 Seasonal Sauce BOM CK'!$D$141/1000)</f>
        <v/>
      </c>
      <c r="G20" s="150">
        <f>IF('08 Seasonal Sauce BOM CK'!$D$132="","",'08 Seasonal Sauce BOM CK'!$D$132/1000)</f>
        <v/>
      </c>
      <c r="H20" s="150">
        <f>'08 Seasonal Sauce BOM CK'!$D$147</f>
        <v/>
      </c>
      <c r="I20" s="150">
        <f>'08 Seasonal Sauce BOM CK'!$D$148</f>
        <v/>
      </c>
      <c r="J20" s="138" t="inlineStr">
        <is>
          <t>08 Seasonal Sauce BOM CK</t>
        </is>
      </c>
      <c r="K20" s="116" t="inlineStr">
        <is>
          <t>A relish, not a sauce - spooned onto the Arrabbiata base at the store.</t>
        </is>
      </c>
    </row>
    <row r="21" ht="15" customHeight="1" s="106">
      <c r="A21" s="134" t="inlineStr">
        <is>
          <t>PP-SEASAUCE-COCONUT</t>
        </is>
      </c>
      <c r="B21" s="113" t="inlineStr">
        <is>
          <t>Coconut-Cream Base (seasonal sauce, Central Kitchen product)</t>
        </is>
      </c>
      <c r="C21" s="151">
        <f>'08 Seasonal Sauce BOM CK'!$D$191</f>
        <v/>
      </c>
      <c r="D21" s="139" t="inlineStr">
        <is>
          <t>g</t>
        </is>
      </c>
      <c r="E21" s="176">
        <f>'08 Seasonal Sauce BOM CK'!$D$180</f>
        <v/>
      </c>
      <c r="F21" s="150">
        <f>IF('08 Seasonal Sauce BOM CK'!$D$186="","",'08 Seasonal Sauce BOM CK'!$D$186/1000)</f>
        <v/>
      </c>
      <c r="G21" s="150">
        <f>IF('08 Seasonal Sauce BOM CK'!$D$177="","",'08 Seasonal Sauce BOM CK'!$D$177/1000)</f>
        <v/>
      </c>
      <c r="H21" s="150">
        <f>'08 Seasonal Sauce BOM CK'!$D$192</f>
        <v/>
      </c>
      <c r="I21" s="150">
        <f>'08 Seasonal Sauce BOM CK'!$D$193</f>
        <v/>
      </c>
      <c r="J21" s="138" t="inlineStr">
        <is>
          <t>08 Seasonal Sauce BOM CK</t>
        </is>
      </c>
      <c r="K21" s="116" t="inlineStr">
        <is>
          <t>Its own coconut-cream base - the doc does not build this one on Alfredo.</t>
        </is>
      </c>
    </row>
    <row r="22" ht="19.4" customHeight="1" s="106">
      <c r="A22" s="134" t="inlineStr">
        <is>
          <t>PP-SEASAUCE-CAPEMALAY</t>
        </is>
      </c>
      <c r="B22" s="113" t="inlineStr">
        <is>
          <t>Cape Malay Curry-Cream Base (seasonal sauce, Central Kitchen product)</t>
        </is>
      </c>
      <c r="C22" s="151">
        <f>'08 Seasonal Sauce BOM CK'!$D$237</f>
        <v/>
      </c>
      <c r="D22" s="139" t="inlineStr">
        <is>
          <t>g</t>
        </is>
      </c>
      <c r="E22" s="176">
        <f>'08 Seasonal Sauce BOM CK'!$D$226</f>
        <v/>
      </c>
      <c r="F22" s="150">
        <f>IF('08 Seasonal Sauce BOM CK'!$D$232="","",'08 Seasonal Sauce BOM CK'!$D$232/1000)</f>
        <v/>
      </c>
      <c r="G22" s="150">
        <f>IF('08 Seasonal Sauce BOM CK'!$D$223="","",'08 Seasonal Sauce BOM CK'!$D$223/1000)</f>
        <v/>
      </c>
      <c r="H22" s="150">
        <f>'08 Seasonal Sauce BOM CK'!$D$238</f>
        <v/>
      </c>
      <c r="I22" s="150">
        <f>'08 Seasonal Sauce BOM CK'!$D$239</f>
        <v/>
      </c>
      <c r="J22" s="138" t="inlineStr">
        <is>
          <t>08 Seasonal Sauce BOM CK</t>
        </is>
      </c>
      <c r="K22" s="116" t="inlineStr">
        <is>
          <t>The doc specifies a curry-CREAM base - gentle Cape Malay masala, not Alfredo plus spice.</t>
        </is>
      </c>
    </row>
    <row r="23" ht="15" customHeight="1" s="106">
      <c r="A23" s="134" t="inlineStr">
        <is>
          <t>PP-SEASAUCE-CHERMOULA</t>
        </is>
      </c>
      <c r="B23" s="113" t="inlineStr">
        <is>
          <t>Chermoula Herb Paste (seasonal sauce, Central Kitchen product)</t>
        </is>
      </c>
      <c r="C23" s="151">
        <f>'08 Seasonal Sauce BOM CK'!$D$280</f>
        <v/>
      </c>
      <c r="D23" s="139" t="inlineStr">
        <is>
          <t>g</t>
        </is>
      </c>
      <c r="E23" s="176">
        <f>'08 Seasonal Sauce BOM CK'!$D$269</f>
        <v/>
      </c>
      <c r="F23" s="150">
        <f>IF('08 Seasonal Sauce BOM CK'!$D$275="","",'08 Seasonal Sauce BOM CK'!$D$275/1000)</f>
        <v/>
      </c>
      <c r="G23" s="150">
        <f>IF('08 Seasonal Sauce BOM CK'!$D$266="","",'08 Seasonal Sauce BOM CK'!$D$266/1000)</f>
        <v/>
      </c>
      <c r="H23" s="150">
        <f>'08 Seasonal Sauce BOM CK'!$D$281</f>
        <v/>
      </c>
      <c r="I23" s="150">
        <f>'08 Seasonal Sauce BOM CK'!$D$282</f>
        <v/>
      </c>
      <c r="J23" s="138" t="inlineStr">
        <is>
          <t>08 Seasonal Sauce BOM CK</t>
        </is>
      </c>
      <c r="K23" s="116" t="inlineStr">
        <is>
          <t>A raw cold herb paste like pesto - &lt;=4 C, short-dated, snap-chilled.</t>
        </is>
      </c>
    </row>
    <row r="24" ht="19.4" customHeight="1" s="106">
      <c r="A24" s="134" t="inlineStr">
        <is>
          <t>PP-SEASAUCE-GROUNDNUT</t>
        </is>
      </c>
      <c r="B24" s="113" t="inlineStr">
        <is>
          <t>Groundnut Cream Base (seasonal sauce, Central Kitchen product)</t>
        </is>
      </c>
      <c r="C24" s="151">
        <f>'08 Seasonal Sauce BOM CK'!$D$325</f>
        <v/>
      </c>
      <c r="D24" s="139" t="inlineStr">
        <is>
          <t>g</t>
        </is>
      </c>
      <c r="E24" s="176">
        <f>'08 Seasonal Sauce BOM CK'!$D$314</f>
        <v/>
      </c>
      <c r="F24" s="150">
        <f>IF('08 Seasonal Sauce BOM CK'!$D$320="","",'08 Seasonal Sauce BOM CK'!$D$320/1000)</f>
        <v/>
      </c>
      <c r="G24" s="150">
        <f>IF('08 Seasonal Sauce BOM CK'!$D$311="","",'08 Seasonal Sauce BOM CK'!$D$311/1000)</f>
        <v/>
      </c>
      <c r="H24" s="150">
        <f>'08 Seasonal Sauce BOM CK'!$D$326</f>
        <v/>
      </c>
      <c r="I24" s="150">
        <f>'08 Seasonal Sauce BOM CK'!$D$327</f>
        <v/>
      </c>
      <c r="J24" s="138" t="inlineStr">
        <is>
          <t>08 Seasonal Sauce BOM CK</t>
        </is>
      </c>
      <c r="K24" s="116" t="inlineStr">
        <is>
          <t>PEANUT ALLERGEN - dedicated batch, segregated line and labelling (see 02.05).</t>
        </is>
      </c>
    </row>
    <row r="26" ht="19.4" customHeight="1" s="106">
      <c r="A26" s="135" t="inlineStr">
        <is>
          <t>Reading the delta: a positive 'In-store vs CK' means making it in store costs the franchisee MORE than buying from the Central Kitchen at the current settings - usually because in-store labour on a small batch outweighs the CK's scale. Negative means in-store is cheaper for them. 'CK Margin Earned' is what the franchisor makes on that component, and it drops to zero the moment you switch it to IN-STORE. That trade - franchisee control versus franchisor margin - is the whole point of this tab.</t>
        </is>
      </c>
    </row>
  </sheetData>
  <sheetProtection selectLockedCells="0" selectUnlockedCells="0" sheet="1" objects="0" insertRows="1" insertHyperlinks="1" autoFilter="0" scenarios="0" formatColumns="0" deleteColumns="1" insertColumns="1" pivotTables="1" deleteRows="1" formatCells="0" formatRows="0" sort="0"/>
  <mergeCells count="3">
    <mergeCell ref="A2:K2"/>
    <mergeCell ref="A1:K1"/>
    <mergeCell ref="A26:K26"/>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N260"/>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4" customWidth="1" style="105" min="1" max="1"/>
    <col width="34" customWidth="1" style="105" min="2" max="2"/>
    <col width="22" customWidth="1" style="105" min="3" max="3"/>
    <col width="15" customWidth="1" style="105" min="4" max="4"/>
    <col width="24" customWidth="1" style="105" min="5" max="5"/>
    <col width="40" customWidth="1" style="105" min="6" max="6"/>
    <col width="9" customWidth="1" style="105" min="7" max="7"/>
    <col width="7" customWidth="1" style="105" min="8" max="8"/>
    <col width="15" customWidth="1" style="105" min="9" max="9"/>
    <col width="9" customWidth="1" style="105" min="10" max="10"/>
    <col width="14" customWidth="1" style="105" min="11" max="11"/>
    <col width="20" customWidth="1" style="105" min="12" max="12"/>
    <col width="11" customWidth="1" style="105" min="13" max="13"/>
    <col width="15" customWidth="1" style="105" min="14" max="14"/>
  </cols>
  <sheetData>
    <row r="1" ht="30" customHeight="1" s="106">
      <c r="A1" s="107" t="inlineStr">
        <is>
          <t>CORE MENU BOM  -  TIER 1  (the nine that never change, plus salads and add-ons)</t>
        </is>
      </c>
    </row>
    <row r="2" ht="18" customHeight="1" s="106">
      <c r="A2" s="108" t="inlineStr">
        <is>
          <t>One row per component. Pasta comes from 06, sauce from 07 at the CK transfer price, everything else from 04 and 05. Change a Qty and the plate cost on 12 Final Menu moves with it. Menu Mix % is pulled from 12 Final Menu; Units per 1,000 Servings is what feeds the volume maths on 13 Network Economics.</t>
        </is>
      </c>
    </row>
    <row r="4" ht="37.5" customHeight="1" s="106">
      <c r="A4" s="112" t="inlineStr">
        <is>
          <t>Menu SKU</t>
        </is>
      </c>
      <c r="B4" s="112" t="inlineStr">
        <is>
          <t>Menu Item</t>
        </is>
      </c>
      <c r="C4" s="112" t="inlineStr">
        <is>
          <t>Tier / Group</t>
        </is>
      </c>
      <c r="D4" s="112" t="inlineStr">
        <is>
          <t>Component Type</t>
        </is>
      </c>
      <c r="E4" s="112" t="inlineStr">
        <is>
          <t>Component SKU</t>
        </is>
      </c>
      <c r="F4" s="112" t="inlineStr">
        <is>
          <t>Component Description</t>
        </is>
      </c>
      <c r="G4" s="112" t="inlineStr">
        <is>
          <t>Qty</t>
        </is>
      </c>
      <c r="H4" s="112" t="inlineStr">
        <is>
          <t>Unit</t>
        </is>
      </c>
      <c r="I4" s="112" t="inlineStr">
        <is>
          <t>Unit Cost
(per base unit)</t>
        </is>
      </c>
      <c r="J4" s="112" t="inlineStr">
        <is>
          <t>Waste %</t>
        </is>
      </c>
      <c r="K4" s="112" t="inlineStr">
        <is>
          <t>Line Cost</t>
        </is>
      </c>
      <c r="L4" s="112" t="inlineStr">
        <is>
          <t>Cost Source</t>
        </is>
      </c>
      <c r="M4" s="112" t="inlineStr">
        <is>
          <t>Menu Mix %</t>
        </is>
      </c>
      <c r="N4" s="112" t="inlineStr">
        <is>
          <t>Units per
1,000 Servings</t>
        </is>
      </c>
    </row>
    <row r="5" ht="15" customHeight="1" s="106">
      <c r="A5" s="144" t="inlineStr">
        <is>
          <t>Papa's Bolognese   |   Rigatoni   |   Bokgat Base dough   |   PP-PASTA-RIG-BOL</t>
        </is>
      </c>
      <c r="B5" s="110" t="n"/>
      <c r="C5" s="110" t="n"/>
      <c r="D5" s="110" t="n"/>
      <c r="E5" s="110" t="n"/>
      <c r="F5" s="110" t="n"/>
      <c r="G5" s="110" t="n"/>
      <c r="H5" s="110" t="n"/>
      <c r="I5" s="110" t="n"/>
      <c r="J5" s="110" t="n"/>
      <c r="K5" s="110" t="n"/>
      <c r="L5" s="110" t="n"/>
      <c r="M5" s="110" t="n"/>
      <c r="N5" s="111" t="n"/>
    </row>
    <row r="6" ht="15" customHeight="1" s="106">
      <c r="A6" s="138" t="inlineStr">
        <is>
          <t>PP-PASTA-RIG-BOL</t>
        </is>
      </c>
      <c r="B6" s="138" t="inlineStr">
        <is>
          <t>Papa's Bolognese</t>
        </is>
      </c>
      <c r="C6" s="138" t="inlineStr">
        <is>
          <t>Core - Signature</t>
        </is>
      </c>
      <c r="D6" s="139" t="inlineStr">
        <is>
          <t>Pasta</t>
        </is>
      </c>
      <c r="E6" s="134" t="inlineStr">
        <is>
          <t>PP-DOUGH-BOKGAT</t>
        </is>
      </c>
      <c r="F6" s="113" t="inlineStr">
        <is>
          <t>Bokgat Base, Rigatoni - dried weight</t>
        </is>
      </c>
      <c r="G6" s="147" t="n">
        <v>111</v>
      </c>
      <c r="H6" s="164" t="inlineStr">
        <is>
          <t>g</t>
        </is>
      </c>
      <c r="I6" s="150">
        <f>IFERROR(INDEX('04 SKU Master'!$AM$5:$AM$165,MATCH($E6,'04 SKU Master'!$A$5:$A$165,0)),IFERROR(INDEX('05 Packaging Master'!$AM$5:$AM$50,MATCH($E6,'05 Packaging Master'!$A$5:$A$50,0)),IFERROR(INDEX('09 Cost Index'!$C$5:$C$24,MATCH($E6,'09 Cost Index'!$A$5:$A$24,0)),"")))</f>
        <v/>
      </c>
      <c r="J6" s="153">
        <f>'01 Control'!$C$7</f>
        <v/>
      </c>
      <c r="K6" s="150">
        <f>IF($I6="","",$G6*$I6*(1+$J6))</f>
        <v/>
      </c>
      <c r="L6" s="177">
        <f>IF(ISNUMBER(MATCH($E6,'09 Cost Index'!$A$5:$A$24,0)),"09 Cost Index",IF(ISNUMBER(MATCH($E6,'05 Packaging Master'!$A$5:$A$46,0)),"05 Packaging Master",IF(ISNUMBER(MATCH($E6,'04 SKU Master'!$A$5:$A$165,0)),"04 SKU Master","NOT FOUND")))</f>
        <v/>
      </c>
      <c r="M6" s="178">
        <f>IFERROR(INDEX('12 Final Menu'!$U$5:$U$200,MATCH($A6,'12 Final Menu'!$A$5:$A$200,0)),0)</f>
        <v/>
      </c>
      <c r="N6" s="165">
        <f>$G6*(1+$J6)*$M6*1000</f>
        <v/>
      </c>
    </row>
    <row r="7" ht="15" customHeight="1" s="106">
      <c r="A7" s="138" t="inlineStr">
        <is>
          <t>PP-PASTA-RIG-BOL</t>
        </is>
      </c>
      <c r="B7" s="138" t="inlineStr">
        <is>
          <t>Papa's Bolognese</t>
        </is>
      </c>
      <c r="C7" s="138" t="inlineStr">
        <is>
          <t>Core - Signature</t>
        </is>
      </c>
      <c r="D7" s="139" t="inlineStr">
        <is>
          <t>Sauce</t>
        </is>
      </c>
      <c r="E7" s="134" t="inlineStr">
        <is>
          <t>PP-SAUCE-BOL</t>
        </is>
      </c>
      <c r="F7" s="113" t="inlineStr">
        <is>
          <t>Bolognese ragu (CK)</t>
        </is>
      </c>
      <c r="G7" s="147" t="n">
        <v>170</v>
      </c>
      <c r="H7" s="164" t="inlineStr">
        <is>
          <t>g</t>
        </is>
      </c>
      <c r="I7" s="150">
        <f>IFERROR(INDEX('04 SKU Master'!$AM$5:$AM$165,MATCH($E7,'04 SKU Master'!$A$5:$A$165,0)),IFERROR(INDEX('05 Packaging Master'!$AM$5:$AM$50,MATCH($E7,'05 Packaging Master'!$A$5:$A$50,0)),IFERROR(INDEX('09 Cost Index'!$C$5:$C$24,MATCH($E7,'09 Cost Index'!$A$5:$A$24,0)),"")))</f>
        <v/>
      </c>
      <c r="J7" s="153">
        <f>'01 Control'!$C$7</f>
        <v/>
      </c>
      <c r="K7" s="150">
        <f>IF($I7="","",$G7*$I7*(1+$J7))</f>
        <v/>
      </c>
      <c r="L7" s="177">
        <f>IF(ISNUMBER(MATCH($E7,'09 Cost Index'!$A$5:$A$24,0)),"09 Cost Index",IF(ISNUMBER(MATCH($E7,'05 Packaging Master'!$A$5:$A$46,0)),"05 Packaging Master",IF(ISNUMBER(MATCH($E7,'04 SKU Master'!$A$5:$A$165,0)),"04 SKU Master","NOT FOUND")))</f>
        <v/>
      </c>
      <c r="M7" s="178">
        <f>IFERROR(INDEX('12 Final Menu'!$U$5:$U$200,MATCH($A7,'12 Final Menu'!$A$5:$A$200,0)),0)</f>
        <v/>
      </c>
      <c r="N7" s="165">
        <f>$G7*(1+$J7)*$M7*1000</f>
        <v/>
      </c>
    </row>
    <row r="8" ht="15" customHeight="1" s="106">
      <c r="A8" s="138" t="inlineStr">
        <is>
          <t>PP-PASTA-RIG-BOL</t>
        </is>
      </c>
      <c r="B8" s="138" t="inlineStr">
        <is>
          <t>Papa's Bolognese</t>
        </is>
      </c>
      <c r="C8" s="138" t="inlineStr">
        <is>
          <t>Core - Signature</t>
        </is>
      </c>
      <c r="D8" s="139" t="inlineStr">
        <is>
          <t>Finish</t>
        </is>
      </c>
      <c r="E8" s="134" t="inlineStr">
        <is>
          <t>PP-PARM</t>
        </is>
      </c>
      <c r="F8" s="113" t="inlineStr">
        <is>
          <t>Grated hard cheese</t>
        </is>
      </c>
      <c r="G8" s="147" t="n">
        <v>12</v>
      </c>
      <c r="H8" s="164" t="inlineStr">
        <is>
          <t>g</t>
        </is>
      </c>
      <c r="I8" s="150">
        <f>IFERROR(INDEX('04 SKU Master'!$AM$5:$AM$165,MATCH($E8,'04 SKU Master'!$A$5:$A$165,0)),IFERROR(INDEX('05 Packaging Master'!$AM$5:$AM$50,MATCH($E8,'05 Packaging Master'!$A$5:$A$50,0)),IFERROR(INDEX('09 Cost Index'!$C$5:$C$24,MATCH($E8,'09 Cost Index'!$A$5:$A$24,0)),"")))</f>
        <v/>
      </c>
      <c r="J8" s="153">
        <f>'01 Control'!$C$7</f>
        <v/>
      </c>
      <c r="K8" s="150">
        <f>IF($I8="","",$G8*$I8*(1+$J8))</f>
        <v/>
      </c>
      <c r="L8" s="177">
        <f>IF(ISNUMBER(MATCH($E8,'09 Cost Index'!$A$5:$A$24,0)),"09 Cost Index",IF(ISNUMBER(MATCH($E8,'05 Packaging Master'!$A$5:$A$46,0)),"05 Packaging Master",IF(ISNUMBER(MATCH($E8,'04 SKU Master'!$A$5:$A$165,0)),"04 SKU Master","NOT FOUND")))</f>
        <v/>
      </c>
      <c r="M8" s="178">
        <f>IFERROR(INDEX('12 Final Menu'!$U$5:$U$200,MATCH($A8,'12 Final Menu'!$A$5:$A$200,0)),0)</f>
        <v/>
      </c>
      <c r="N8" s="165">
        <f>$G8*(1+$J8)*$M8*1000</f>
        <v/>
      </c>
    </row>
    <row r="9" ht="15" customHeight="1" s="106">
      <c r="A9" s="138" t="inlineStr">
        <is>
          <t>PP-PASTA-RIG-BOL</t>
        </is>
      </c>
      <c r="B9" s="138" t="inlineStr">
        <is>
          <t>Papa's Bolognese</t>
        </is>
      </c>
      <c r="C9" s="138" t="inlineStr">
        <is>
          <t>Core - Signature</t>
        </is>
      </c>
      <c r="D9" s="139" t="inlineStr">
        <is>
          <t>Finish</t>
        </is>
      </c>
      <c r="E9" s="134" t="inlineStr">
        <is>
          <t>PP-HERB-BASIL-FRESH</t>
        </is>
      </c>
      <c r="F9" s="113" t="inlineStr">
        <is>
          <t>Fresh basil</t>
        </is>
      </c>
      <c r="G9" s="147" t="n">
        <v>3</v>
      </c>
      <c r="H9" s="164" t="inlineStr">
        <is>
          <t>g</t>
        </is>
      </c>
      <c r="I9" s="150">
        <f>IFERROR(INDEX('04 SKU Master'!$AM$5:$AM$165,MATCH($E9,'04 SKU Master'!$A$5:$A$165,0)),IFERROR(INDEX('05 Packaging Master'!$AM$5:$AM$50,MATCH($E9,'05 Packaging Master'!$A$5:$A$50,0)),IFERROR(INDEX('09 Cost Index'!$C$5:$C$24,MATCH($E9,'09 Cost Index'!$A$5:$A$24,0)),"")))</f>
        <v/>
      </c>
      <c r="J9" s="153">
        <f>'01 Control'!$C$7</f>
        <v/>
      </c>
      <c r="K9" s="150">
        <f>IF($I9="","",$G9*$I9*(1+$J9))</f>
        <v/>
      </c>
      <c r="L9" s="177">
        <f>IF(ISNUMBER(MATCH($E9,'09 Cost Index'!$A$5:$A$24,0)),"09 Cost Index",IF(ISNUMBER(MATCH($E9,'05 Packaging Master'!$A$5:$A$46,0)),"05 Packaging Master",IF(ISNUMBER(MATCH($E9,'04 SKU Master'!$A$5:$A$165,0)),"04 SKU Master","NOT FOUND")))</f>
        <v/>
      </c>
      <c r="M9" s="178">
        <f>IFERROR(INDEX('12 Final Menu'!$U$5:$U$200,MATCH($A9,'12 Final Menu'!$A$5:$A$200,0)),0)</f>
        <v/>
      </c>
      <c r="N9" s="165">
        <f>$G9*(1+$J9)*$M9*1000</f>
        <v/>
      </c>
    </row>
    <row r="10" ht="15" customHeight="1" s="106">
      <c r="A10" s="138" t="inlineStr">
        <is>
          <t>PP-PASTA-RIG-BOL</t>
        </is>
      </c>
      <c r="B10" s="138" t="inlineStr">
        <is>
          <t>Papa's Bolognese</t>
        </is>
      </c>
      <c r="C10" s="138" t="inlineStr">
        <is>
          <t>Core - Signature</t>
        </is>
      </c>
      <c r="D10" s="139" t="inlineStr">
        <is>
          <t>Packaging</t>
        </is>
      </c>
      <c r="E10" s="134" t="inlineStr">
        <is>
          <t>PP-PACK-TUB</t>
        </is>
      </c>
      <c r="F10" s="113" t="inlineStr">
        <is>
          <t>Takeaway pasta tub</t>
        </is>
      </c>
      <c r="G10" s="147" t="n">
        <v>1</v>
      </c>
      <c r="H10" s="164" t="inlineStr">
        <is>
          <t>ea</t>
        </is>
      </c>
      <c r="I10" s="150">
        <f>IFERROR(INDEX('04 SKU Master'!$AM$5:$AM$165,MATCH($E10,'04 SKU Master'!$A$5:$A$165,0)),IFERROR(INDEX('05 Packaging Master'!$AM$5:$AM$50,MATCH($E10,'05 Packaging Master'!$A$5:$A$50,0)),IFERROR(INDEX('09 Cost Index'!$C$5:$C$24,MATCH($E10,'09 Cost Index'!$A$5:$A$24,0)),"")))</f>
        <v/>
      </c>
      <c r="J10" s="153">
        <f>'01 Control'!$C$7</f>
        <v/>
      </c>
      <c r="K10" s="150">
        <f>IF($I10="","",$G10*$I10*(1+$J10))</f>
        <v/>
      </c>
      <c r="L10" s="177">
        <f>IF(ISNUMBER(MATCH($E10,'09 Cost Index'!$A$5:$A$24,0)),"09 Cost Index",IF(ISNUMBER(MATCH($E10,'05 Packaging Master'!$A$5:$A$46,0)),"05 Packaging Master",IF(ISNUMBER(MATCH($E10,'04 SKU Master'!$A$5:$A$165,0)),"04 SKU Master","NOT FOUND")))</f>
        <v/>
      </c>
      <c r="M10" s="178">
        <f>IFERROR(INDEX('12 Final Menu'!$U$5:$U$200,MATCH($A10,'12 Final Menu'!$A$5:$A$200,0)),0)</f>
        <v/>
      </c>
      <c r="N10" s="165">
        <f>$G10*(1+$J10)*$M10*1000</f>
        <v/>
      </c>
    </row>
    <row r="11" ht="15" customHeight="1" s="106">
      <c r="A11" s="138" t="inlineStr">
        <is>
          <t>PP-PASTA-RIG-BOL</t>
        </is>
      </c>
      <c r="B11" s="138" t="inlineStr">
        <is>
          <t>Papa's Bolognese</t>
        </is>
      </c>
      <c r="C11" s="138" t="inlineStr">
        <is>
          <t>Core - Signature</t>
        </is>
      </c>
      <c r="D11" s="139" t="inlineStr">
        <is>
          <t>Packaging</t>
        </is>
      </c>
      <c r="E11" s="134" t="inlineStr">
        <is>
          <t>PP-PACK-LID</t>
        </is>
      </c>
      <c r="F11" s="113" t="inlineStr">
        <is>
          <t>Bowl lid</t>
        </is>
      </c>
      <c r="G11" s="147" t="n">
        <v>1</v>
      </c>
      <c r="H11" s="164" t="inlineStr">
        <is>
          <t>ea</t>
        </is>
      </c>
      <c r="I11" s="150">
        <f>IFERROR(INDEX('04 SKU Master'!$AM$5:$AM$165,MATCH($E11,'04 SKU Master'!$A$5:$A$165,0)),IFERROR(INDEX('05 Packaging Master'!$AM$5:$AM$50,MATCH($E11,'05 Packaging Master'!$A$5:$A$50,0)),IFERROR(INDEX('09 Cost Index'!$C$5:$C$24,MATCH($E11,'09 Cost Index'!$A$5:$A$24,0)),"")))</f>
        <v/>
      </c>
      <c r="J11" s="153">
        <f>'01 Control'!$C$7</f>
        <v/>
      </c>
      <c r="K11" s="150">
        <f>IF($I11="","",$G11*$I11*(1+$J11))</f>
        <v/>
      </c>
      <c r="L11" s="177">
        <f>IF(ISNUMBER(MATCH($E11,'09 Cost Index'!$A$5:$A$24,0)),"09 Cost Index",IF(ISNUMBER(MATCH($E11,'05 Packaging Master'!$A$5:$A$46,0)),"05 Packaging Master",IF(ISNUMBER(MATCH($E11,'04 SKU Master'!$A$5:$A$165,0)),"04 SKU Master","NOT FOUND")))</f>
        <v/>
      </c>
      <c r="M11" s="178">
        <f>IFERROR(INDEX('12 Final Menu'!$U$5:$U$200,MATCH($A11,'12 Final Menu'!$A$5:$A$200,0)),0)</f>
        <v/>
      </c>
      <c r="N11" s="165">
        <f>$G11*(1+$J11)*$M11*1000</f>
        <v/>
      </c>
    </row>
    <row r="12" ht="15" customHeight="1" s="106">
      <c r="A12" s="138" t="inlineStr">
        <is>
          <t>PP-PASTA-RIG-BOL</t>
        </is>
      </c>
      <c r="B12" s="138" t="inlineStr">
        <is>
          <t>Papa's Bolognese</t>
        </is>
      </c>
      <c r="C12" s="138" t="inlineStr">
        <is>
          <t>Core - Signature</t>
        </is>
      </c>
      <c r="D12" s="139" t="inlineStr">
        <is>
          <t>Packaging</t>
        </is>
      </c>
      <c r="E12" s="134" t="inlineStr">
        <is>
          <t>PP-PACK-CUTLERY</t>
        </is>
      </c>
      <c r="F12" s="113" t="inlineStr">
        <is>
          <t>Cutlery set</t>
        </is>
      </c>
      <c r="G12" s="147" t="n">
        <v>1</v>
      </c>
      <c r="H12" s="164" t="inlineStr">
        <is>
          <t>ea</t>
        </is>
      </c>
      <c r="I12" s="150">
        <f>IFERROR(INDEX('04 SKU Master'!$AM$5:$AM$165,MATCH($E12,'04 SKU Master'!$A$5:$A$165,0)),IFERROR(INDEX('05 Packaging Master'!$AM$5:$AM$50,MATCH($E12,'05 Packaging Master'!$A$5:$A$50,0)),IFERROR(INDEX('09 Cost Index'!$C$5:$C$24,MATCH($E12,'09 Cost Index'!$A$5:$A$24,0)),"")))</f>
        <v/>
      </c>
      <c r="J12" s="153">
        <f>'01 Control'!$C$7</f>
        <v/>
      </c>
      <c r="K12" s="150">
        <f>IF($I12="","",$G12*$I12*(1+$J12))</f>
        <v/>
      </c>
      <c r="L12" s="177">
        <f>IF(ISNUMBER(MATCH($E12,'09 Cost Index'!$A$5:$A$24,0)),"09 Cost Index",IF(ISNUMBER(MATCH($E12,'05 Packaging Master'!$A$5:$A$46,0)),"05 Packaging Master",IF(ISNUMBER(MATCH($E12,'04 SKU Master'!$A$5:$A$165,0)),"04 SKU Master","NOT FOUND")))</f>
        <v/>
      </c>
      <c r="M12" s="178">
        <f>IFERROR(INDEX('12 Final Menu'!$U$5:$U$200,MATCH($A12,'12 Final Menu'!$A$5:$A$200,0)),0)</f>
        <v/>
      </c>
      <c r="N12" s="165">
        <f>$G12*(1+$J12)*$M12*1000</f>
        <v/>
      </c>
    </row>
    <row r="13" ht="15" customHeight="1" s="106">
      <c r="A13" s="138" t="inlineStr">
        <is>
          <t>PP-PASTA-RIG-BOL</t>
        </is>
      </c>
      <c r="B13" s="138" t="inlineStr">
        <is>
          <t>Papa's Bolognese</t>
        </is>
      </c>
      <c r="C13" s="138" t="inlineStr">
        <is>
          <t>Core - Signature</t>
        </is>
      </c>
      <c r="D13" s="139" t="inlineStr">
        <is>
          <t>Packaging</t>
        </is>
      </c>
      <c r="E13" s="134" t="inlineStr">
        <is>
          <t>PP-PACK-NAPKIN</t>
        </is>
      </c>
      <c r="F13" s="113" t="inlineStr">
        <is>
          <t>Branded napkin</t>
        </is>
      </c>
      <c r="G13" s="147" t="n">
        <v>1</v>
      </c>
      <c r="H13" s="164" t="inlineStr">
        <is>
          <t>ea</t>
        </is>
      </c>
      <c r="I13" s="150">
        <f>IFERROR(INDEX('04 SKU Master'!$AM$5:$AM$165,MATCH($E13,'04 SKU Master'!$A$5:$A$165,0)),IFERROR(INDEX('05 Packaging Master'!$AM$5:$AM$50,MATCH($E13,'05 Packaging Master'!$A$5:$A$50,0)),IFERROR(INDEX('09 Cost Index'!$C$5:$C$24,MATCH($E13,'09 Cost Index'!$A$5:$A$24,0)),"")))</f>
        <v/>
      </c>
      <c r="J13" s="153">
        <f>'01 Control'!$C$7</f>
        <v/>
      </c>
      <c r="K13" s="150">
        <f>IF($I13="","",$G13*$I13*(1+$J13))</f>
        <v/>
      </c>
      <c r="L13" s="177">
        <f>IF(ISNUMBER(MATCH($E13,'09 Cost Index'!$A$5:$A$24,0)),"09 Cost Index",IF(ISNUMBER(MATCH($E13,'05 Packaging Master'!$A$5:$A$46,0)),"05 Packaging Master",IF(ISNUMBER(MATCH($E13,'04 SKU Master'!$A$5:$A$165,0)),"04 SKU Master","NOT FOUND")))</f>
        <v/>
      </c>
      <c r="M13" s="178">
        <f>IFERROR(INDEX('12 Final Menu'!$U$5:$U$200,MATCH($A13,'12 Final Menu'!$A$5:$A$200,0)),0)</f>
        <v/>
      </c>
      <c r="N13" s="165">
        <f>$G13*(1+$J13)*$M13*1000</f>
        <v/>
      </c>
    </row>
    <row r="15" ht="15" customHeight="1" s="106">
      <c r="A15" s="144" t="inlineStr">
        <is>
          <t>The Carbonara   |   Spaghetti   |   Bokgat Base dough   |   PP-PASTA-SPA-CAR</t>
        </is>
      </c>
      <c r="B15" s="110" t="n"/>
      <c r="C15" s="110" t="n"/>
      <c r="D15" s="110" t="n"/>
      <c r="E15" s="110" t="n"/>
      <c r="F15" s="110" t="n"/>
      <c r="G15" s="110" t="n"/>
      <c r="H15" s="110" t="n"/>
      <c r="I15" s="110" t="n"/>
      <c r="J15" s="110" t="n"/>
      <c r="K15" s="110" t="n"/>
      <c r="L15" s="110" t="n"/>
      <c r="M15" s="110" t="n"/>
      <c r="N15" s="111" t="n"/>
    </row>
    <row r="16" ht="15" customHeight="1" s="106">
      <c r="A16" s="138" t="inlineStr">
        <is>
          <t>PP-PASTA-SPA-CAR</t>
        </is>
      </c>
      <c r="B16" s="138" t="inlineStr">
        <is>
          <t>The Carbonara</t>
        </is>
      </c>
      <c r="C16" s="138" t="inlineStr">
        <is>
          <t>Core - Signature</t>
        </is>
      </c>
      <c r="D16" s="139" t="inlineStr">
        <is>
          <t>Pasta</t>
        </is>
      </c>
      <c r="E16" s="134" t="inlineStr">
        <is>
          <t>PP-DOUGH-BOKGAT</t>
        </is>
      </c>
      <c r="F16" s="113" t="inlineStr">
        <is>
          <t>Bokgat Base, Spaghetti - dried weight</t>
        </is>
      </c>
      <c r="G16" s="147" t="n">
        <v>111</v>
      </c>
      <c r="H16" s="164" t="inlineStr">
        <is>
          <t>g</t>
        </is>
      </c>
      <c r="I16" s="150">
        <f>IFERROR(INDEX('04 SKU Master'!$AM$5:$AM$165,MATCH($E16,'04 SKU Master'!$A$5:$A$165,0)),IFERROR(INDEX('05 Packaging Master'!$AM$5:$AM$50,MATCH($E16,'05 Packaging Master'!$A$5:$A$50,0)),IFERROR(INDEX('09 Cost Index'!$C$5:$C$24,MATCH($E16,'09 Cost Index'!$A$5:$A$24,0)),"")))</f>
        <v/>
      </c>
      <c r="J16" s="153">
        <f>'01 Control'!$C$7</f>
        <v/>
      </c>
      <c r="K16" s="150">
        <f>IF($I16="","",$G16*$I16*(1+$J16))</f>
        <v/>
      </c>
      <c r="L16" s="177">
        <f>IF(ISNUMBER(MATCH($E16,'09 Cost Index'!$A$5:$A$24,0)),"09 Cost Index",IF(ISNUMBER(MATCH($E16,'05 Packaging Master'!$A$5:$A$46,0)),"05 Packaging Master",IF(ISNUMBER(MATCH($E16,'04 SKU Master'!$A$5:$A$165,0)),"04 SKU Master","NOT FOUND")))</f>
        <v/>
      </c>
      <c r="M16" s="178">
        <f>IFERROR(INDEX('12 Final Menu'!$U$5:$U$200,MATCH($A16,'12 Final Menu'!$A$5:$A$200,0)),0)</f>
        <v/>
      </c>
      <c r="N16" s="165">
        <f>$G16*(1+$J16)*$M16*1000</f>
        <v/>
      </c>
    </row>
    <row r="17" ht="15" customHeight="1" s="106">
      <c r="A17" s="138" t="inlineStr">
        <is>
          <t>PP-PASTA-SPA-CAR</t>
        </is>
      </c>
      <c r="B17" s="138" t="inlineStr">
        <is>
          <t>The Carbonara</t>
        </is>
      </c>
      <c r="C17" s="138" t="inlineStr">
        <is>
          <t>Core - Signature</t>
        </is>
      </c>
      <c r="D17" s="139" t="inlineStr">
        <is>
          <t>Sauce</t>
        </is>
      </c>
      <c r="E17" s="134" t="inlineStr">
        <is>
          <t>PP-SAUCE-CAR</t>
        </is>
      </c>
      <c r="F17" s="113" t="inlineStr">
        <is>
          <t>Carbonara egg-pecorino base (CK)</t>
        </is>
      </c>
      <c r="G17" s="147" t="n">
        <v>90</v>
      </c>
      <c r="H17" s="164" t="inlineStr">
        <is>
          <t>g</t>
        </is>
      </c>
      <c r="I17" s="150">
        <f>IFERROR(INDEX('04 SKU Master'!$AM$5:$AM$165,MATCH($E17,'04 SKU Master'!$A$5:$A$165,0)),IFERROR(INDEX('05 Packaging Master'!$AM$5:$AM$50,MATCH($E17,'05 Packaging Master'!$A$5:$A$50,0)),IFERROR(INDEX('09 Cost Index'!$C$5:$C$24,MATCH($E17,'09 Cost Index'!$A$5:$A$24,0)),"")))</f>
        <v/>
      </c>
      <c r="J17" s="153">
        <f>'01 Control'!$C$7</f>
        <v/>
      </c>
      <c r="K17" s="150">
        <f>IF($I17="","",$G17*$I17*(1+$J17))</f>
        <v/>
      </c>
      <c r="L17" s="177">
        <f>IF(ISNUMBER(MATCH($E17,'09 Cost Index'!$A$5:$A$24,0)),"09 Cost Index",IF(ISNUMBER(MATCH($E17,'05 Packaging Master'!$A$5:$A$46,0)),"05 Packaging Master",IF(ISNUMBER(MATCH($E17,'04 SKU Master'!$A$5:$A$165,0)),"04 SKU Master","NOT FOUND")))</f>
        <v/>
      </c>
      <c r="M17" s="178">
        <f>IFERROR(INDEX('12 Final Menu'!$U$5:$U$200,MATCH($A17,'12 Final Menu'!$A$5:$A$200,0)),0)</f>
        <v/>
      </c>
      <c r="N17" s="165">
        <f>$G17*(1+$J17)*$M17*1000</f>
        <v/>
      </c>
    </row>
    <row r="18" ht="15" customHeight="1" s="106">
      <c r="A18" s="138" t="inlineStr">
        <is>
          <t>PP-PASTA-SPA-CAR</t>
        </is>
      </c>
      <c r="B18" s="138" t="inlineStr">
        <is>
          <t>The Carbonara</t>
        </is>
      </c>
      <c r="C18" s="138" t="inlineStr">
        <is>
          <t>Core - Signature</t>
        </is>
      </c>
      <c r="D18" s="139" t="inlineStr">
        <is>
          <t>Protein</t>
        </is>
      </c>
      <c r="E18" s="134" t="inlineStr">
        <is>
          <t>PP-BEEF-BACON</t>
        </is>
      </c>
      <c r="F18" s="113" t="inlineStr">
        <is>
          <t>Smoky beef bacon</t>
        </is>
      </c>
      <c r="G18" s="147" t="n">
        <v>45</v>
      </c>
      <c r="H18" s="164" t="inlineStr">
        <is>
          <t>g</t>
        </is>
      </c>
      <c r="I18" s="150">
        <f>IFERROR(INDEX('04 SKU Master'!$AM$5:$AM$165,MATCH($E18,'04 SKU Master'!$A$5:$A$165,0)),IFERROR(INDEX('05 Packaging Master'!$AM$5:$AM$50,MATCH($E18,'05 Packaging Master'!$A$5:$A$50,0)),IFERROR(INDEX('09 Cost Index'!$C$5:$C$24,MATCH($E18,'09 Cost Index'!$A$5:$A$24,0)),"")))</f>
        <v/>
      </c>
      <c r="J18" s="153">
        <f>'01 Control'!$C$7</f>
        <v/>
      </c>
      <c r="K18" s="150">
        <f>IF($I18="","",$G18*$I18*(1+$J18))</f>
        <v/>
      </c>
      <c r="L18" s="177">
        <f>IF(ISNUMBER(MATCH($E18,'09 Cost Index'!$A$5:$A$24,0)),"09 Cost Index",IF(ISNUMBER(MATCH($E18,'05 Packaging Master'!$A$5:$A$46,0)),"05 Packaging Master",IF(ISNUMBER(MATCH($E18,'04 SKU Master'!$A$5:$A$165,0)),"04 SKU Master","NOT FOUND")))</f>
        <v/>
      </c>
      <c r="M18" s="178">
        <f>IFERROR(INDEX('12 Final Menu'!$U$5:$U$200,MATCH($A18,'12 Final Menu'!$A$5:$A$200,0)),0)</f>
        <v/>
      </c>
      <c r="N18" s="165">
        <f>$G18*(1+$J18)*$M18*1000</f>
        <v/>
      </c>
    </row>
    <row r="19" ht="15" customHeight="1" s="106">
      <c r="A19" s="138" t="inlineStr">
        <is>
          <t>PP-PASTA-SPA-CAR</t>
        </is>
      </c>
      <c r="B19" s="138" t="inlineStr">
        <is>
          <t>The Carbonara</t>
        </is>
      </c>
      <c r="C19" s="138" t="inlineStr">
        <is>
          <t>Core - Signature</t>
        </is>
      </c>
      <c r="D19" s="139" t="inlineStr">
        <is>
          <t>Finish</t>
        </is>
      </c>
      <c r="E19" s="134" t="inlineStr">
        <is>
          <t>PP-PECORINO</t>
        </is>
      </c>
      <c r="F19" s="113" t="inlineStr">
        <is>
          <t>Pecorino, grated</t>
        </is>
      </c>
      <c r="G19" s="147" t="n">
        <v>12</v>
      </c>
      <c r="H19" s="164" t="inlineStr">
        <is>
          <t>g</t>
        </is>
      </c>
      <c r="I19" s="150">
        <f>IFERROR(INDEX('04 SKU Master'!$AM$5:$AM$165,MATCH($E19,'04 SKU Master'!$A$5:$A$165,0)),IFERROR(INDEX('05 Packaging Master'!$AM$5:$AM$50,MATCH($E19,'05 Packaging Master'!$A$5:$A$50,0)),IFERROR(INDEX('09 Cost Index'!$C$5:$C$24,MATCH($E19,'09 Cost Index'!$A$5:$A$24,0)),"")))</f>
        <v/>
      </c>
      <c r="J19" s="153">
        <f>'01 Control'!$C$7</f>
        <v/>
      </c>
      <c r="K19" s="150">
        <f>IF($I19="","",$G19*$I19*(1+$J19))</f>
        <v/>
      </c>
      <c r="L19" s="177">
        <f>IF(ISNUMBER(MATCH($E19,'09 Cost Index'!$A$5:$A$24,0)),"09 Cost Index",IF(ISNUMBER(MATCH($E19,'05 Packaging Master'!$A$5:$A$46,0)),"05 Packaging Master",IF(ISNUMBER(MATCH($E19,'04 SKU Master'!$A$5:$A$165,0)),"04 SKU Master","NOT FOUND")))</f>
        <v/>
      </c>
      <c r="M19" s="178">
        <f>IFERROR(INDEX('12 Final Menu'!$U$5:$U$200,MATCH($A19,'12 Final Menu'!$A$5:$A$200,0)),0)</f>
        <v/>
      </c>
      <c r="N19" s="165">
        <f>$G19*(1+$J19)*$M19*1000</f>
        <v/>
      </c>
    </row>
    <row r="20" ht="15" customHeight="1" s="106">
      <c r="A20" s="138" t="inlineStr">
        <is>
          <t>PP-PASTA-SPA-CAR</t>
        </is>
      </c>
      <c r="B20" s="138" t="inlineStr">
        <is>
          <t>The Carbonara</t>
        </is>
      </c>
      <c r="C20" s="138" t="inlineStr">
        <is>
          <t>Core - Signature</t>
        </is>
      </c>
      <c r="D20" s="139" t="inlineStr">
        <is>
          <t>Finish</t>
        </is>
      </c>
      <c r="E20" s="134" t="inlineStr">
        <is>
          <t>PP-PEPPER-BLACK</t>
        </is>
      </c>
      <c r="F20" s="113" t="inlineStr">
        <is>
          <t>Cracked black pepper</t>
        </is>
      </c>
      <c r="G20" s="147" t="n">
        <v>1</v>
      </c>
      <c r="H20" s="164" t="inlineStr">
        <is>
          <t>g</t>
        </is>
      </c>
      <c r="I20" s="150">
        <f>IFERROR(INDEX('04 SKU Master'!$AM$5:$AM$165,MATCH($E20,'04 SKU Master'!$A$5:$A$165,0)),IFERROR(INDEX('05 Packaging Master'!$AM$5:$AM$50,MATCH($E20,'05 Packaging Master'!$A$5:$A$50,0)),IFERROR(INDEX('09 Cost Index'!$C$5:$C$24,MATCH($E20,'09 Cost Index'!$A$5:$A$24,0)),"")))</f>
        <v/>
      </c>
      <c r="J20" s="153">
        <f>'01 Control'!$C$7</f>
        <v/>
      </c>
      <c r="K20" s="150">
        <f>IF($I20="","",$G20*$I20*(1+$J20))</f>
        <v/>
      </c>
      <c r="L20" s="177">
        <f>IF(ISNUMBER(MATCH($E20,'09 Cost Index'!$A$5:$A$24,0)),"09 Cost Index",IF(ISNUMBER(MATCH($E20,'05 Packaging Master'!$A$5:$A$46,0)),"05 Packaging Master",IF(ISNUMBER(MATCH($E20,'04 SKU Master'!$A$5:$A$165,0)),"04 SKU Master","NOT FOUND")))</f>
        <v/>
      </c>
      <c r="M20" s="178">
        <f>IFERROR(INDEX('12 Final Menu'!$U$5:$U$200,MATCH($A20,'12 Final Menu'!$A$5:$A$200,0)),0)</f>
        <v/>
      </c>
      <c r="N20" s="165">
        <f>$G20*(1+$J20)*$M20*1000</f>
        <v/>
      </c>
    </row>
    <row r="21" ht="15" customHeight="1" s="106">
      <c r="A21" s="138" t="inlineStr">
        <is>
          <t>PP-PASTA-SPA-CAR</t>
        </is>
      </c>
      <c r="B21" s="138" t="inlineStr">
        <is>
          <t>The Carbonara</t>
        </is>
      </c>
      <c r="C21" s="138" t="inlineStr">
        <is>
          <t>Core - Signature</t>
        </is>
      </c>
      <c r="D21" s="139" t="inlineStr">
        <is>
          <t>Packaging</t>
        </is>
      </c>
      <c r="E21" s="134" t="inlineStr">
        <is>
          <t>PP-PACK-TUB</t>
        </is>
      </c>
      <c r="F21" s="113" t="inlineStr">
        <is>
          <t>Takeaway pasta tub</t>
        </is>
      </c>
      <c r="G21" s="147" t="n">
        <v>1</v>
      </c>
      <c r="H21" s="164" t="inlineStr">
        <is>
          <t>ea</t>
        </is>
      </c>
      <c r="I21" s="150">
        <f>IFERROR(INDEX('04 SKU Master'!$AM$5:$AM$165,MATCH($E21,'04 SKU Master'!$A$5:$A$165,0)),IFERROR(INDEX('05 Packaging Master'!$AM$5:$AM$50,MATCH($E21,'05 Packaging Master'!$A$5:$A$50,0)),IFERROR(INDEX('09 Cost Index'!$C$5:$C$24,MATCH($E21,'09 Cost Index'!$A$5:$A$24,0)),"")))</f>
        <v/>
      </c>
      <c r="J21" s="153">
        <f>'01 Control'!$C$7</f>
        <v/>
      </c>
      <c r="K21" s="150">
        <f>IF($I21="","",$G21*$I21*(1+$J21))</f>
        <v/>
      </c>
      <c r="L21" s="177">
        <f>IF(ISNUMBER(MATCH($E21,'09 Cost Index'!$A$5:$A$24,0)),"09 Cost Index",IF(ISNUMBER(MATCH($E21,'05 Packaging Master'!$A$5:$A$46,0)),"05 Packaging Master",IF(ISNUMBER(MATCH($E21,'04 SKU Master'!$A$5:$A$165,0)),"04 SKU Master","NOT FOUND")))</f>
        <v/>
      </c>
      <c r="M21" s="178">
        <f>IFERROR(INDEX('12 Final Menu'!$U$5:$U$200,MATCH($A21,'12 Final Menu'!$A$5:$A$200,0)),0)</f>
        <v/>
      </c>
      <c r="N21" s="165">
        <f>$G21*(1+$J21)*$M21*1000</f>
        <v/>
      </c>
    </row>
    <row r="22" ht="15" customHeight="1" s="106">
      <c r="A22" s="138" t="inlineStr">
        <is>
          <t>PP-PASTA-SPA-CAR</t>
        </is>
      </c>
      <c r="B22" s="138" t="inlineStr">
        <is>
          <t>The Carbonara</t>
        </is>
      </c>
      <c r="C22" s="138" t="inlineStr">
        <is>
          <t>Core - Signature</t>
        </is>
      </c>
      <c r="D22" s="139" t="inlineStr">
        <is>
          <t>Packaging</t>
        </is>
      </c>
      <c r="E22" s="134" t="inlineStr">
        <is>
          <t>PP-PACK-LID</t>
        </is>
      </c>
      <c r="F22" s="113" t="inlineStr">
        <is>
          <t>Bowl lid</t>
        </is>
      </c>
      <c r="G22" s="147" t="n">
        <v>1</v>
      </c>
      <c r="H22" s="164" t="inlineStr">
        <is>
          <t>ea</t>
        </is>
      </c>
      <c r="I22" s="150">
        <f>IFERROR(INDEX('04 SKU Master'!$AM$5:$AM$165,MATCH($E22,'04 SKU Master'!$A$5:$A$165,0)),IFERROR(INDEX('05 Packaging Master'!$AM$5:$AM$50,MATCH($E22,'05 Packaging Master'!$A$5:$A$50,0)),IFERROR(INDEX('09 Cost Index'!$C$5:$C$24,MATCH($E22,'09 Cost Index'!$A$5:$A$24,0)),"")))</f>
        <v/>
      </c>
      <c r="J22" s="153">
        <f>'01 Control'!$C$7</f>
        <v/>
      </c>
      <c r="K22" s="150">
        <f>IF($I22="","",$G22*$I22*(1+$J22))</f>
        <v/>
      </c>
      <c r="L22" s="177">
        <f>IF(ISNUMBER(MATCH($E22,'09 Cost Index'!$A$5:$A$24,0)),"09 Cost Index",IF(ISNUMBER(MATCH($E22,'05 Packaging Master'!$A$5:$A$46,0)),"05 Packaging Master",IF(ISNUMBER(MATCH($E22,'04 SKU Master'!$A$5:$A$165,0)),"04 SKU Master","NOT FOUND")))</f>
        <v/>
      </c>
      <c r="M22" s="178">
        <f>IFERROR(INDEX('12 Final Menu'!$U$5:$U$200,MATCH($A22,'12 Final Menu'!$A$5:$A$200,0)),0)</f>
        <v/>
      </c>
      <c r="N22" s="165">
        <f>$G22*(1+$J22)*$M22*1000</f>
        <v/>
      </c>
    </row>
    <row r="23" ht="15" customHeight="1" s="106">
      <c r="A23" s="138" t="inlineStr">
        <is>
          <t>PP-PASTA-SPA-CAR</t>
        </is>
      </c>
      <c r="B23" s="138" t="inlineStr">
        <is>
          <t>The Carbonara</t>
        </is>
      </c>
      <c r="C23" s="138" t="inlineStr">
        <is>
          <t>Core - Signature</t>
        </is>
      </c>
      <c r="D23" s="139" t="inlineStr">
        <is>
          <t>Packaging</t>
        </is>
      </c>
      <c r="E23" s="134" t="inlineStr">
        <is>
          <t>PP-PACK-CUTLERY</t>
        </is>
      </c>
      <c r="F23" s="113" t="inlineStr">
        <is>
          <t>Cutlery set</t>
        </is>
      </c>
      <c r="G23" s="147" t="n">
        <v>1</v>
      </c>
      <c r="H23" s="164" t="inlineStr">
        <is>
          <t>ea</t>
        </is>
      </c>
      <c r="I23" s="150">
        <f>IFERROR(INDEX('04 SKU Master'!$AM$5:$AM$165,MATCH($E23,'04 SKU Master'!$A$5:$A$165,0)),IFERROR(INDEX('05 Packaging Master'!$AM$5:$AM$50,MATCH($E23,'05 Packaging Master'!$A$5:$A$50,0)),IFERROR(INDEX('09 Cost Index'!$C$5:$C$24,MATCH($E23,'09 Cost Index'!$A$5:$A$24,0)),"")))</f>
        <v/>
      </c>
      <c r="J23" s="153">
        <f>'01 Control'!$C$7</f>
        <v/>
      </c>
      <c r="K23" s="150">
        <f>IF($I23="","",$G23*$I23*(1+$J23))</f>
        <v/>
      </c>
      <c r="L23" s="177">
        <f>IF(ISNUMBER(MATCH($E23,'09 Cost Index'!$A$5:$A$24,0)),"09 Cost Index",IF(ISNUMBER(MATCH($E23,'05 Packaging Master'!$A$5:$A$46,0)),"05 Packaging Master",IF(ISNUMBER(MATCH($E23,'04 SKU Master'!$A$5:$A$165,0)),"04 SKU Master","NOT FOUND")))</f>
        <v/>
      </c>
      <c r="M23" s="178">
        <f>IFERROR(INDEX('12 Final Menu'!$U$5:$U$200,MATCH($A23,'12 Final Menu'!$A$5:$A$200,0)),0)</f>
        <v/>
      </c>
      <c r="N23" s="165">
        <f>$G23*(1+$J23)*$M23*1000</f>
        <v/>
      </c>
    </row>
    <row r="24" ht="15" customHeight="1" s="106">
      <c r="A24" s="138" t="inlineStr">
        <is>
          <t>PP-PASTA-SPA-CAR</t>
        </is>
      </c>
      <c r="B24" s="138" t="inlineStr">
        <is>
          <t>The Carbonara</t>
        </is>
      </c>
      <c r="C24" s="138" t="inlineStr">
        <is>
          <t>Core - Signature</t>
        </is>
      </c>
      <c r="D24" s="139" t="inlineStr">
        <is>
          <t>Packaging</t>
        </is>
      </c>
      <c r="E24" s="134" t="inlineStr">
        <is>
          <t>PP-PACK-NAPKIN</t>
        </is>
      </c>
      <c r="F24" s="113" t="inlineStr">
        <is>
          <t>Branded napkin</t>
        </is>
      </c>
      <c r="G24" s="147" t="n">
        <v>1</v>
      </c>
      <c r="H24" s="164" t="inlineStr">
        <is>
          <t>ea</t>
        </is>
      </c>
      <c r="I24" s="150">
        <f>IFERROR(INDEX('04 SKU Master'!$AM$5:$AM$165,MATCH($E24,'04 SKU Master'!$A$5:$A$165,0)),IFERROR(INDEX('05 Packaging Master'!$AM$5:$AM$50,MATCH($E24,'05 Packaging Master'!$A$5:$A$50,0)),IFERROR(INDEX('09 Cost Index'!$C$5:$C$24,MATCH($E24,'09 Cost Index'!$A$5:$A$24,0)),"")))</f>
        <v/>
      </c>
      <c r="J24" s="153">
        <f>'01 Control'!$C$7</f>
        <v/>
      </c>
      <c r="K24" s="150">
        <f>IF($I24="","",$G24*$I24*(1+$J24))</f>
        <v/>
      </c>
      <c r="L24" s="177">
        <f>IF(ISNUMBER(MATCH($E24,'09 Cost Index'!$A$5:$A$24,0)),"09 Cost Index",IF(ISNUMBER(MATCH($E24,'05 Packaging Master'!$A$5:$A$46,0)),"05 Packaging Master",IF(ISNUMBER(MATCH($E24,'04 SKU Master'!$A$5:$A$165,0)),"04 SKU Master","NOT FOUND")))</f>
        <v/>
      </c>
      <c r="M24" s="178">
        <f>IFERROR(INDEX('12 Final Menu'!$U$5:$U$200,MATCH($A24,'12 Final Menu'!$A$5:$A$200,0)),0)</f>
        <v/>
      </c>
      <c r="N24" s="165">
        <f>$G24*(1+$J24)*$M24*1000</f>
        <v/>
      </c>
    </row>
    <row r="26" ht="15" customHeight="1" s="106">
      <c r="A26" s="144" t="inlineStr">
        <is>
          <t>Napoletana   |   Spaghetti   |   Bokgat Base dough   |   PP-PASTA-SPA-NAP</t>
        </is>
      </c>
      <c r="B26" s="110" t="n"/>
      <c r="C26" s="110" t="n"/>
      <c r="D26" s="110" t="n"/>
      <c r="E26" s="110" t="n"/>
      <c r="F26" s="110" t="n"/>
      <c r="G26" s="110" t="n"/>
      <c r="H26" s="110" t="n"/>
      <c r="I26" s="110" t="n"/>
      <c r="J26" s="110" t="n"/>
      <c r="K26" s="110" t="n"/>
      <c r="L26" s="110" t="n"/>
      <c r="M26" s="110" t="n"/>
      <c r="N26" s="111" t="n"/>
    </row>
    <row r="27" ht="15" customHeight="1" s="106">
      <c r="A27" s="138" t="inlineStr">
        <is>
          <t>PP-PASTA-SPA-NAP</t>
        </is>
      </c>
      <c r="B27" s="138" t="inlineStr">
        <is>
          <t>Napoletana</t>
        </is>
      </c>
      <c r="C27" s="138" t="inlineStr">
        <is>
          <t>Core - Signature</t>
        </is>
      </c>
      <c r="D27" s="139" t="inlineStr">
        <is>
          <t>Pasta</t>
        </is>
      </c>
      <c r="E27" s="134" t="inlineStr">
        <is>
          <t>PP-DOUGH-BOKGAT</t>
        </is>
      </c>
      <c r="F27" s="113" t="inlineStr">
        <is>
          <t>Bokgat Base, Spaghetti - dried weight</t>
        </is>
      </c>
      <c r="G27" s="147" t="n">
        <v>111</v>
      </c>
      <c r="H27" s="164" t="inlineStr">
        <is>
          <t>g</t>
        </is>
      </c>
      <c r="I27" s="150">
        <f>IFERROR(INDEX('04 SKU Master'!$AM$5:$AM$165,MATCH($E27,'04 SKU Master'!$A$5:$A$165,0)),IFERROR(INDEX('05 Packaging Master'!$AM$5:$AM$50,MATCH($E27,'05 Packaging Master'!$A$5:$A$50,0)),IFERROR(INDEX('09 Cost Index'!$C$5:$C$24,MATCH($E27,'09 Cost Index'!$A$5:$A$24,0)),"")))</f>
        <v/>
      </c>
      <c r="J27" s="153">
        <f>'01 Control'!$C$7</f>
        <v/>
      </c>
      <c r="K27" s="150">
        <f>IF($I27="","",$G27*$I27*(1+$J27))</f>
        <v/>
      </c>
      <c r="L27" s="177">
        <f>IF(ISNUMBER(MATCH($E27,'09 Cost Index'!$A$5:$A$24,0)),"09 Cost Index",IF(ISNUMBER(MATCH($E27,'05 Packaging Master'!$A$5:$A$46,0)),"05 Packaging Master",IF(ISNUMBER(MATCH($E27,'04 SKU Master'!$A$5:$A$165,0)),"04 SKU Master","NOT FOUND")))</f>
        <v/>
      </c>
      <c r="M27" s="178">
        <f>IFERROR(INDEX('12 Final Menu'!$U$5:$U$200,MATCH($A27,'12 Final Menu'!$A$5:$A$200,0)),0)</f>
        <v/>
      </c>
      <c r="N27" s="165">
        <f>$G27*(1+$J27)*$M27*1000</f>
        <v/>
      </c>
    </row>
    <row r="28" ht="15" customHeight="1" s="106">
      <c r="A28" s="138" t="inlineStr">
        <is>
          <t>PP-PASTA-SPA-NAP</t>
        </is>
      </c>
      <c r="B28" s="138" t="inlineStr">
        <is>
          <t>Napoletana</t>
        </is>
      </c>
      <c r="C28" s="138" t="inlineStr">
        <is>
          <t>Core - Signature</t>
        </is>
      </c>
      <c r="D28" s="139" t="inlineStr">
        <is>
          <t>Sauce</t>
        </is>
      </c>
      <c r="E28" s="134" t="inlineStr">
        <is>
          <t>PP-SAUCE-NAP</t>
        </is>
      </c>
      <c r="F28" s="113" t="inlineStr">
        <is>
          <t>Napoletana base (CK)</t>
        </is>
      </c>
      <c r="G28" s="147" t="n">
        <v>160</v>
      </c>
      <c r="H28" s="164" t="inlineStr">
        <is>
          <t>g</t>
        </is>
      </c>
      <c r="I28" s="150">
        <f>IFERROR(INDEX('04 SKU Master'!$AM$5:$AM$165,MATCH($E28,'04 SKU Master'!$A$5:$A$165,0)),IFERROR(INDEX('05 Packaging Master'!$AM$5:$AM$50,MATCH($E28,'05 Packaging Master'!$A$5:$A$50,0)),IFERROR(INDEX('09 Cost Index'!$C$5:$C$24,MATCH($E28,'09 Cost Index'!$A$5:$A$24,0)),"")))</f>
        <v/>
      </c>
      <c r="J28" s="153">
        <f>'01 Control'!$C$7</f>
        <v/>
      </c>
      <c r="K28" s="150">
        <f>IF($I28="","",$G28*$I28*(1+$J28))</f>
        <v/>
      </c>
      <c r="L28" s="177">
        <f>IF(ISNUMBER(MATCH($E28,'09 Cost Index'!$A$5:$A$24,0)),"09 Cost Index",IF(ISNUMBER(MATCH($E28,'05 Packaging Master'!$A$5:$A$46,0)),"05 Packaging Master",IF(ISNUMBER(MATCH($E28,'04 SKU Master'!$A$5:$A$165,0)),"04 SKU Master","NOT FOUND")))</f>
        <v/>
      </c>
      <c r="M28" s="178">
        <f>IFERROR(INDEX('12 Final Menu'!$U$5:$U$200,MATCH($A28,'12 Final Menu'!$A$5:$A$200,0)),0)</f>
        <v/>
      </c>
      <c r="N28" s="165">
        <f>$G28*(1+$J28)*$M28*1000</f>
        <v/>
      </c>
    </row>
    <row r="29" ht="15" customHeight="1" s="106">
      <c r="A29" s="138" t="inlineStr">
        <is>
          <t>PP-PASTA-SPA-NAP</t>
        </is>
      </c>
      <c r="B29" s="138" t="inlineStr">
        <is>
          <t>Napoletana</t>
        </is>
      </c>
      <c r="C29" s="138" t="inlineStr">
        <is>
          <t>Core - Signature</t>
        </is>
      </c>
      <c r="D29" s="139" t="inlineStr">
        <is>
          <t>Finish</t>
        </is>
      </c>
      <c r="E29" s="134" t="inlineStr">
        <is>
          <t>PP-HERB-BASIL-FRESH</t>
        </is>
      </c>
      <c r="F29" s="113" t="inlineStr">
        <is>
          <t>Fresh basil</t>
        </is>
      </c>
      <c r="G29" s="147" t="n">
        <v>3</v>
      </c>
      <c r="H29" s="164" t="inlineStr">
        <is>
          <t>g</t>
        </is>
      </c>
      <c r="I29" s="150">
        <f>IFERROR(INDEX('04 SKU Master'!$AM$5:$AM$165,MATCH($E29,'04 SKU Master'!$A$5:$A$165,0)),IFERROR(INDEX('05 Packaging Master'!$AM$5:$AM$50,MATCH($E29,'05 Packaging Master'!$A$5:$A$50,0)),IFERROR(INDEX('09 Cost Index'!$C$5:$C$24,MATCH($E29,'09 Cost Index'!$A$5:$A$24,0)),"")))</f>
        <v/>
      </c>
      <c r="J29" s="153">
        <f>'01 Control'!$C$7</f>
        <v/>
      </c>
      <c r="K29" s="150">
        <f>IF($I29="","",$G29*$I29*(1+$J29))</f>
        <v/>
      </c>
      <c r="L29" s="177">
        <f>IF(ISNUMBER(MATCH($E29,'09 Cost Index'!$A$5:$A$24,0)),"09 Cost Index",IF(ISNUMBER(MATCH($E29,'05 Packaging Master'!$A$5:$A$46,0)),"05 Packaging Master",IF(ISNUMBER(MATCH($E29,'04 SKU Master'!$A$5:$A$165,0)),"04 SKU Master","NOT FOUND")))</f>
        <v/>
      </c>
      <c r="M29" s="178">
        <f>IFERROR(INDEX('12 Final Menu'!$U$5:$U$200,MATCH($A29,'12 Final Menu'!$A$5:$A$200,0)),0)</f>
        <v/>
      </c>
      <c r="N29" s="165">
        <f>$G29*(1+$J29)*$M29*1000</f>
        <v/>
      </c>
    </row>
    <row r="30" ht="15" customHeight="1" s="106">
      <c r="A30" s="138" t="inlineStr">
        <is>
          <t>PP-PASTA-SPA-NAP</t>
        </is>
      </c>
      <c r="B30" s="138" t="inlineStr">
        <is>
          <t>Napoletana</t>
        </is>
      </c>
      <c r="C30" s="138" t="inlineStr">
        <is>
          <t>Core - Signature</t>
        </is>
      </c>
      <c r="D30" s="139" t="inlineStr">
        <is>
          <t>Finish</t>
        </is>
      </c>
      <c r="E30" s="134" t="inlineStr">
        <is>
          <t>PP-EVOO</t>
        </is>
      </c>
      <c r="F30" s="113" t="inlineStr">
        <is>
          <t>Extra-virgin olive oil</t>
        </is>
      </c>
      <c r="G30" s="147" t="n">
        <v>5</v>
      </c>
      <c r="H30" s="164" t="inlineStr">
        <is>
          <t>ml</t>
        </is>
      </c>
      <c r="I30" s="150">
        <f>IFERROR(INDEX('04 SKU Master'!$AM$5:$AM$165,MATCH($E30,'04 SKU Master'!$A$5:$A$165,0)),IFERROR(INDEX('05 Packaging Master'!$AM$5:$AM$50,MATCH($E30,'05 Packaging Master'!$A$5:$A$50,0)),IFERROR(INDEX('09 Cost Index'!$C$5:$C$24,MATCH($E30,'09 Cost Index'!$A$5:$A$24,0)),"")))</f>
        <v/>
      </c>
      <c r="J30" s="153">
        <f>'01 Control'!$C$7</f>
        <v/>
      </c>
      <c r="K30" s="150">
        <f>IF($I30="","",$G30*$I30*(1+$J30))</f>
        <v/>
      </c>
      <c r="L30" s="177">
        <f>IF(ISNUMBER(MATCH($E30,'09 Cost Index'!$A$5:$A$24,0)),"09 Cost Index",IF(ISNUMBER(MATCH($E30,'05 Packaging Master'!$A$5:$A$46,0)),"05 Packaging Master",IF(ISNUMBER(MATCH($E30,'04 SKU Master'!$A$5:$A$165,0)),"04 SKU Master","NOT FOUND")))</f>
        <v/>
      </c>
      <c r="M30" s="178">
        <f>IFERROR(INDEX('12 Final Menu'!$U$5:$U$200,MATCH($A30,'12 Final Menu'!$A$5:$A$200,0)),0)</f>
        <v/>
      </c>
      <c r="N30" s="165">
        <f>$G30*(1+$J30)*$M30*1000</f>
        <v/>
      </c>
    </row>
    <row r="31" ht="15" customHeight="1" s="106">
      <c r="A31" s="138" t="inlineStr">
        <is>
          <t>PP-PASTA-SPA-NAP</t>
        </is>
      </c>
      <c r="B31" s="138" t="inlineStr">
        <is>
          <t>Napoletana</t>
        </is>
      </c>
      <c r="C31" s="138" t="inlineStr">
        <is>
          <t>Core - Signature</t>
        </is>
      </c>
      <c r="D31" s="139" t="inlineStr">
        <is>
          <t>Packaging</t>
        </is>
      </c>
      <c r="E31" s="134" t="inlineStr">
        <is>
          <t>PP-PACK-TUB</t>
        </is>
      </c>
      <c r="F31" s="113" t="inlineStr">
        <is>
          <t>Takeaway pasta tub</t>
        </is>
      </c>
      <c r="G31" s="147" t="n">
        <v>1</v>
      </c>
      <c r="H31" s="164" t="inlineStr">
        <is>
          <t>ea</t>
        </is>
      </c>
      <c r="I31" s="150">
        <f>IFERROR(INDEX('04 SKU Master'!$AM$5:$AM$165,MATCH($E31,'04 SKU Master'!$A$5:$A$165,0)),IFERROR(INDEX('05 Packaging Master'!$AM$5:$AM$50,MATCH($E31,'05 Packaging Master'!$A$5:$A$50,0)),IFERROR(INDEX('09 Cost Index'!$C$5:$C$24,MATCH($E31,'09 Cost Index'!$A$5:$A$24,0)),"")))</f>
        <v/>
      </c>
      <c r="J31" s="153">
        <f>'01 Control'!$C$7</f>
        <v/>
      </c>
      <c r="K31" s="150">
        <f>IF($I31="","",$G31*$I31*(1+$J31))</f>
        <v/>
      </c>
      <c r="L31" s="177">
        <f>IF(ISNUMBER(MATCH($E31,'09 Cost Index'!$A$5:$A$24,0)),"09 Cost Index",IF(ISNUMBER(MATCH($E31,'05 Packaging Master'!$A$5:$A$46,0)),"05 Packaging Master",IF(ISNUMBER(MATCH($E31,'04 SKU Master'!$A$5:$A$165,0)),"04 SKU Master","NOT FOUND")))</f>
        <v/>
      </c>
      <c r="M31" s="178">
        <f>IFERROR(INDEX('12 Final Menu'!$U$5:$U$200,MATCH($A31,'12 Final Menu'!$A$5:$A$200,0)),0)</f>
        <v/>
      </c>
      <c r="N31" s="165">
        <f>$G31*(1+$J31)*$M31*1000</f>
        <v/>
      </c>
    </row>
    <row r="32" ht="15" customHeight="1" s="106">
      <c r="A32" s="138" t="inlineStr">
        <is>
          <t>PP-PASTA-SPA-NAP</t>
        </is>
      </c>
      <c r="B32" s="138" t="inlineStr">
        <is>
          <t>Napoletana</t>
        </is>
      </c>
      <c r="C32" s="138" t="inlineStr">
        <is>
          <t>Core - Signature</t>
        </is>
      </c>
      <c r="D32" s="139" t="inlineStr">
        <is>
          <t>Packaging</t>
        </is>
      </c>
      <c r="E32" s="134" t="inlineStr">
        <is>
          <t>PP-PACK-LID</t>
        </is>
      </c>
      <c r="F32" s="113" t="inlineStr">
        <is>
          <t>Bowl lid</t>
        </is>
      </c>
      <c r="G32" s="147" t="n">
        <v>1</v>
      </c>
      <c r="H32" s="164" t="inlineStr">
        <is>
          <t>ea</t>
        </is>
      </c>
      <c r="I32" s="150">
        <f>IFERROR(INDEX('04 SKU Master'!$AM$5:$AM$165,MATCH($E32,'04 SKU Master'!$A$5:$A$165,0)),IFERROR(INDEX('05 Packaging Master'!$AM$5:$AM$50,MATCH($E32,'05 Packaging Master'!$A$5:$A$50,0)),IFERROR(INDEX('09 Cost Index'!$C$5:$C$24,MATCH($E32,'09 Cost Index'!$A$5:$A$24,0)),"")))</f>
        <v/>
      </c>
      <c r="J32" s="153">
        <f>'01 Control'!$C$7</f>
        <v/>
      </c>
      <c r="K32" s="150">
        <f>IF($I32="","",$G32*$I32*(1+$J32))</f>
        <v/>
      </c>
      <c r="L32" s="177">
        <f>IF(ISNUMBER(MATCH($E32,'09 Cost Index'!$A$5:$A$24,0)),"09 Cost Index",IF(ISNUMBER(MATCH($E32,'05 Packaging Master'!$A$5:$A$46,0)),"05 Packaging Master",IF(ISNUMBER(MATCH($E32,'04 SKU Master'!$A$5:$A$165,0)),"04 SKU Master","NOT FOUND")))</f>
        <v/>
      </c>
      <c r="M32" s="178">
        <f>IFERROR(INDEX('12 Final Menu'!$U$5:$U$200,MATCH($A32,'12 Final Menu'!$A$5:$A$200,0)),0)</f>
        <v/>
      </c>
      <c r="N32" s="165">
        <f>$G32*(1+$J32)*$M32*1000</f>
        <v/>
      </c>
    </row>
    <row r="33" ht="15" customHeight="1" s="106">
      <c r="A33" s="138" t="inlineStr">
        <is>
          <t>PP-PASTA-SPA-NAP</t>
        </is>
      </c>
      <c r="B33" s="138" t="inlineStr">
        <is>
          <t>Napoletana</t>
        </is>
      </c>
      <c r="C33" s="138" t="inlineStr">
        <is>
          <t>Core - Signature</t>
        </is>
      </c>
      <c r="D33" s="139" t="inlineStr">
        <is>
          <t>Packaging</t>
        </is>
      </c>
      <c r="E33" s="134" t="inlineStr">
        <is>
          <t>PP-PACK-CUTLERY</t>
        </is>
      </c>
      <c r="F33" s="113" t="inlineStr">
        <is>
          <t>Cutlery set</t>
        </is>
      </c>
      <c r="G33" s="147" t="n">
        <v>1</v>
      </c>
      <c r="H33" s="164" t="inlineStr">
        <is>
          <t>ea</t>
        </is>
      </c>
      <c r="I33" s="150">
        <f>IFERROR(INDEX('04 SKU Master'!$AM$5:$AM$165,MATCH($E33,'04 SKU Master'!$A$5:$A$165,0)),IFERROR(INDEX('05 Packaging Master'!$AM$5:$AM$50,MATCH($E33,'05 Packaging Master'!$A$5:$A$50,0)),IFERROR(INDEX('09 Cost Index'!$C$5:$C$24,MATCH($E33,'09 Cost Index'!$A$5:$A$24,0)),"")))</f>
        <v/>
      </c>
      <c r="J33" s="153">
        <f>'01 Control'!$C$7</f>
        <v/>
      </c>
      <c r="K33" s="150">
        <f>IF($I33="","",$G33*$I33*(1+$J33))</f>
        <v/>
      </c>
      <c r="L33" s="177">
        <f>IF(ISNUMBER(MATCH($E33,'09 Cost Index'!$A$5:$A$24,0)),"09 Cost Index",IF(ISNUMBER(MATCH($E33,'05 Packaging Master'!$A$5:$A$46,0)),"05 Packaging Master",IF(ISNUMBER(MATCH($E33,'04 SKU Master'!$A$5:$A$165,0)),"04 SKU Master","NOT FOUND")))</f>
        <v/>
      </c>
      <c r="M33" s="178">
        <f>IFERROR(INDEX('12 Final Menu'!$U$5:$U$200,MATCH($A33,'12 Final Menu'!$A$5:$A$200,0)),0)</f>
        <v/>
      </c>
      <c r="N33" s="165">
        <f>$G33*(1+$J33)*$M33*1000</f>
        <v/>
      </c>
    </row>
    <row r="34" ht="15" customHeight="1" s="106">
      <c r="A34" s="138" t="inlineStr">
        <is>
          <t>PP-PASTA-SPA-NAP</t>
        </is>
      </c>
      <c r="B34" s="138" t="inlineStr">
        <is>
          <t>Napoletana</t>
        </is>
      </c>
      <c r="C34" s="138" t="inlineStr">
        <is>
          <t>Core - Signature</t>
        </is>
      </c>
      <c r="D34" s="139" t="inlineStr">
        <is>
          <t>Packaging</t>
        </is>
      </c>
      <c r="E34" s="134" t="inlineStr">
        <is>
          <t>PP-PACK-NAPKIN</t>
        </is>
      </c>
      <c r="F34" s="113" t="inlineStr">
        <is>
          <t>Branded napkin</t>
        </is>
      </c>
      <c r="G34" s="147" t="n">
        <v>1</v>
      </c>
      <c r="H34" s="164" t="inlineStr">
        <is>
          <t>ea</t>
        </is>
      </c>
      <c r="I34" s="150">
        <f>IFERROR(INDEX('04 SKU Master'!$AM$5:$AM$165,MATCH($E34,'04 SKU Master'!$A$5:$A$165,0)),IFERROR(INDEX('05 Packaging Master'!$AM$5:$AM$50,MATCH($E34,'05 Packaging Master'!$A$5:$A$50,0)),IFERROR(INDEX('09 Cost Index'!$C$5:$C$24,MATCH($E34,'09 Cost Index'!$A$5:$A$24,0)),"")))</f>
        <v/>
      </c>
      <c r="J34" s="153">
        <f>'01 Control'!$C$7</f>
        <v/>
      </c>
      <c r="K34" s="150">
        <f>IF($I34="","",$G34*$I34*(1+$J34))</f>
        <v/>
      </c>
      <c r="L34" s="177">
        <f>IF(ISNUMBER(MATCH($E34,'09 Cost Index'!$A$5:$A$24,0)),"09 Cost Index",IF(ISNUMBER(MATCH($E34,'05 Packaging Master'!$A$5:$A$46,0)),"05 Packaging Master",IF(ISNUMBER(MATCH($E34,'04 SKU Master'!$A$5:$A$165,0)),"04 SKU Master","NOT FOUND")))</f>
        <v/>
      </c>
      <c r="M34" s="178">
        <f>IFERROR(INDEX('12 Final Menu'!$U$5:$U$200,MATCH($A34,'12 Final Menu'!$A$5:$A$200,0)),0)</f>
        <v/>
      </c>
      <c r="N34" s="165">
        <f>$G34*(1+$J34)*$M34*1000</f>
        <v/>
      </c>
    </row>
    <row r="36" ht="15" customHeight="1" s="106">
      <c r="A36" s="144" t="inlineStr">
        <is>
          <t>Creamy Garlic Alfredo   |   Fusilli   |   Bokgat Base dough   |   PP-PASTA-FUS-ALF</t>
        </is>
      </c>
      <c r="B36" s="110" t="n"/>
      <c r="C36" s="110" t="n"/>
      <c r="D36" s="110" t="n"/>
      <c r="E36" s="110" t="n"/>
      <c r="F36" s="110" t="n"/>
      <c r="G36" s="110" t="n"/>
      <c r="H36" s="110" t="n"/>
      <c r="I36" s="110" t="n"/>
      <c r="J36" s="110" t="n"/>
      <c r="K36" s="110" t="n"/>
      <c r="L36" s="110" t="n"/>
      <c r="M36" s="110" t="n"/>
      <c r="N36" s="111" t="n"/>
    </row>
    <row r="37" ht="15" customHeight="1" s="106">
      <c r="A37" s="138" t="inlineStr">
        <is>
          <t>PP-PASTA-FUS-ALF</t>
        </is>
      </c>
      <c r="B37" s="138" t="inlineStr">
        <is>
          <t>Creamy Garlic Alfredo</t>
        </is>
      </c>
      <c r="C37" s="138" t="inlineStr">
        <is>
          <t>Core - Signature</t>
        </is>
      </c>
      <c r="D37" s="139" t="inlineStr">
        <is>
          <t>Pasta</t>
        </is>
      </c>
      <c r="E37" s="134" t="inlineStr">
        <is>
          <t>PP-DOUGH-BOKGAT</t>
        </is>
      </c>
      <c r="F37" s="113" t="inlineStr">
        <is>
          <t>Bokgat Base, Fusilli - dried weight</t>
        </is>
      </c>
      <c r="G37" s="147" t="n">
        <v>111</v>
      </c>
      <c r="H37" s="164" t="inlineStr">
        <is>
          <t>g</t>
        </is>
      </c>
      <c r="I37" s="150">
        <f>IFERROR(INDEX('04 SKU Master'!$AM$5:$AM$165,MATCH($E37,'04 SKU Master'!$A$5:$A$165,0)),IFERROR(INDEX('05 Packaging Master'!$AM$5:$AM$50,MATCH($E37,'05 Packaging Master'!$A$5:$A$50,0)),IFERROR(INDEX('09 Cost Index'!$C$5:$C$24,MATCH($E37,'09 Cost Index'!$A$5:$A$24,0)),"")))</f>
        <v/>
      </c>
      <c r="J37" s="153">
        <f>'01 Control'!$C$7</f>
        <v/>
      </c>
      <c r="K37" s="150">
        <f>IF($I37="","",$G37*$I37*(1+$J37))</f>
        <v/>
      </c>
      <c r="L37" s="177">
        <f>IF(ISNUMBER(MATCH($E37,'09 Cost Index'!$A$5:$A$24,0)),"09 Cost Index",IF(ISNUMBER(MATCH($E37,'05 Packaging Master'!$A$5:$A$46,0)),"05 Packaging Master",IF(ISNUMBER(MATCH($E37,'04 SKU Master'!$A$5:$A$165,0)),"04 SKU Master","NOT FOUND")))</f>
        <v/>
      </c>
      <c r="M37" s="178">
        <f>IFERROR(INDEX('12 Final Menu'!$U$5:$U$200,MATCH($A37,'12 Final Menu'!$A$5:$A$200,0)),0)</f>
        <v/>
      </c>
      <c r="N37" s="165">
        <f>$G37*(1+$J37)*$M37*1000</f>
        <v/>
      </c>
    </row>
    <row r="38" ht="15" customHeight="1" s="106">
      <c r="A38" s="138" t="inlineStr">
        <is>
          <t>PP-PASTA-FUS-ALF</t>
        </is>
      </c>
      <c r="B38" s="138" t="inlineStr">
        <is>
          <t>Creamy Garlic Alfredo</t>
        </is>
      </c>
      <c r="C38" s="138" t="inlineStr">
        <is>
          <t>Core - Signature</t>
        </is>
      </c>
      <c r="D38" s="139" t="inlineStr">
        <is>
          <t>Sauce</t>
        </is>
      </c>
      <c r="E38" s="134" t="inlineStr">
        <is>
          <t>PP-SAUCE-ALF</t>
        </is>
      </c>
      <c r="F38" s="113" t="inlineStr">
        <is>
          <t>Alfredo cream base (CK)</t>
        </is>
      </c>
      <c r="G38" s="147" t="n">
        <v>150</v>
      </c>
      <c r="H38" s="164" t="inlineStr">
        <is>
          <t>g</t>
        </is>
      </c>
      <c r="I38" s="150">
        <f>IFERROR(INDEX('04 SKU Master'!$AM$5:$AM$165,MATCH($E38,'04 SKU Master'!$A$5:$A$165,0)),IFERROR(INDEX('05 Packaging Master'!$AM$5:$AM$50,MATCH($E38,'05 Packaging Master'!$A$5:$A$50,0)),IFERROR(INDEX('09 Cost Index'!$C$5:$C$24,MATCH($E38,'09 Cost Index'!$A$5:$A$24,0)),"")))</f>
        <v/>
      </c>
      <c r="J38" s="153">
        <f>'01 Control'!$C$7</f>
        <v/>
      </c>
      <c r="K38" s="150">
        <f>IF($I38="","",$G38*$I38*(1+$J38))</f>
        <v/>
      </c>
      <c r="L38" s="177">
        <f>IF(ISNUMBER(MATCH($E38,'09 Cost Index'!$A$5:$A$24,0)),"09 Cost Index",IF(ISNUMBER(MATCH($E38,'05 Packaging Master'!$A$5:$A$46,0)),"05 Packaging Master",IF(ISNUMBER(MATCH($E38,'04 SKU Master'!$A$5:$A$165,0)),"04 SKU Master","NOT FOUND")))</f>
        <v/>
      </c>
      <c r="M38" s="178">
        <f>IFERROR(INDEX('12 Final Menu'!$U$5:$U$200,MATCH($A38,'12 Final Menu'!$A$5:$A$200,0)),0)</f>
        <v/>
      </c>
      <c r="N38" s="165">
        <f>$G38*(1+$J38)*$M38*1000</f>
        <v/>
      </c>
    </row>
    <row r="39" ht="15" customHeight="1" s="106">
      <c r="A39" s="138" t="inlineStr">
        <is>
          <t>PP-PASTA-FUS-ALF</t>
        </is>
      </c>
      <c r="B39" s="138" t="inlineStr">
        <is>
          <t>Creamy Garlic Alfredo</t>
        </is>
      </c>
      <c r="C39" s="138" t="inlineStr">
        <is>
          <t>Core - Signature</t>
        </is>
      </c>
      <c r="D39" s="139" t="inlineStr">
        <is>
          <t>Finish</t>
        </is>
      </c>
      <c r="E39" s="134" t="inlineStr">
        <is>
          <t>PP-PARM</t>
        </is>
      </c>
      <c r="F39" s="113" t="inlineStr">
        <is>
          <t>Parmesan, grated</t>
        </is>
      </c>
      <c r="G39" s="147" t="n">
        <v>12</v>
      </c>
      <c r="H39" s="164" t="inlineStr">
        <is>
          <t>g</t>
        </is>
      </c>
      <c r="I39" s="150">
        <f>IFERROR(INDEX('04 SKU Master'!$AM$5:$AM$165,MATCH($E39,'04 SKU Master'!$A$5:$A$165,0)),IFERROR(INDEX('05 Packaging Master'!$AM$5:$AM$50,MATCH($E39,'05 Packaging Master'!$A$5:$A$50,0)),IFERROR(INDEX('09 Cost Index'!$C$5:$C$24,MATCH($E39,'09 Cost Index'!$A$5:$A$24,0)),"")))</f>
        <v/>
      </c>
      <c r="J39" s="153">
        <f>'01 Control'!$C$7</f>
        <v/>
      </c>
      <c r="K39" s="150">
        <f>IF($I39="","",$G39*$I39*(1+$J39))</f>
        <v/>
      </c>
      <c r="L39" s="177">
        <f>IF(ISNUMBER(MATCH($E39,'09 Cost Index'!$A$5:$A$24,0)),"09 Cost Index",IF(ISNUMBER(MATCH($E39,'05 Packaging Master'!$A$5:$A$46,0)),"05 Packaging Master",IF(ISNUMBER(MATCH($E39,'04 SKU Master'!$A$5:$A$165,0)),"04 SKU Master","NOT FOUND")))</f>
        <v/>
      </c>
      <c r="M39" s="178">
        <f>IFERROR(INDEX('12 Final Menu'!$U$5:$U$200,MATCH($A39,'12 Final Menu'!$A$5:$A$200,0)),0)</f>
        <v/>
      </c>
      <c r="N39" s="165">
        <f>$G39*(1+$J39)*$M39*1000</f>
        <v/>
      </c>
    </row>
    <row r="40" ht="15" customHeight="1" s="106">
      <c r="A40" s="138" t="inlineStr">
        <is>
          <t>PP-PASTA-FUS-ALF</t>
        </is>
      </c>
      <c r="B40" s="138" t="inlineStr">
        <is>
          <t>Creamy Garlic Alfredo</t>
        </is>
      </c>
      <c r="C40" s="138" t="inlineStr">
        <is>
          <t>Core - Signature</t>
        </is>
      </c>
      <c r="D40" s="139" t="inlineStr">
        <is>
          <t>Finish</t>
        </is>
      </c>
      <c r="E40" s="134" t="inlineStr">
        <is>
          <t>PP-HERB-PARSLEY</t>
        </is>
      </c>
      <c r="F40" s="113" t="inlineStr">
        <is>
          <t>Parsley</t>
        </is>
      </c>
      <c r="G40" s="147" t="n">
        <v>2</v>
      </c>
      <c r="H40" s="164" t="inlineStr">
        <is>
          <t>g</t>
        </is>
      </c>
      <c r="I40" s="150">
        <f>IFERROR(INDEX('04 SKU Master'!$AM$5:$AM$165,MATCH($E40,'04 SKU Master'!$A$5:$A$165,0)),IFERROR(INDEX('05 Packaging Master'!$AM$5:$AM$50,MATCH($E40,'05 Packaging Master'!$A$5:$A$50,0)),IFERROR(INDEX('09 Cost Index'!$C$5:$C$24,MATCH($E40,'09 Cost Index'!$A$5:$A$24,0)),"")))</f>
        <v/>
      </c>
      <c r="J40" s="153">
        <f>'01 Control'!$C$7</f>
        <v/>
      </c>
      <c r="K40" s="150">
        <f>IF($I40="","",$G40*$I40*(1+$J40))</f>
        <v/>
      </c>
      <c r="L40" s="177">
        <f>IF(ISNUMBER(MATCH($E40,'09 Cost Index'!$A$5:$A$24,0)),"09 Cost Index",IF(ISNUMBER(MATCH($E40,'05 Packaging Master'!$A$5:$A$46,0)),"05 Packaging Master",IF(ISNUMBER(MATCH($E40,'04 SKU Master'!$A$5:$A$165,0)),"04 SKU Master","NOT FOUND")))</f>
        <v/>
      </c>
      <c r="M40" s="178">
        <f>IFERROR(INDEX('12 Final Menu'!$U$5:$U$200,MATCH($A40,'12 Final Menu'!$A$5:$A$200,0)),0)</f>
        <v/>
      </c>
      <c r="N40" s="165">
        <f>$G40*(1+$J40)*$M40*1000</f>
        <v/>
      </c>
    </row>
    <row r="41" ht="15" customHeight="1" s="106">
      <c r="A41" s="138" t="inlineStr">
        <is>
          <t>PP-PASTA-FUS-ALF</t>
        </is>
      </c>
      <c r="B41" s="138" t="inlineStr">
        <is>
          <t>Creamy Garlic Alfredo</t>
        </is>
      </c>
      <c r="C41" s="138" t="inlineStr">
        <is>
          <t>Core - Signature</t>
        </is>
      </c>
      <c r="D41" s="139" t="inlineStr">
        <is>
          <t>Packaging</t>
        </is>
      </c>
      <c r="E41" s="134" t="inlineStr">
        <is>
          <t>PP-PACK-TUB</t>
        </is>
      </c>
      <c r="F41" s="113" t="inlineStr">
        <is>
          <t>Takeaway pasta tub</t>
        </is>
      </c>
      <c r="G41" s="147" t="n">
        <v>1</v>
      </c>
      <c r="H41" s="164" t="inlineStr">
        <is>
          <t>ea</t>
        </is>
      </c>
      <c r="I41" s="150">
        <f>IFERROR(INDEX('04 SKU Master'!$AM$5:$AM$165,MATCH($E41,'04 SKU Master'!$A$5:$A$165,0)),IFERROR(INDEX('05 Packaging Master'!$AM$5:$AM$50,MATCH($E41,'05 Packaging Master'!$A$5:$A$50,0)),IFERROR(INDEX('09 Cost Index'!$C$5:$C$24,MATCH($E41,'09 Cost Index'!$A$5:$A$24,0)),"")))</f>
        <v/>
      </c>
      <c r="J41" s="153">
        <f>'01 Control'!$C$7</f>
        <v/>
      </c>
      <c r="K41" s="150">
        <f>IF($I41="","",$G41*$I41*(1+$J41))</f>
        <v/>
      </c>
      <c r="L41" s="177">
        <f>IF(ISNUMBER(MATCH($E41,'09 Cost Index'!$A$5:$A$24,0)),"09 Cost Index",IF(ISNUMBER(MATCH($E41,'05 Packaging Master'!$A$5:$A$46,0)),"05 Packaging Master",IF(ISNUMBER(MATCH($E41,'04 SKU Master'!$A$5:$A$165,0)),"04 SKU Master","NOT FOUND")))</f>
        <v/>
      </c>
      <c r="M41" s="178">
        <f>IFERROR(INDEX('12 Final Menu'!$U$5:$U$200,MATCH($A41,'12 Final Menu'!$A$5:$A$200,0)),0)</f>
        <v/>
      </c>
      <c r="N41" s="165">
        <f>$G41*(1+$J41)*$M41*1000</f>
        <v/>
      </c>
    </row>
    <row r="42" ht="15" customHeight="1" s="106">
      <c r="A42" s="138" t="inlineStr">
        <is>
          <t>PP-PASTA-FUS-ALF</t>
        </is>
      </c>
      <c r="B42" s="138" t="inlineStr">
        <is>
          <t>Creamy Garlic Alfredo</t>
        </is>
      </c>
      <c r="C42" s="138" t="inlineStr">
        <is>
          <t>Core - Signature</t>
        </is>
      </c>
      <c r="D42" s="139" t="inlineStr">
        <is>
          <t>Packaging</t>
        </is>
      </c>
      <c r="E42" s="134" t="inlineStr">
        <is>
          <t>PP-PACK-LID</t>
        </is>
      </c>
      <c r="F42" s="113" t="inlineStr">
        <is>
          <t>Bowl lid</t>
        </is>
      </c>
      <c r="G42" s="147" t="n">
        <v>1</v>
      </c>
      <c r="H42" s="164" t="inlineStr">
        <is>
          <t>ea</t>
        </is>
      </c>
      <c r="I42" s="150">
        <f>IFERROR(INDEX('04 SKU Master'!$AM$5:$AM$165,MATCH($E42,'04 SKU Master'!$A$5:$A$165,0)),IFERROR(INDEX('05 Packaging Master'!$AM$5:$AM$50,MATCH($E42,'05 Packaging Master'!$A$5:$A$50,0)),IFERROR(INDEX('09 Cost Index'!$C$5:$C$24,MATCH($E42,'09 Cost Index'!$A$5:$A$24,0)),"")))</f>
        <v/>
      </c>
      <c r="J42" s="153">
        <f>'01 Control'!$C$7</f>
        <v/>
      </c>
      <c r="K42" s="150">
        <f>IF($I42="","",$G42*$I42*(1+$J42))</f>
        <v/>
      </c>
      <c r="L42" s="177">
        <f>IF(ISNUMBER(MATCH($E42,'09 Cost Index'!$A$5:$A$24,0)),"09 Cost Index",IF(ISNUMBER(MATCH($E42,'05 Packaging Master'!$A$5:$A$46,0)),"05 Packaging Master",IF(ISNUMBER(MATCH($E42,'04 SKU Master'!$A$5:$A$165,0)),"04 SKU Master","NOT FOUND")))</f>
        <v/>
      </c>
      <c r="M42" s="178">
        <f>IFERROR(INDEX('12 Final Menu'!$U$5:$U$200,MATCH($A42,'12 Final Menu'!$A$5:$A$200,0)),0)</f>
        <v/>
      </c>
      <c r="N42" s="165">
        <f>$G42*(1+$J42)*$M42*1000</f>
        <v/>
      </c>
    </row>
    <row r="43" ht="15" customHeight="1" s="106">
      <c r="A43" s="138" t="inlineStr">
        <is>
          <t>PP-PASTA-FUS-ALF</t>
        </is>
      </c>
      <c r="B43" s="138" t="inlineStr">
        <is>
          <t>Creamy Garlic Alfredo</t>
        </is>
      </c>
      <c r="C43" s="138" t="inlineStr">
        <is>
          <t>Core - Signature</t>
        </is>
      </c>
      <c r="D43" s="139" t="inlineStr">
        <is>
          <t>Packaging</t>
        </is>
      </c>
      <c r="E43" s="134" t="inlineStr">
        <is>
          <t>PP-PACK-CUTLERY</t>
        </is>
      </c>
      <c r="F43" s="113" t="inlineStr">
        <is>
          <t>Cutlery set</t>
        </is>
      </c>
      <c r="G43" s="147" t="n">
        <v>1</v>
      </c>
      <c r="H43" s="164" t="inlineStr">
        <is>
          <t>ea</t>
        </is>
      </c>
      <c r="I43" s="150">
        <f>IFERROR(INDEX('04 SKU Master'!$AM$5:$AM$165,MATCH($E43,'04 SKU Master'!$A$5:$A$165,0)),IFERROR(INDEX('05 Packaging Master'!$AM$5:$AM$50,MATCH($E43,'05 Packaging Master'!$A$5:$A$50,0)),IFERROR(INDEX('09 Cost Index'!$C$5:$C$24,MATCH($E43,'09 Cost Index'!$A$5:$A$24,0)),"")))</f>
        <v/>
      </c>
      <c r="J43" s="153">
        <f>'01 Control'!$C$7</f>
        <v/>
      </c>
      <c r="K43" s="150">
        <f>IF($I43="","",$G43*$I43*(1+$J43))</f>
        <v/>
      </c>
      <c r="L43" s="177">
        <f>IF(ISNUMBER(MATCH($E43,'09 Cost Index'!$A$5:$A$24,0)),"09 Cost Index",IF(ISNUMBER(MATCH($E43,'05 Packaging Master'!$A$5:$A$46,0)),"05 Packaging Master",IF(ISNUMBER(MATCH($E43,'04 SKU Master'!$A$5:$A$165,0)),"04 SKU Master","NOT FOUND")))</f>
        <v/>
      </c>
      <c r="M43" s="178">
        <f>IFERROR(INDEX('12 Final Menu'!$U$5:$U$200,MATCH($A43,'12 Final Menu'!$A$5:$A$200,0)),0)</f>
        <v/>
      </c>
      <c r="N43" s="165">
        <f>$G43*(1+$J43)*$M43*1000</f>
        <v/>
      </c>
    </row>
    <row r="44" ht="15" customHeight="1" s="106">
      <c r="A44" s="138" t="inlineStr">
        <is>
          <t>PP-PASTA-FUS-ALF</t>
        </is>
      </c>
      <c r="B44" s="138" t="inlineStr">
        <is>
          <t>Creamy Garlic Alfredo</t>
        </is>
      </c>
      <c r="C44" s="138" t="inlineStr">
        <is>
          <t>Core - Signature</t>
        </is>
      </c>
      <c r="D44" s="139" t="inlineStr">
        <is>
          <t>Packaging</t>
        </is>
      </c>
      <c r="E44" s="134" t="inlineStr">
        <is>
          <t>PP-PACK-NAPKIN</t>
        </is>
      </c>
      <c r="F44" s="113" t="inlineStr">
        <is>
          <t>Branded napkin</t>
        </is>
      </c>
      <c r="G44" s="147" t="n">
        <v>1</v>
      </c>
      <c r="H44" s="164" t="inlineStr">
        <is>
          <t>ea</t>
        </is>
      </c>
      <c r="I44" s="150">
        <f>IFERROR(INDEX('04 SKU Master'!$AM$5:$AM$165,MATCH($E44,'04 SKU Master'!$A$5:$A$165,0)),IFERROR(INDEX('05 Packaging Master'!$AM$5:$AM$50,MATCH($E44,'05 Packaging Master'!$A$5:$A$50,0)),IFERROR(INDEX('09 Cost Index'!$C$5:$C$24,MATCH($E44,'09 Cost Index'!$A$5:$A$24,0)),"")))</f>
        <v/>
      </c>
      <c r="J44" s="153">
        <f>'01 Control'!$C$7</f>
        <v/>
      </c>
      <c r="K44" s="150">
        <f>IF($I44="","",$G44*$I44*(1+$J44))</f>
        <v/>
      </c>
      <c r="L44" s="177">
        <f>IF(ISNUMBER(MATCH($E44,'09 Cost Index'!$A$5:$A$24,0)),"09 Cost Index",IF(ISNUMBER(MATCH($E44,'05 Packaging Master'!$A$5:$A$46,0)),"05 Packaging Master",IF(ISNUMBER(MATCH($E44,'04 SKU Master'!$A$5:$A$165,0)),"04 SKU Master","NOT FOUND")))</f>
        <v/>
      </c>
      <c r="M44" s="178">
        <f>IFERROR(INDEX('12 Final Menu'!$U$5:$U$200,MATCH($A44,'12 Final Menu'!$A$5:$A$200,0)),0)</f>
        <v/>
      </c>
      <c r="N44" s="165">
        <f>$G44*(1+$J44)*$M44*1000</f>
        <v/>
      </c>
    </row>
    <row r="46" ht="15" customHeight="1" s="106">
      <c r="A46" s="144" t="inlineStr">
        <is>
          <t>Arrabbiata   |   Casarecce   |   Bokgat Base dough   |   PP-PASTA-CAS-ARR</t>
        </is>
      </c>
      <c r="B46" s="110" t="n"/>
      <c r="C46" s="110" t="n"/>
      <c r="D46" s="110" t="n"/>
      <c r="E46" s="110" t="n"/>
      <c r="F46" s="110" t="n"/>
      <c r="G46" s="110" t="n"/>
      <c r="H46" s="110" t="n"/>
      <c r="I46" s="110" t="n"/>
      <c r="J46" s="110" t="n"/>
      <c r="K46" s="110" t="n"/>
      <c r="L46" s="110" t="n"/>
      <c r="M46" s="110" t="n"/>
      <c r="N46" s="111" t="n"/>
    </row>
    <row r="47" ht="15" customHeight="1" s="106">
      <c r="A47" s="138" t="inlineStr">
        <is>
          <t>PP-PASTA-CAS-ARR</t>
        </is>
      </c>
      <c r="B47" s="138" t="inlineStr">
        <is>
          <t>Arrabbiata</t>
        </is>
      </c>
      <c r="C47" s="138" t="inlineStr">
        <is>
          <t>Core - Signature</t>
        </is>
      </c>
      <c r="D47" s="139" t="inlineStr">
        <is>
          <t>Pasta</t>
        </is>
      </c>
      <c r="E47" s="134" t="inlineStr">
        <is>
          <t>PP-DOUGH-BOKGAT</t>
        </is>
      </c>
      <c r="F47" s="113" t="inlineStr">
        <is>
          <t>Bokgat Base, Casarecce - dried weight</t>
        </is>
      </c>
      <c r="G47" s="147" t="n">
        <v>111</v>
      </c>
      <c r="H47" s="164" t="inlineStr">
        <is>
          <t>g</t>
        </is>
      </c>
      <c r="I47" s="150">
        <f>IFERROR(INDEX('04 SKU Master'!$AM$5:$AM$165,MATCH($E47,'04 SKU Master'!$A$5:$A$165,0)),IFERROR(INDEX('05 Packaging Master'!$AM$5:$AM$50,MATCH($E47,'05 Packaging Master'!$A$5:$A$50,0)),IFERROR(INDEX('09 Cost Index'!$C$5:$C$24,MATCH($E47,'09 Cost Index'!$A$5:$A$24,0)),"")))</f>
        <v/>
      </c>
      <c r="J47" s="153">
        <f>'01 Control'!$C$7</f>
        <v/>
      </c>
      <c r="K47" s="150">
        <f>IF($I47="","",$G47*$I47*(1+$J47))</f>
        <v/>
      </c>
      <c r="L47" s="177">
        <f>IF(ISNUMBER(MATCH($E47,'09 Cost Index'!$A$5:$A$24,0)),"09 Cost Index",IF(ISNUMBER(MATCH($E47,'05 Packaging Master'!$A$5:$A$46,0)),"05 Packaging Master",IF(ISNUMBER(MATCH($E47,'04 SKU Master'!$A$5:$A$165,0)),"04 SKU Master","NOT FOUND")))</f>
        <v/>
      </c>
      <c r="M47" s="178">
        <f>IFERROR(INDEX('12 Final Menu'!$U$5:$U$200,MATCH($A47,'12 Final Menu'!$A$5:$A$200,0)),0)</f>
        <v/>
      </c>
      <c r="N47" s="165">
        <f>$G47*(1+$J47)*$M47*1000</f>
        <v/>
      </c>
    </row>
    <row r="48" ht="15" customHeight="1" s="106">
      <c r="A48" s="138" t="inlineStr">
        <is>
          <t>PP-PASTA-CAS-ARR</t>
        </is>
      </c>
      <c r="B48" s="138" t="inlineStr">
        <is>
          <t>Arrabbiata</t>
        </is>
      </c>
      <c r="C48" s="138" t="inlineStr">
        <is>
          <t>Core - Signature</t>
        </is>
      </c>
      <c r="D48" s="139" t="inlineStr">
        <is>
          <t>Sauce</t>
        </is>
      </c>
      <c r="E48" s="134" t="inlineStr">
        <is>
          <t>PP-SAUCE-ARR</t>
        </is>
      </c>
      <c r="F48" s="113" t="inlineStr">
        <is>
          <t>Arrabbiata base (CK)</t>
        </is>
      </c>
      <c r="G48" s="147" t="n">
        <v>160</v>
      </c>
      <c r="H48" s="164" t="inlineStr">
        <is>
          <t>g</t>
        </is>
      </c>
      <c r="I48" s="150">
        <f>IFERROR(INDEX('04 SKU Master'!$AM$5:$AM$165,MATCH($E48,'04 SKU Master'!$A$5:$A$165,0)),IFERROR(INDEX('05 Packaging Master'!$AM$5:$AM$50,MATCH($E48,'05 Packaging Master'!$A$5:$A$50,0)),IFERROR(INDEX('09 Cost Index'!$C$5:$C$24,MATCH($E48,'09 Cost Index'!$A$5:$A$24,0)),"")))</f>
        <v/>
      </c>
      <c r="J48" s="153">
        <f>'01 Control'!$C$7</f>
        <v/>
      </c>
      <c r="K48" s="150">
        <f>IF($I48="","",$G48*$I48*(1+$J48))</f>
        <v/>
      </c>
      <c r="L48" s="177">
        <f>IF(ISNUMBER(MATCH($E48,'09 Cost Index'!$A$5:$A$24,0)),"09 Cost Index",IF(ISNUMBER(MATCH($E48,'05 Packaging Master'!$A$5:$A$46,0)),"05 Packaging Master",IF(ISNUMBER(MATCH($E48,'04 SKU Master'!$A$5:$A$165,0)),"04 SKU Master","NOT FOUND")))</f>
        <v/>
      </c>
      <c r="M48" s="178">
        <f>IFERROR(INDEX('12 Final Menu'!$U$5:$U$200,MATCH($A48,'12 Final Menu'!$A$5:$A$200,0)),0)</f>
        <v/>
      </c>
      <c r="N48" s="165">
        <f>$G48*(1+$J48)*$M48*1000</f>
        <v/>
      </c>
    </row>
    <row r="49" ht="15" customHeight="1" s="106">
      <c r="A49" s="138" t="inlineStr">
        <is>
          <t>PP-PASTA-CAS-ARR</t>
        </is>
      </c>
      <c r="B49" s="138" t="inlineStr">
        <is>
          <t>Arrabbiata</t>
        </is>
      </c>
      <c r="C49" s="138" t="inlineStr">
        <is>
          <t>Core - Signature</t>
        </is>
      </c>
      <c r="D49" s="139" t="inlineStr">
        <is>
          <t>Finish</t>
        </is>
      </c>
      <c r="E49" s="134" t="inlineStr">
        <is>
          <t>PP-CHILLI-OIL</t>
        </is>
      </c>
      <c r="F49" s="113" t="inlineStr">
        <is>
          <t>Chilli oil (dial-a-heat)</t>
        </is>
      </c>
      <c r="G49" s="147" t="n">
        <v>5</v>
      </c>
      <c r="H49" s="164" t="inlineStr">
        <is>
          <t>ml</t>
        </is>
      </c>
      <c r="I49" s="150">
        <f>IFERROR(INDEX('04 SKU Master'!$AM$5:$AM$165,MATCH($E49,'04 SKU Master'!$A$5:$A$165,0)),IFERROR(INDEX('05 Packaging Master'!$AM$5:$AM$50,MATCH($E49,'05 Packaging Master'!$A$5:$A$50,0)),IFERROR(INDEX('09 Cost Index'!$C$5:$C$24,MATCH($E49,'09 Cost Index'!$A$5:$A$24,0)),"")))</f>
        <v/>
      </c>
      <c r="J49" s="153">
        <f>'01 Control'!$C$7</f>
        <v/>
      </c>
      <c r="K49" s="150">
        <f>IF($I49="","",$G49*$I49*(1+$J49))</f>
        <v/>
      </c>
      <c r="L49" s="177">
        <f>IF(ISNUMBER(MATCH($E49,'09 Cost Index'!$A$5:$A$24,0)),"09 Cost Index",IF(ISNUMBER(MATCH($E49,'05 Packaging Master'!$A$5:$A$46,0)),"05 Packaging Master",IF(ISNUMBER(MATCH($E49,'04 SKU Master'!$A$5:$A$165,0)),"04 SKU Master","NOT FOUND")))</f>
        <v/>
      </c>
      <c r="M49" s="178">
        <f>IFERROR(INDEX('12 Final Menu'!$U$5:$U$200,MATCH($A49,'12 Final Menu'!$A$5:$A$200,0)),0)</f>
        <v/>
      </c>
      <c r="N49" s="165">
        <f>$G49*(1+$J49)*$M49*1000</f>
        <v/>
      </c>
    </row>
    <row r="50" ht="15" customHeight="1" s="106">
      <c r="A50" s="138" t="inlineStr">
        <is>
          <t>PP-PASTA-CAS-ARR</t>
        </is>
      </c>
      <c r="B50" s="138" t="inlineStr">
        <is>
          <t>Arrabbiata</t>
        </is>
      </c>
      <c r="C50" s="138" t="inlineStr">
        <is>
          <t>Core - Signature</t>
        </is>
      </c>
      <c r="D50" s="139" t="inlineStr">
        <is>
          <t>Finish</t>
        </is>
      </c>
      <c r="E50" s="134" t="inlineStr">
        <is>
          <t>PP-HERB-BASIL-FRESH</t>
        </is>
      </c>
      <c r="F50" s="113" t="inlineStr">
        <is>
          <t>Fresh basil</t>
        </is>
      </c>
      <c r="G50" s="147" t="n">
        <v>3</v>
      </c>
      <c r="H50" s="164" t="inlineStr">
        <is>
          <t>g</t>
        </is>
      </c>
      <c r="I50" s="150">
        <f>IFERROR(INDEX('04 SKU Master'!$AM$5:$AM$165,MATCH($E50,'04 SKU Master'!$A$5:$A$165,0)),IFERROR(INDEX('05 Packaging Master'!$AM$5:$AM$50,MATCH($E50,'05 Packaging Master'!$A$5:$A$50,0)),IFERROR(INDEX('09 Cost Index'!$C$5:$C$24,MATCH($E50,'09 Cost Index'!$A$5:$A$24,0)),"")))</f>
        <v/>
      </c>
      <c r="J50" s="153">
        <f>'01 Control'!$C$7</f>
        <v/>
      </c>
      <c r="K50" s="150">
        <f>IF($I50="","",$G50*$I50*(1+$J50))</f>
        <v/>
      </c>
      <c r="L50" s="177">
        <f>IF(ISNUMBER(MATCH($E50,'09 Cost Index'!$A$5:$A$24,0)),"09 Cost Index",IF(ISNUMBER(MATCH($E50,'05 Packaging Master'!$A$5:$A$46,0)),"05 Packaging Master",IF(ISNUMBER(MATCH($E50,'04 SKU Master'!$A$5:$A$165,0)),"04 SKU Master","NOT FOUND")))</f>
        <v/>
      </c>
      <c r="M50" s="178">
        <f>IFERROR(INDEX('12 Final Menu'!$U$5:$U$200,MATCH($A50,'12 Final Menu'!$A$5:$A$200,0)),0)</f>
        <v/>
      </c>
      <c r="N50" s="165">
        <f>$G50*(1+$J50)*$M50*1000</f>
        <v/>
      </c>
    </row>
    <row r="51" ht="15" customHeight="1" s="106">
      <c r="A51" s="138" t="inlineStr">
        <is>
          <t>PP-PASTA-CAS-ARR</t>
        </is>
      </c>
      <c r="B51" s="138" t="inlineStr">
        <is>
          <t>Arrabbiata</t>
        </is>
      </c>
      <c r="C51" s="138" t="inlineStr">
        <is>
          <t>Core - Signature</t>
        </is>
      </c>
      <c r="D51" s="139" t="inlineStr">
        <is>
          <t>Finish</t>
        </is>
      </c>
      <c r="E51" s="134" t="inlineStr">
        <is>
          <t>PP-EVOO</t>
        </is>
      </c>
      <c r="F51" s="113" t="inlineStr">
        <is>
          <t>Extra-virgin olive oil</t>
        </is>
      </c>
      <c r="G51" s="147" t="n">
        <v>4</v>
      </c>
      <c r="H51" s="164" t="inlineStr">
        <is>
          <t>ml</t>
        </is>
      </c>
      <c r="I51" s="150">
        <f>IFERROR(INDEX('04 SKU Master'!$AM$5:$AM$165,MATCH($E51,'04 SKU Master'!$A$5:$A$165,0)),IFERROR(INDEX('05 Packaging Master'!$AM$5:$AM$50,MATCH($E51,'05 Packaging Master'!$A$5:$A$50,0)),IFERROR(INDEX('09 Cost Index'!$C$5:$C$24,MATCH($E51,'09 Cost Index'!$A$5:$A$24,0)),"")))</f>
        <v/>
      </c>
      <c r="J51" s="153">
        <f>'01 Control'!$C$7</f>
        <v/>
      </c>
      <c r="K51" s="150">
        <f>IF($I51="","",$G51*$I51*(1+$J51))</f>
        <v/>
      </c>
      <c r="L51" s="177">
        <f>IF(ISNUMBER(MATCH($E51,'09 Cost Index'!$A$5:$A$24,0)),"09 Cost Index",IF(ISNUMBER(MATCH($E51,'05 Packaging Master'!$A$5:$A$46,0)),"05 Packaging Master",IF(ISNUMBER(MATCH($E51,'04 SKU Master'!$A$5:$A$165,0)),"04 SKU Master","NOT FOUND")))</f>
        <v/>
      </c>
      <c r="M51" s="178">
        <f>IFERROR(INDEX('12 Final Menu'!$U$5:$U$200,MATCH($A51,'12 Final Menu'!$A$5:$A$200,0)),0)</f>
        <v/>
      </c>
      <c r="N51" s="165">
        <f>$G51*(1+$J51)*$M51*1000</f>
        <v/>
      </c>
    </row>
    <row r="52" ht="15" customHeight="1" s="106">
      <c r="A52" s="138" t="inlineStr">
        <is>
          <t>PP-PASTA-CAS-ARR</t>
        </is>
      </c>
      <c r="B52" s="138" t="inlineStr">
        <is>
          <t>Arrabbiata</t>
        </is>
      </c>
      <c r="C52" s="138" t="inlineStr">
        <is>
          <t>Core - Signature</t>
        </is>
      </c>
      <c r="D52" s="139" t="inlineStr">
        <is>
          <t>Packaging</t>
        </is>
      </c>
      <c r="E52" s="134" t="inlineStr">
        <is>
          <t>PP-PACK-TUB</t>
        </is>
      </c>
      <c r="F52" s="113" t="inlineStr">
        <is>
          <t>Takeaway pasta tub</t>
        </is>
      </c>
      <c r="G52" s="147" t="n">
        <v>1</v>
      </c>
      <c r="H52" s="164" t="inlineStr">
        <is>
          <t>ea</t>
        </is>
      </c>
      <c r="I52" s="150">
        <f>IFERROR(INDEX('04 SKU Master'!$AM$5:$AM$165,MATCH($E52,'04 SKU Master'!$A$5:$A$165,0)),IFERROR(INDEX('05 Packaging Master'!$AM$5:$AM$50,MATCH($E52,'05 Packaging Master'!$A$5:$A$50,0)),IFERROR(INDEX('09 Cost Index'!$C$5:$C$24,MATCH($E52,'09 Cost Index'!$A$5:$A$24,0)),"")))</f>
        <v/>
      </c>
      <c r="J52" s="153">
        <f>'01 Control'!$C$7</f>
        <v/>
      </c>
      <c r="K52" s="150">
        <f>IF($I52="","",$G52*$I52*(1+$J52))</f>
        <v/>
      </c>
      <c r="L52" s="177">
        <f>IF(ISNUMBER(MATCH($E52,'09 Cost Index'!$A$5:$A$24,0)),"09 Cost Index",IF(ISNUMBER(MATCH($E52,'05 Packaging Master'!$A$5:$A$46,0)),"05 Packaging Master",IF(ISNUMBER(MATCH($E52,'04 SKU Master'!$A$5:$A$165,0)),"04 SKU Master","NOT FOUND")))</f>
        <v/>
      </c>
      <c r="M52" s="178">
        <f>IFERROR(INDEX('12 Final Menu'!$U$5:$U$200,MATCH($A52,'12 Final Menu'!$A$5:$A$200,0)),0)</f>
        <v/>
      </c>
      <c r="N52" s="165">
        <f>$G52*(1+$J52)*$M52*1000</f>
        <v/>
      </c>
    </row>
    <row r="53" ht="15" customHeight="1" s="106">
      <c r="A53" s="138" t="inlineStr">
        <is>
          <t>PP-PASTA-CAS-ARR</t>
        </is>
      </c>
      <c r="B53" s="138" t="inlineStr">
        <is>
          <t>Arrabbiata</t>
        </is>
      </c>
      <c r="C53" s="138" t="inlineStr">
        <is>
          <t>Core - Signature</t>
        </is>
      </c>
      <c r="D53" s="139" t="inlineStr">
        <is>
          <t>Packaging</t>
        </is>
      </c>
      <c r="E53" s="134" t="inlineStr">
        <is>
          <t>PP-PACK-LID</t>
        </is>
      </c>
      <c r="F53" s="113" t="inlineStr">
        <is>
          <t>Bowl lid</t>
        </is>
      </c>
      <c r="G53" s="147" t="n">
        <v>1</v>
      </c>
      <c r="H53" s="164" t="inlineStr">
        <is>
          <t>ea</t>
        </is>
      </c>
      <c r="I53" s="150">
        <f>IFERROR(INDEX('04 SKU Master'!$AM$5:$AM$165,MATCH($E53,'04 SKU Master'!$A$5:$A$165,0)),IFERROR(INDEX('05 Packaging Master'!$AM$5:$AM$50,MATCH($E53,'05 Packaging Master'!$A$5:$A$50,0)),IFERROR(INDEX('09 Cost Index'!$C$5:$C$24,MATCH($E53,'09 Cost Index'!$A$5:$A$24,0)),"")))</f>
        <v/>
      </c>
      <c r="J53" s="153">
        <f>'01 Control'!$C$7</f>
        <v/>
      </c>
      <c r="K53" s="150">
        <f>IF($I53="","",$G53*$I53*(1+$J53))</f>
        <v/>
      </c>
      <c r="L53" s="177">
        <f>IF(ISNUMBER(MATCH($E53,'09 Cost Index'!$A$5:$A$24,0)),"09 Cost Index",IF(ISNUMBER(MATCH($E53,'05 Packaging Master'!$A$5:$A$46,0)),"05 Packaging Master",IF(ISNUMBER(MATCH($E53,'04 SKU Master'!$A$5:$A$165,0)),"04 SKU Master","NOT FOUND")))</f>
        <v/>
      </c>
      <c r="M53" s="178">
        <f>IFERROR(INDEX('12 Final Menu'!$U$5:$U$200,MATCH($A53,'12 Final Menu'!$A$5:$A$200,0)),0)</f>
        <v/>
      </c>
      <c r="N53" s="165">
        <f>$G53*(1+$J53)*$M53*1000</f>
        <v/>
      </c>
    </row>
    <row r="54" ht="15" customHeight="1" s="106">
      <c r="A54" s="138" t="inlineStr">
        <is>
          <t>PP-PASTA-CAS-ARR</t>
        </is>
      </c>
      <c r="B54" s="138" t="inlineStr">
        <is>
          <t>Arrabbiata</t>
        </is>
      </c>
      <c r="C54" s="138" t="inlineStr">
        <is>
          <t>Core - Signature</t>
        </is>
      </c>
      <c r="D54" s="139" t="inlineStr">
        <is>
          <t>Packaging</t>
        </is>
      </c>
      <c r="E54" s="134" t="inlineStr">
        <is>
          <t>PP-PACK-CUTLERY</t>
        </is>
      </c>
      <c r="F54" s="113" t="inlineStr">
        <is>
          <t>Cutlery set</t>
        </is>
      </c>
      <c r="G54" s="147" t="n">
        <v>1</v>
      </c>
      <c r="H54" s="164" t="inlineStr">
        <is>
          <t>ea</t>
        </is>
      </c>
      <c r="I54" s="150">
        <f>IFERROR(INDEX('04 SKU Master'!$AM$5:$AM$165,MATCH($E54,'04 SKU Master'!$A$5:$A$165,0)),IFERROR(INDEX('05 Packaging Master'!$AM$5:$AM$50,MATCH($E54,'05 Packaging Master'!$A$5:$A$50,0)),IFERROR(INDEX('09 Cost Index'!$C$5:$C$24,MATCH($E54,'09 Cost Index'!$A$5:$A$24,0)),"")))</f>
        <v/>
      </c>
      <c r="J54" s="153">
        <f>'01 Control'!$C$7</f>
        <v/>
      </c>
      <c r="K54" s="150">
        <f>IF($I54="","",$G54*$I54*(1+$J54))</f>
        <v/>
      </c>
      <c r="L54" s="177">
        <f>IF(ISNUMBER(MATCH($E54,'09 Cost Index'!$A$5:$A$24,0)),"09 Cost Index",IF(ISNUMBER(MATCH($E54,'05 Packaging Master'!$A$5:$A$46,0)),"05 Packaging Master",IF(ISNUMBER(MATCH($E54,'04 SKU Master'!$A$5:$A$165,0)),"04 SKU Master","NOT FOUND")))</f>
        <v/>
      </c>
      <c r="M54" s="178">
        <f>IFERROR(INDEX('12 Final Menu'!$U$5:$U$200,MATCH($A54,'12 Final Menu'!$A$5:$A$200,0)),0)</f>
        <v/>
      </c>
      <c r="N54" s="165">
        <f>$G54*(1+$J54)*$M54*1000</f>
        <v/>
      </c>
    </row>
    <row r="55" ht="15" customHeight="1" s="106">
      <c r="A55" s="138" t="inlineStr">
        <is>
          <t>PP-PASTA-CAS-ARR</t>
        </is>
      </c>
      <c r="B55" s="138" t="inlineStr">
        <is>
          <t>Arrabbiata</t>
        </is>
      </c>
      <c r="C55" s="138" t="inlineStr">
        <is>
          <t>Core - Signature</t>
        </is>
      </c>
      <c r="D55" s="139" t="inlineStr">
        <is>
          <t>Packaging</t>
        </is>
      </c>
      <c r="E55" s="134" t="inlineStr">
        <is>
          <t>PP-PACK-NAPKIN</t>
        </is>
      </c>
      <c r="F55" s="113" t="inlineStr">
        <is>
          <t>Branded napkin</t>
        </is>
      </c>
      <c r="G55" s="147" t="n">
        <v>1</v>
      </c>
      <c r="H55" s="164" t="inlineStr">
        <is>
          <t>ea</t>
        </is>
      </c>
      <c r="I55" s="150">
        <f>IFERROR(INDEX('04 SKU Master'!$AM$5:$AM$165,MATCH($E55,'04 SKU Master'!$A$5:$A$165,0)),IFERROR(INDEX('05 Packaging Master'!$AM$5:$AM$50,MATCH($E55,'05 Packaging Master'!$A$5:$A$50,0)),IFERROR(INDEX('09 Cost Index'!$C$5:$C$24,MATCH($E55,'09 Cost Index'!$A$5:$A$24,0)),"")))</f>
        <v/>
      </c>
      <c r="J55" s="153">
        <f>'01 Control'!$C$7</f>
        <v/>
      </c>
      <c r="K55" s="150">
        <f>IF($I55="","",$G55*$I55*(1+$J55))</f>
        <v/>
      </c>
      <c r="L55" s="177">
        <f>IF(ISNUMBER(MATCH($E55,'09 Cost Index'!$A$5:$A$24,0)),"09 Cost Index",IF(ISNUMBER(MATCH($E55,'05 Packaging Master'!$A$5:$A$46,0)),"05 Packaging Master",IF(ISNUMBER(MATCH($E55,'04 SKU Master'!$A$5:$A$165,0)),"04 SKU Master","NOT FOUND")))</f>
        <v/>
      </c>
      <c r="M55" s="178">
        <f>IFERROR(INDEX('12 Final Menu'!$U$5:$U$200,MATCH($A55,'12 Final Menu'!$A$5:$A$200,0)),0)</f>
        <v/>
      </c>
      <c r="N55" s="165">
        <f>$G55*(1+$J55)*$M55*1000</f>
        <v/>
      </c>
    </row>
    <row r="57" ht="15" customHeight="1" s="106">
      <c r="A57" s="144" t="inlineStr">
        <is>
          <t>Basil Pesto   |   Casarecce   |   Protein+ Pro dough   |   PP-PASTA-CAS-PES</t>
        </is>
      </c>
      <c r="B57" s="110" t="n"/>
      <c r="C57" s="110" t="n"/>
      <c r="D57" s="110" t="n"/>
      <c r="E57" s="110" t="n"/>
      <c r="F57" s="110" t="n"/>
      <c r="G57" s="110" t="n"/>
      <c r="H57" s="110" t="n"/>
      <c r="I57" s="110" t="n"/>
      <c r="J57" s="110" t="n"/>
      <c r="K57" s="110" t="n"/>
      <c r="L57" s="110" t="n"/>
      <c r="M57" s="110" t="n"/>
      <c r="N57" s="111" t="n"/>
    </row>
    <row r="58" ht="15" customHeight="1" s="106">
      <c r="A58" s="138" t="inlineStr">
        <is>
          <t>PP-PASTA-CAS-PES</t>
        </is>
      </c>
      <c r="B58" s="138" t="inlineStr">
        <is>
          <t>Basil Pesto</t>
        </is>
      </c>
      <c r="C58" s="138" t="inlineStr">
        <is>
          <t>Core - Signature</t>
        </is>
      </c>
      <c r="D58" s="139" t="inlineStr">
        <is>
          <t>Pasta</t>
        </is>
      </c>
      <c r="E58" s="134" t="inlineStr">
        <is>
          <t>PP-DOUGH-PROTEIN</t>
        </is>
      </c>
      <c r="F58" s="113" t="inlineStr">
        <is>
          <t>Protein+ Pro, Casarecce - dried weight</t>
        </is>
      </c>
      <c r="G58" s="147" t="n">
        <v>111</v>
      </c>
      <c r="H58" s="164" t="inlineStr">
        <is>
          <t>g</t>
        </is>
      </c>
      <c r="I58" s="150">
        <f>IFERROR(INDEX('04 SKU Master'!$AM$5:$AM$165,MATCH($E58,'04 SKU Master'!$A$5:$A$165,0)),IFERROR(INDEX('05 Packaging Master'!$AM$5:$AM$50,MATCH($E58,'05 Packaging Master'!$A$5:$A$50,0)),IFERROR(INDEX('09 Cost Index'!$C$5:$C$24,MATCH($E58,'09 Cost Index'!$A$5:$A$24,0)),"")))</f>
        <v/>
      </c>
      <c r="J58" s="153">
        <f>'01 Control'!$C$7</f>
        <v/>
      </c>
      <c r="K58" s="150">
        <f>IF($I58="","",$G58*$I58*(1+$J58))</f>
        <v/>
      </c>
      <c r="L58" s="177">
        <f>IF(ISNUMBER(MATCH($E58,'09 Cost Index'!$A$5:$A$24,0)),"09 Cost Index",IF(ISNUMBER(MATCH($E58,'05 Packaging Master'!$A$5:$A$46,0)),"05 Packaging Master",IF(ISNUMBER(MATCH($E58,'04 SKU Master'!$A$5:$A$165,0)),"04 SKU Master","NOT FOUND")))</f>
        <v/>
      </c>
      <c r="M58" s="178">
        <f>IFERROR(INDEX('12 Final Menu'!$U$5:$U$200,MATCH($A58,'12 Final Menu'!$A$5:$A$200,0)),0)</f>
        <v/>
      </c>
      <c r="N58" s="165">
        <f>$G58*(1+$J58)*$M58*1000</f>
        <v/>
      </c>
    </row>
    <row r="59" ht="15" customHeight="1" s="106">
      <c r="A59" s="138" t="inlineStr">
        <is>
          <t>PP-PASTA-CAS-PES</t>
        </is>
      </c>
      <c r="B59" s="138" t="inlineStr">
        <is>
          <t>Basil Pesto</t>
        </is>
      </c>
      <c r="C59" s="138" t="inlineStr">
        <is>
          <t>Core - Signature</t>
        </is>
      </c>
      <c r="D59" s="139" t="inlineStr">
        <is>
          <t>Sauce</t>
        </is>
      </c>
      <c r="E59" s="134" t="inlineStr">
        <is>
          <t>PP-SAUCE-PES</t>
        </is>
      </c>
      <c r="F59" s="113" t="inlineStr">
        <is>
          <t>Basil pesto (CK, cold)</t>
        </is>
      </c>
      <c r="G59" s="147" t="n">
        <v>70</v>
      </c>
      <c r="H59" s="164" t="inlineStr">
        <is>
          <t>g</t>
        </is>
      </c>
      <c r="I59" s="150">
        <f>IFERROR(INDEX('04 SKU Master'!$AM$5:$AM$165,MATCH($E59,'04 SKU Master'!$A$5:$A$165,0)),IFERROR(INDEX('05 Packaging Master'!$AM$5:$AM$50,MATCH($E59,'05 Packaging Master'!$A$5:$A$50,0)),IFERROR(INDEX('09 Cost Index'!$C$5:$C$24,MATCH($E59,'09 Cost Index'!$A$5:$A$24,0)),"")))</f>
        <v/>
      </c>
      <c r="J59" s="153">
        <f>'01 Control'!$C$7</f>
        <v/>
      </c>
      <c r="K59" s="150">
        <f>IF($I59="","",$G59*$I59*(1+$J59))</f>
        <v/>
      </c>
      <c r="L59" s="177">
        <f>IF(ISNUMBER(MATCH($E59,'09 Cost Index'!$A$5:$A$24,0)),"09 Cost Index",IF(ISNUMBER(MATCH($E59,'05 Packaging Master'!$A$5:$A$46,0)),"05 Packaging Master",IF(ISNUMBER(MATCH($E59,'04 SKU Master'!$A$5:$A$165,0)),"04 SKU Master","NOT FOUND")))</f>
        <v/>
      </c>
      <c r="M59" s="178">
        <f>IFERROR(INDEX('12 Final Menu'!$U$5:$U$200,MATCH($A59,'12 Final Menu'!$A$5:$A$200,0)),0)</f>
        <v/>
      </c>
      <c r="N59" s="165">
        <f>$G59*(1+$J59)*$M59*1000</f>
        <v/>
      </c>
    </row>
    <row r="60" ht="15" customHeight="1" s="106">
      <c r="A60" s="138" t="inlineStr">
        <is>
          <t>PP-PASTA-CAS-PES</t>
        </is>
      </c>
      <c r="B60" s="138" t="inlineStr">
        <is>
          <t>Basil Pesto</t>
        </is>
      </c>
      <c r="C60" s="138" t="inlineStr">
        <is>
          <t>Core - Signature</t>
        </is>
      </c>
      <c r="D60" s="139" t="inlineStr">
        <is>
          <t>Finish</t>
        </is>
      </c>
      <c r="E60" s="134" t="inlineStr">
        <is>
          <t>PP-PARM</t>
        </is>
      </c>
      <c r="F60" s="113" t="inlineStr">
        <is>
          <t>Shaved parmesan</t>
        </is>
      </c>
      <c r="G60" s="147" t="n">
        <v>10</v>
      </c>
      <c r="H60" s="164" t="inlineStr">
        <is>
          <t>g</t>
        </is>
      </c>
      <c r="I60" s="150">
        <f>IFERROR(INDEX('04 SKU Master'!$AM$5:$AM$165,MATCH($E60,'04 SKU Master'!$A$5:$A$165,0)),IFERROR(INDEX('05 Packaging Master'!$AM$5:$AM$50,MATCH($E60,'05 Packaging Master'!$A$5:$A$50,0)),IFERROR(INDEX('09 Cost Index'!$C$5:$C$24,MATCH($E60,'09 Cost Index'!$A$5:$A$24,0)),"")))</f>
        <v/>
      </c>
      <c r="J60" s="153">
        <f>'01 Control'!$C$7</f>
        <v/>
      </c>
      <c r="K60" s="150">
        <f>IF($I60="","",$G60*$I60*(1+$J60))</f>
        <v/>
      </c>
      <c r="L60" s="177">
        <f>IF(ISNUMBER(MATCH($E60,'09 Cost Index'!$A$5:$A$24,0)),"09 Cost Index",IF(ISNUMBER(MATCH($E60,'05 Packaging Master'!$A$5:$A$46,0)),"05 Packaging Master",IF(ISNUMBER(MATCH($E60,'04 SKU Master'!$A$5:$A$165,0)),"04 SKU Master","NOT FOUND")))</f>
        <v/>
      </c>
      <c r="M60" s="178">
        <f>IFERROR(INDEX('12 Final Menu'!$U$5:$U$200,MATCH($A60,'12 Final Menu'!$A$5:$A$200,0)),0)</f>
        <v/>
      </c>
      <c r="N60" s="165">
        <f>$G60*(1+$J60)*$M60*1000</f>
        <v/>
      </c>
    </row>
    <row r="61" ht="15" customHeight="1" s="106">
      <c r="A61" s="138" t="inlineStr">
        <is>
          <t>PP-PASTA-CAS-PES</t>
        </is>
      </c>
      <c r="B61" s="138" t="inlineStr">
        <is>
          <t>Basil Pesto</t>
        </is>
      </c>
      <c r="C61" s="138" t="inlineStr">
        <is>
          <t>Core - Signature</t>
        </is>
      </c>
      <c r="D61" s="139" t="inlineStr">
        <is>
          <t>Finish</t>
        </is>
      </c>
      <c r="E61" s="134" t="inlineStr">
        <is>
          <t>PP-VEG-ROCKET</t>
        </is>
      </c>
      <c r="F61" s="113" t="inlineStr">
        <is>
          <t>Rocket</t>
        </is>
      </c>
      <c r="G61" s="147" t="n">
        <v>8</v>
      </c>
      <c r="H61" s="164" t="inlineStr">
        <is>
          <t>g</t>
        </is>
      </c>
      <c r="I61" s="150">
        <f>IFERROR(INDEX('04 SKU Master'!$AM$5:$AM$165,MATCH($E61,'04 SKU Master'!$A$5:$A$165,0)),IFERROR(INDEX('05 Packaging Master'!$AM$5:$AM$50,MATCH($E61,'05 Packaging Master'!$A$5:$A$50,0)),IFERROR(INDEX('09 Cost Index'!$C$5:$C$24,MATCH($E61,'09 Cost Index'!$A$5:$A$24,0)),"")))</f>
        <v/>
      </c>
      <c r="J61" s="153">
        <f>'01 Control'!$C$7</f>
        <v/>
      </c>
      <c r="K61" s="150">
        <f>IF($I61="","",$G61*$I61*(1+$J61))</f>
        <v/>
      </c>
      <c r="L61" s="177">
        <f>IF(ISNUMBER(MATCH($E61,'09 Cost Index'!$A$5:$A$24,0)),"09 Cost Index",IF(ISNUMBER(MATCH($E61,'05 Packaging Master'!$A$5:$A$46,0)),"05 Packaging Master",IF(ISNUMBER(MATCH($E61,'04 SKU Master'!$A$5:$A$165,0)),"04 SKU Master","NOT FOUND")))</f>
        <v/>
      </c>
      <c r="M61" s="178">
        <f>IFERROR(INDEX('12 Final Menu'!$U$5:$U$200,MATCH($A61,'12 Final Menu'!$A$5:$A$200,0)),0)</f>
        <v/>
      </c>
      <c r="N61" s="165">
        <f>$G61*(1+$J61)*$M61*1000</f>
        <v/>
      </c>
    </row>
    <row r="62" ht="15" customHeight="1" s="106">
      <c r="A62" s="138" t="inlineStr">
        <is>
          <t>PP-PASTA-CAS-PES</t>
        </is>
      </c>
      <c r="B62" s="138" t="inlineStr">
        <is>
          <t>Basil Pesto</t>
        </is>
      </c>
      <c r="C62" s="138" t="inlineStr">
        <is>
          <t>Core - Signature</t>
        </is>
      </c>
      <c r="D62" s="139" t="inlineStr">
        <is>
          <t>Packaging</t>
        </is>
      </c>
      <c r="E62" s="134" t="inlineStr">
        <is>
          <t>PP-PACK-TUB</t>
        </is>
      </c>
      <c r="F62" s="113" t="inlineStr">
        <is>
          <t>Takeaway pasta tub</t>
        </is>
      </c>
      <c r="G62" s="147" t="n">
        <v>1</v>
      </c>
      <c r="H62" s="164" t="inlineStr">
        <is>
          <t>ea</t>
        </is>
      </c>
      <c r="I62" s="150">
        <f>IFERROR(INDEX('04 SKU Master'!$AM$5:$AM$165,MATCH($E62,'04 SKU Master'!$A$5:$A$165,0)),IFERROR(INDEX('05 Packaging Master'!$AM$5:$AM$50,MATCH($E62,'05 Packaging Master'!$A$5:$A$50,0)),IFERROR(INDEX('09 Cost Index'!$C$5:$C$24,MATCH($E62,'09 Cost Index'!$A$5:$A$24,0)),"")))</f>
        <v/>
      </c>
      <c r="J62" s="153">
        <f>'01 Control'!$C$7</f>
        <v/>
      </c>
      <c r="K62" s="150">
        <f>IF($I62="","",$G62*$I62*(1+$J62))</f>
        <v/>
      </c>
      <c r="L62" s="177">
        <f>IF(ISNUMBER(MATCH($E62,'09 Cost Index'!$A$5:$A$24,0)),"09 Cost Index",IF(ISNUMBER(MATCH($E62,'05 Packaging Master'!$A$5:$A$46,0)),"05 Packaging Master",IF(ISNUMBER(MATCH($E62,'04 SKU Master'!$A$5:$A$165,0)),"04 SKU Master","NOT FOUND")))</f>
        <v/>
      </c>
      <c r="M62" s="178">
        <f>IFERROR(INDEX('12 Final Menu'!$U$5:$U$200,MATCH($A62,'12 Final Menu'!$A$5:$A$200,0)),0)</f>
        <v/>
      </c>
      <c r="N62" s="165">
        <f>$G62*(1+$J62)*$M62*1000</f>
        <v/>
      </c>
    </row>
    <row r="63" ht="15" customHeight="1" s="106">
      <c r="A63" s="138" t="inlineStr">
        <is>
          <t>PP-PASTA-CAS-PES</t>
        </is>
      </c>
      <c r="B63" s="138" t="inlineStr">
        <is>
          <t>Basil Pesto</t>
        </is>
      </c>
      <c r="C63" s="138" t="inlineStr">
        <is>
          <t>Core - Signature</t>
        </is>
      </c>
      <c r="D63" s="139" t="inlineStr">
        <is>
          <t>Packaging</t>
        </is>
      </c>
      <c r="E63" s="134" t="inlineStr">
        <is>
          <t>PP-PACK-LID</t>
        </is>
      </c>
      <c r="F63" s="113" t="inlineStr">
        <is>
          <t>Bowl lid</t>
        </is>
      </c>
      <c r="G63" s="147" t="n">
        <v>1</v>
      </c>
      <c r="H63" s="164" t="inlineStr">
        <is>
          <t>ea</t>
        </is>
      </c>
      <c r="I63" s="150">
        <f>IFERROR(INDEX('04 SKU Master'!$AM$5:$AM$165,MATCH($E63,'04 SKU Master'!$A$5:$A$165,0)),IFERROR(INDEX('05 Packaging Master'!$AM$5:$AM$50,MATCH($E63,'05 Packaging Master'!$A$5:$A$50,0)),IFERROR(INDEX('09 Cost Index'!$C$5:$C$24,MATCH($E63,'09 Cost Index'!$A$5:$A$24,0)),"")))</f>
        <v/>
      </c>
      <c r="J63" s="153">
        <f>'01 Control'!$C$7</f>
        <v/>
      </c>
      <c r="K63" s="150">
        <f>IF($I63="","",$G63*$I63*(1+$J63))</f>
        <v/>
      </c>
      <c r="L63" s="177">
        <f>IF(ISNUMBER(MATCH($E63,'09 Cost Index'!$A$5:$A$24,0)),"09 Cost Index",IF(ISNUMBER(MATCH($E63,'05 Packaging Master'!$A$5:$A$46,0)),"05 Packaging Master",IF(ISNUMBER(MATCH($E63,'04 SKU Master'!$A$5:$A$165,0)),"04 SKU Master","NOT FOUND")))</f>
        <v/>
      </c>
      <c r="M63" s="178">
        <f>IFERROR(INDEX('12 Final Menu'!$U$5:$U$200,MATCH($A63,'12 Final Menu'!$A$5:$A$200,0)),0)</f>
        <v/>
      </c>
      <c r="N63" s="165">
        <f>$G63*(1+$J63)*$M63*1000</f>
        <v/>
      </c>
    </row>
    <row r="64" ht="15" customHeight="1" s="106">
      <c r="A64" s="138" t="inlineStr">
        <is>
          <t>PP-PASTA-CAS-PES</t>
        </is>
      </c>
      <c r="B64" s="138" t="inlineStr">
        <is>
          <t>Basil Pesto</t>
        </is>
      </c>
      <c r="C64" s="138" t="inlineStr">
        <is>
          <t>Core - Signature</t>
        </is>
      </c>
      <c r="D64" s="139" t="inlineStr">
        <is>
          <t>Packaging</t>
        </is>
      </c>
      <c r="E64" s="134" t="inlineStr">
        <is>
          <t>PP-PACK-CUTLERY</t>
        </is>
      </c>
      <c r="F64" s="113" t="inlineStr">
        <is>
          <t>Cutlery set</t>
        </is>
      </c>
      <c r="G64" s="147" t="n">
        <v>1</v>
      </c>
      <c r="H64" s="164" t="inlineStr">
        <is>
          <t>ea</t>
        </is>
      </c>
      <c r="I64" s="150">
        <f>IFERROR(INDEX('04 SKU Master'!$AM$5:$AM$165,MATCH($E64,'04 SKU Master'!$A$5:$A$165,0)),IFERROR(INDEX('05 Packaging Master'!$AM$5:$AM$50,MATCH($E64,'05 Packaging Master'!$A$5:$A$50,0)),IFERROR(INDEX('09 Cost Index'!$C$5:$C$24,MATCH($E64,'09 Cost Index'!$A$5:$A$24,0)),"")))</f>
        <v/>
      </c>
      <c r="J64" s="153">
        <f>'01 Control'!$C$7</f>
        <v/>
      </c>
      <c r="K64" s="150">
        <f>IF($I64="","",$G64*$I64*(1+$J64))</f>
        <v/>
      </c>
      <c r="L64" s="177">
        <f>IF(ISNUMBER(MATCH($E64,'09 Cost Index'!$A$5:$A$24,0)),"09 Cost Index",IF(ISNUMBER(MATCH($E64,'05 Packaging Master'!$A$5:$A$46,0)),"05 Packaging Master",IF(ISNUMBER(MATCH($E64,'04 SKU Master'!$A$5:$A$165,0)),"04 SKU Master","NOT FOUND")))</f>
        <v/>
      </c>
      <c r="M64" s="178">
        <f>IFERROR(INDEX('12 Final Menu'!$U$5:$U$200,MATCH($A64,'12 Final Menu'!$A$5:$A$200,0)),0)</f>
        <v/>
      </c>
      <c r="N64" s="165">
        <f>$G64*(1+$J64)*$M64*1000</f>
        <v/>
      </c>
    </row>
    <row r="65" ht="15" customHeight="1" s="106">
      <c r="A65" s="138" t="inlineStr">
        <is>
          <t>PP-PASTA-CAS-PES</t>
        </is>
      </c>
      <c r="B65" s="138" t="inlineStr">
        <is>
          <t>Basil Pesto</t>
        </is>
      </c>
      <c r="C65" s="138" t="inlineStr">
        <is>
          <t>Core - Signature</t>
        </is>
      </c>
      <c r="D65" s="139" t="inlineStr">
        <is>
          <t>Packaging</t>
        </is>
      </c>
      <c r="E65" s="134" t="inlineStr">
        <is>
          <t>PP-PACK-NAPKIN</t>
        </is>
      </c>
      <c r="F65" s="113" t="inlineStr">
        <is>
          <t>Branded napkin</t>
        </is>
      </c>
      <c r="G65" s="147" t="n">
        <v>1</v>
      </c>
      <c r="H65" s="164" t="inlineStr">
        <is>
          <t>ea</t>
        </is>
      </c>
      <c r="I65" s="150">
        <f>IFERROR(INDEX('04 SKU Master'!$AM$5:$AM$165,MATCH($E65,'04 SKU Master'!$A$5:$A$165,0)),IFERROR(INDEX('05 Packaging Master'!$AM$5:$AM$50,MATCH($E65,'05 Packaging Master'!$A$5:$A$50,0)),IFERROR(INDEX('09 Cost Index'!$C$5:$C$24,MATCH($E65,'09 Cost Index'!$A$5:$A$24,0)),"")))</f>
        <v/>
      </c>
      <c r="J65" s="153">
        <f>'01 Control'!$C$7</f>
        <v/>
      </c>
      <c r="K65" s="150">
        <f>IF($I65="","",$G65*$I65*(1+$J65))</f>
        <v/>
      </c>
      <c r="L65" s="177">
        <f>IF(ISNUMBER(MATCH($E65,'09 Cost Index'!$A$5:$A$24,0)),"09 Cost Index",IF(ISNUMBER(MATCH($E65,'05 Packaging Master'!$A$5:$A$46,0)),"05 Packaging Master",IF(ISNUMBER(MATCH($E65,'04 SKU Master'!$A$5:$A$165,0)),"04 SKU Master","NOT FOUND")))</f>
        <v/>
      </c>
      <c r="M65" s="178">
        <f>IFERROR(INDEX('12 Final Menu'!$U$5:$U$200,MATCH($A65,'12 Final Menu'!$A$5:$A$200,0)),0)</f>
        <v/>
      </c>
      <c r="N65" s="165">
        <f>$G65*(1+$J65)*$M65*1000</f>
        <v/>
      </c>
    </row>
    <row r="67" ht="15" customHeight="1" s="106">
      <c r="A67" s="144" t="inlineStr">
        <is>
          <t>Boscaiola   |   Fusilli   |   Farmhouse dough   |   PP-PASTA-FUS-BOSC</t>
        </is>
      </c>
      <c r="B67" s="110" t="n"/>
      <c r="C67" s="110" t="n"/>
      <c r="D67" s="110" t="n"/>
      <c r="E67" s="110" t="n"/>
      <c r="F67" s="110" t="n"/>
      <c r="G67" s="110" t="n"/>
      <c r="H67" s="110" t="n"/>
      <c r="I67" s="110" t="n"/>
      <c r="J67" s="110" t="n"/>
      <c r="K67" s="110" t="n"/>
      <c r="L67" s="110" t="n"/>
      <c r="M67" s="110" t="n"/>
      <c r="N67" s="111" t="n"/>
    </row>
    <row r="68" ht="15" customHeight="1" s="106">
      <c r="A68" s="138" t="inlineStr">
        <is>
          <t>PP-PASTA-FUS-BOSC</t>
        </is>
      </c>
      <c r="B68" s="138" t="inlineStr">
        <is>
          <t>Boscaiola</t>
        </is>
      </c>
      <c r="C68" s="138" t="inlineStr">
        <is>
          <t>Core - Signature</t>
        </is>
      </c>
      <c r="D68" s="139" t="inlineStr">
        <is>
          <t>Pasta</t>
        </is>
      </c>
      <c r="E68" s="134" t="inlineStr">
        <is>
          <t>PP-DOUGH-FARMHOUSE</t>
        </is>
      </c>
      <c r="F68" s="113" t="inlineStr">
        <is>
          <t>Farmhouse, Fusilli - dried weight</t>
        </is>
      </c>
      <c r="G68" s="147" t="n">
        <v>111</v>
      </c>
      <c r="H68" s="164" t="inlineStr">
        <is>
          <t>g</t>
        </is>
      </c>
      <c r="I68" s="150">
        <f>IFERROR(INDEX('04 SKU Master'!$AM$5:$AM$165,MATCH($E68,'04 SKU Master'!$A$5:$A$165,0)),IFERROR(INDEX('05 Packaging Master'!$AM$5:$AM$50,MATCH($E68,'05 Packaging Master'!$A$5:$A$50,0)),IFERROR(INDEX('09 Cost Index'!$C$5:$C$24,MATCH($E68,'09 Cost Index'!$A$5:$A$24,0)),"")))</f>
        <v/>
      </c>
      <c r="J68" s="153">
        <f>'01 Control'!$C$7</f>
        <v/>
      </c>
      <c r="K68" s="150">
        <f>IF($I68="","",$G68*$I68*(1+$J68))</f>
        <v/>
      </c>
      <c r="L68" s="177">
        <f>IF(ISNUMBER(MATCH($E68,'09 Cost Index'!$A$5:$A$24,0)),"09 Cost Index",IF(ISNUMBER(MATCH($E68,'05 Packaging Master'!$A$5:$A$46,0)),"05 Packaging Master",IF(ISNUMBER(MATCH($E68,'04 SKU Master'!$A$5:$A$165,0)),"04 SKU Master","NOT FOUND")))</f>
        <v/>
      </c>
      <c r="M68" s="178">
        <f>IFERROR(INDEX('12 Final Menu'!$U$5:$U$200,MATCH($A68,'12 Final Menu'!$A$5:$A$200,0)),0)</f>
        <v/>
      </c>
      <c r="N68" s="165">
        <f>$G68*(1+$J68)*$M68*1000</f>
        <v/>
      </c>
    </row>
    <row r="69" ht="15" customHeight="1" s="106">
      <c r="A69" s="138" t="inlineStr">
        <is>
          <t>PP-PASTA-FUS-BOSC</t>
        </is>
      </c>
      <c r="B69" s="138" t="inlineStr">
        <is>
          <t>Boscaiola</t>
        </is>
      </c>
      <c r="C69" s="138" t="inlineStr">
        <is>
          <t>Core - Signature</t>
        </is>
      </c>
      <c r="D69" s="139" t="inlineStr">
        <is>
          <t>Sauce</t>
        </is>
      </c>
      <c r="E69" s="134" t="inlineStr">
        <is>
          <t>PP-SAUCE-BOSC</t>
        </is>
      </c>
      <c r="F69" s="113" t="inlineStr">
        <is>
          <t>Mushroom cream base (CK)</t>
        </is>
      </c>
      <c r="G69" s="147" t="n">
        <v>160</v>
      </c>
      <c r="H69" s="164" t="inlineStr">
        <is>
          <t>g</t>
        </is>
      </c>
      <c r="I69" s="150">
        <f>IFERROR(INDEX('04 SKU Master'!$AM$5:$AM$165,MATCH($E69,'04 SKU Master'!$A$5:$A$165,0)),IFERROR(INDEX('05 Packaging Master'!$AM$5:$AM$50,MATCH($E69,'05 Packaging Master'!$A$5:$A$50,0)),IFERROR(INDEX('09 Cost Index'!$C$5:$C$24,MATCH($E69,'09 Cost Index'!$A$5:$A$24,0)),"")))</f>
        <v/>
      </c>
      <c r="J69" s="153">
        <f>'01 Control'!$C$7</f>
        <v/>
      </c>
      <c r="K69" s="150">
        <f>IF($I69="","",$G69*$I69*(1+$J69))</f>
        <v/>
      </c>
      <c r="L69" s="177">
        <f>IF(ISNUMBER(MATCH($E69,'09 Cost Index'!$A$5:$A$24,0)),"09 Cost Index",IF(ISNUMBER(MATCH($E69,'05 Packaging Master'!$A$5:$A$46,0)),"05 Packaging Master",IF(ISNUMBER(MATCH($E69,'04 SKU Master'!$A$5:$A$165,0)),"04 SKU Master","NOT FOUND")))</f>
        <v/>
      </c>
      <c r="M69" s="178">
        <f>IFERROR(INDEX('12 Final Menu'!$U$5:$U$200,MATCH($A69,'12 Final Menu'!$A$5:$A$200,0)),0)</f>
        <v/>
      </c>
      <c r="N69" s="165">
        <f>$G69*(1+$J69)*$M69*1000</f>
        <v/>
      </c>
    </row>
    <row r="70" ht="15" customHeight="1" s="106">
      <c r="A70" s="138" t="inlineStr">
        <is>
          <t>PP-PASTA-FUS-BOSC</t>
        </is>
      </c>
      <c r="B70" s="138" t="inlineStr">
        <is>
          <t>Boscaiola</t>
        </is>
      </c>
      <c r="C70" s="138" t="inlineStr">
        <is>
          <t>Core - Signature</t>
        </is>
      </c>
      <c r="D70" s="139" t="inlineStr">
        <is>
          <t>Protein</t>
        </is>
      </c>
      <c r="E70" s="134" t="inlineStr">
        <is>
          <t>PP-BEEF-BACON</t>
        </is>
      </c>
      <c r="F70" s="113" t="inlineStr">
        <is>
          <t>Smoky beef</t>
        </is>
      </c>
      <c r="G70" s="147" t="n">
        <v>35</v>
      </c>
      <c r="H70" s="164" t="inlineStr">
        <is>
          <t>g</t>
        </is>
      </c>
      <c r="I70" s="150">
        <f>IFERROR(INDEX('04 SKU Master'!$AM$5:$AM$165,MATCH($E70,'04 SKU Master'!$A$5:$A$165,0)),IFERROR(INDEX('05 Packaging Master'!$AM$5:$AM$50,MATCH($E70,'05 Packaging Master'!$A$5:$A$50,0)),IFERROR(INDEX('09 Cost Index'!$C$5:$C$24,MATCH($E70,'09 Cost Index'!$A$5:$A$24,0)),"")))</f>
        <v/>
      </c>
      <c r="J70" s="153">
        <f>'01 Control'!$C$7</f>
        <v/>
      </c>
      <c r="K70" s="150">
        <f>IF($I70="","",$G70*$I70*(1+$J70))</f>
        <v/>
      </c>
      <c r="L70" s="177">
        <f>IF(ISNUMBER(MATCH($E70,'09 Cost Index'!$A$5:$A$24,0)),"09 Cost Index",IF(ISNUMBER(MATCH($E70,'05 Packaging Master'!$A$5:$A$46,0)),"05 Packaging Master",IF(ISNUMBER(MATCH($E70,'04 SKU Master'!$A$5:$A$165,0)),"04 SKU Master","NOT FOUND")))</f>
        <v/>
      </c>
      <c r="M70" s="178">
        <f>IFERROR(INDEX('12 Final Menu'!$U$5:$U$200,MATCH($A70,'12 Final Menu'!$A$5:$A$200,0)),0)</f>
        <v/>
      </c>
      <c r="N70" s="165">
        <f>$G70*(1+$J70)*$M70*1000</f>
        <v/>
      </c>
    </row>
    <row r="71" ht="15" customHeight="1" s="106">
      <c r="A71" s="138" t="inlineStr">
        <is>
          <t>PP-PASTA-FUS-BOSC</t>
        </is>
      </c>
      <c r="B71" s="138" t="inlineStr">
        <is>
          <t>Boscaiola</t>
        </is>
      </c>
      <c r="C71" s="138" t="inlineStr">
        <is>
          <t>Core - Signature</t>
        </is>
      </c>
      <c r="D71" s="139" t="inlineStr">
        <is>
          <t>Finish</t>
        </is>
      </c>
      <c r="E71" s="134" t="inlineStr">
        <is>
          <t>PP-PARM</t>
        </is>
      </c>
      <c r="F71" s="113" t="inlineStr">
        <is>
          <t>Parmesan</t>
        </is>
      </c>
      <c r="G71" s="147" t="n">
        <v>10</v>
      </c>
      <c r="H71" s="164" t="inlineStr">
        <is>
          <t>g</t>
        </is>
      </c>
      <c r="I71" s="150">
        <f>IFERROR(INDEX('04 SKU Master'!$AM$5:$AM$165,MATCH($E71,'04 SKU Master'!$A$5:$A$165,0)),IFERROR(INDEX('05 Packaging Master'!$AM$5:$AM$50,MATCH($E71,'05 Packaging Master'!$A$5:$A$50,0)),IFERROR(INDEX('09 Cost Index'!$C$5:$C$24,MATCH($E71,'09 Cost Index'!$A$5:$A$24,0)),"")))</f>
        <v/>
      </c>
      <c r="J71" s="153">
        <f>'01 Control'!$C$7</f>
        <v/>
      </c>
      <c r="K71" s="150">
        <f>IF($I71="","",$G71*$I71*(1+$J71))</f>
        <v/>
      </c>
      <c r="L71" s="177">
        <f>IF(ISNUMBER(MATCH($E71,'09 Cost Index'!$A$5:$A$24,0)),"09 Cost Index",IF(ISNUMBER(MATCH($E71,'05 Packaging Master'!$A$5:$A$46,0)),"05 Packaging Master",IF(ISNUMBER(MATCH($E71,'04 SKU Master'!$A$5:$A$165,0)),"04 SKU Master","NOT FOUND")))</f>
        <v/>
      </c>
      <c r="M71" s="178">
        <f>IFERROR(INDEX('12 Final Menu'!$U$5:$U$200,MATCH($A71,'12 Final Menu'!$A$5:$A$200,0)),0)</f>
        <v/>
      </c>
      <c r="N71" s="165">
        <f>$G71*(1+$J71)*$M71*1000</f>
        <v/>
      </c>
    </row>
    <row r="72" ht="15" customHeight="1" s="106">
      <c r="A72" s="138" t="inlineStr">
        <is>
          <t>PP-PASTA-FUS-BOSC</t>
        </is>
      </c>
      <c r="B72" s="138" t="inlineStr">
        <is>
          <t>Boscaiola</t>
        </is>
      </c>
      <c r="C72" s="138" t="inlineStr">
        <is>
          <t>Core - Signature</t>
        </is>
      </c>
      <c r="D72" s="139" t="inlineStr">
        <is>
          <t>Finish</t>
        </is>
      </c>
      <c r="E72" s="134" t="inlineStr">
        <is>
          <t>PP-HERB-THYME</t>
        </is>
      </c>
      <c r="F72" s="113" t="inlineStr">
        <is>
          <t>Fresh thyme</t>
        </is>
      </c>
      <c r="G72" s="147" t="n">
        <v>1</v>
      </c>
      <c r="H72" s="164" t="inlineStr">
        <is>
          <t>g</t>
        </is>
      </c>
      <c r="I72" s="150">
        <f>IFERROR(INDEX('04 SKU Master'!$AM$5:$AM$165,MATCH($E72,'04 SKU Master'!$A$5:$A$165,0)),IFERROR(INDEX('05 Packaging Master'!$AM$5:$AM$50,MATCH($E72,'05 Packaging Master'!$A$5:$A$50,0)),IFERROR(INDEX('09 Cost Index'!$C$5:$C$24,MATCH($E72,'09 Cost Index'!$A$5:$A$24,0)),"")))</f>
        <v/>
      </c>
      <c r="J72" s="153">
        <f>'01 Control'!$C$7</f>
        <v/>
      </c>
      <c r="K72" s="150">
        <f>IF($I72="","",$G72*$I72*(1+$J72))</f>
        <v/>
      </c>
      <c r="L72" s="177">
        <f>IF(ISNUMBER(MATCH($E72,'09 Cost Index'!$A$5:$A$24,0)),"09 Cost Index",IF(ISNUMBER(MATCH($E72,'05 Packaging Master'!$A$5:$A$46,0)),"05 Packaging Master",IF(ISNUMBER(MATCH($E72,'04 SKU Master'!$A$5:$A$165,0)),"04 SKU Master","NOT FOUND")))</f>
        <v/>
      </c>
      <c r="M72" s="178">
        <f>IFERROR(INDEX('12 Final Menu'!$U$5:$U$200,MATCH($A72,'12 Final Menu'!$A$5:$A$200,0)),0)</f>
        <v/>
      </c>
      <c r="N72" s="165">
        <f>$G72*(1+$J72)*$M72*1000</f>
        <v/>
      </c>
    </row>
    <row r="73" ht="15" customHeight="1" s="106">
      <c r="A73" s="138" t="inlineStr">
        <is>
          <t>PP-PASTA-FUS-BOSC</t>
        </is>
      </c>
      <c r="B73" s="138" t="inlineStr">
        <is>
          <t>Boscaiola</t>
        </is>
      </c>
      <c r="C73" s="138" t="inlineStr">
        <is>
          <t>Core - Signature</t>
        </is>
      </c>
      <c r="D73" s="139" t="inlineStr">
        <is>
          <t>Packaging</t>
        </is>
      </c>
      <c r="E73" s="134" t="inlineStr">
        <is>
          <t>PP-PACK-TUB</t>
        </is>
      </c>
      <c r="F73" s="113" t="inlineStr">
        <is>
          <t>Takeaway pasta tub</t>
        </is>
      </c>
      <c r="G73" s="147" t="n">
        <v>1</v>
      </c>
      <c r="H73" s="164" t="inlineStr">
        <is>
          <t>ea</t>
        </is>
      </c>
      <c r="I73" s="150">
        <f>IFERROR(INDEX('04 SKU Master'!$AM$5:$AM$165,MATCH($E73,'04 SKU Master'!$A$5:$A$165,0)),IFERROR(INDEX('05 Packaging Master'!$AM$5:$AM$50,MATCH($E73,'05 Packaging Master'!$A$5:$A$50,0)),IFERROR(INDEX('09 Cost Index'!$C$5:$C$24,MATCH($E73,'09 Cost Index'!$A$5:$A$24,0)),"")))</f>
        <v/>
      </c>
      <c r="J73" s="153">
        <f>'01 Control'!$C$7</f>
        <v/>
      </c>
      <c r="K73" s="150">
        <f>IF($I73="","",$G73*$I73*(1+$J73))</f>
        <v/>
      </c>
      <c r="L73" s="177">
        <f>IF(ISNUMBER(MATCH($E73,'09 Cost Index'!$A$5:$A$24,0)),"09 Cost Index",IF(ISNUMBER(MATCH($E73,'05 Packaging Master'!$A$5:$A$46,0)),"05 Packaging Master",IF(ISNUMBER(MATCH($E73,'04 SKU Master'!$A$5:$A$165,0)),"04 SKU Master","NOT FOUND")))</f>
        <v/>
      </c>
      <c r="M73" s="178">
        <f>IFERROR(INDEX('12 Final Menu'!$U$5:$U$200,MATCH($A73,'12 Final Menu'!$A$5:$A$200,0)),0)</f>
        <v/>
      </c>
      <c r="N73" s="165">
        <f>$G73*(1+$J73)*$M73*1000</f>
        <v/>
      </c>
    </row>
    <row r="74" ht="15" customHeight="1" s="106">
      <c r="A74" s="138" t="inlineStr">
        <is>
          <t>PP-PASTA-FUS-BOSC</t>
        </is>
      </c>
      <c r="B74" s="138" t="inlineStr">
        <is>
          <t>Boscaiola</t>
        </is>
      </c>
      <c r="C74" s="138" t="inlineStr">
        <is>
          <t>Core - Signature</t>
        </is>
      </c>
      <c r="D74" s="139" t="inlineStr">
        <is>
          <t>Packaging</t>
        </is>
      </c>
      <c r="E74" s="134" t="inlineStr">
        <is>
          <t>PP-PACK-LID</t>
        </is>
      </c>
      <c r="F74" s="113" t="inlineStr">
        <is>
          <t>Bowl lid</t>
        </is>
      </c>
      <c r="G74" s="147" t="n">
        <v>1</v>
      </c>
      <c r="H74" s="164" t="inlineStr">
        <is>
          <t>ea</t>
        </is>
      </c>
      <c r="I74" s="150">
        <f>IFERROR(INDEX('04 SKU Master'!$AM$5:$AM$165,MATCH($E74,'04 SKU Master'!$A$5:$A$165,0)),IFERROR(INDEX('05 Packaging Master'!$AM$5:$AM$50,MATCH($E74,'05 Packaging Master'!$A$5:$A$50,0)),IFERROR(INDEX('09 Cost Index'!$C$5:$C$24,MATCH($E74,'09 Cost Index'!$A$5:$A$24,0)),"")))</f>
        <v/>
      </c>
      <c r="J74" s="153">
        <f>'01 Control'!$C$7</f>
        <v/>
      </c>
      <c r="K74" s="150">
        <f>IF($I74="","",$G74*$I74*(1+$J74))</f>
        <v/>
      </c>
      <c r="L74" s="177">
        <f>IF(ISNUMBER(MATCH($E74,'09 Cost Index'!$A$5:$A$24,0)),"09 Cost Index",IF(ISNUMBER(MATCH($E74,'05 Packaging Master'!$A$5:$A$46,0)),"05 Packaging Master",IF(ISNUMBER(MATCH($E74,'04 SKU Master'!$A$5:$A$165,0)),"04 SKU Master","NOT FOUND")))</f>
        <v/>
      </c>
      <c r="M74" s="178">
        <f>IFERROR(INDEX('12 Final Menu'!$U$5:$U$200,MATCH($A74,'12 Final Menu'!$A$5:$A$200,0)),0)</f>
        <v/>
      </c>
      <c r="N74" s="165">
        <f>$G74*(1+$J74)*$M74*1000</f>
        <v/>
      </c>
    </row>
    <row r="75" ht="15" customHeight="1" s="106">
      <c r="A75" s="138" t="inlineStr">
        <is>
          <t>PP-PASTA-FUS-BOSC</t>
        </is>
      </c>
      <c r="B75" s="138" t="inlineStr">
        <is>
          <t>Boscaiola</t>
        </is>
      </c>
      <c r="C75" s="138" t="inlineStr">
        <is>
          <t>Core - Signature</t>
        </is>
      </c>
      <c r="D75" s="139" t="inlineStr">
        <is>
          <t>Packaging</t>
        </is>
      </c>
      <c r="E75" s="134" t="inlineStr">
        <is>
          <t>PP-PACK-CUTLERY</t>
        </is>
      </c>
      <c r="F75" s="113" t="inlineStr">
        <is>
          <t>Cutlery set</t>
        </is>
      </c>
      <c r="G75" s="147" t="n">
        <v>1</v>
      </c>
      <c r="H75" s="164" t="inlineStr">
        <is>
          <t>ea</t>
        </is>
      </c>
      <c r="I75" s="150">
        <f>IFERROR(INDEX('04 SKU Master'!$AM$5:$AM$165,MATCH($E75,'04 SKU Master'!$A$5:$A$165,0)),IFERROR(INDEX('05 Packaging Master'!$AM$5:$AM$50,MATCH($E75,'05 Packaging Master'!$A$5:$A$50,0)),IFERROR(INDEX('09 Cost Index'!$C$5:$C$24,MATCH($E75,'09 Cost Index'!$A$5:$A$24,0)),"")))</f>
        <v/>
      </c>
      <c r="J75" s="153">
        <f>'01 Control'!$C$7</f>
        <v/>
      </c>
      <c r="K75" s="150">
        <f>IF($I75="","",$G75*$I75*(1+$J75))</f>
        <v/>
      </c>
      <c r="L75" s="177">
        <f>IF(ISNUMBER(MATCH($E75,'09 Cost Index'!$A$5:$A$24,0)),"09 Cost Index",IF(ISNUMBER(MATCH($E75,'05 Packaging Master'!$A$5:$A$46,0)),"05 Packaging Master",IF(ISNUMBER(MATCH($E75,'04 SKU Master'!$A$5:$A$165,0)),"04 SKU Master","NOT FOUND")))</f>
        <v/>
      </c>
      <c r="M75" s="178">
        <f>IFERROR(INDEX('12 Final Menu'!$U$5:$U$200,MATCH($A75,'12 Final Menu'!$A$5:$A$200,0)),0)</f>
        <v/>
      </c>
      <c r="N75" s="165">
        <f>$G75*(1+$J75)*$M75*1000</f>
        <v/>
      </c>
    </row>
    <row r="76" ht="15" customHeight="1" s="106">
      <c r="A76" s="138" t="inlineStr">
        <is>
          <t>PP-PASTA-FUS-BOSC</t>
        </is>
      </c>
      <c r="B76" s="138" t="inlineStr">
        <is>
          <t>Boscaiola</t>
        </is>
      </c>
      <c r="C76" s="138" t="inlineStr">
        <is>
          <t>Core - Signature</t>
        </is>
      </c>
      <c r="D76" s="139" t="inlineStr">
        <is>
          <t>Packaging</t>
        </is>
      </c>
      <c r="E76" s="134" t="inlineStr">
        <is>
          <t>PP-PACK-NAPKIN</t>
        </is>
      </c>
      <c r="F76" s="113" t="inlineStr">
        <is>
          <t>Branded napkin</t>
        </is>
      </c>
      <c r="G76" s="147" t="n">
        <v>1</v>
      </c>
      <c r="H76" s="164" t="inlineStr">
        <is>
          <t>ea</t>
        </is>
      </c>
      <c r="I76" s="150">
        <f>IFERROR(INDEX('04 SKU Master'!$AM$5:$AM$165,MATCH($E76,'04 SKU Master'!$A$5:$A$165,0)),IFERROR(INDEX('05 Packaging Master'!$AM$5:$AM$50,MATCH($E76,'05 Packaging Master'!$A$5:$A$50,0)),IFERROR(INDEX('09 Cost Index'!$C$5:$C$24,MATCH($E76,'09 Cost Index'!$A$5:$A$24,0)),"")))</f>
        <v/>
      </c>
      <c r="J76" s="153">
        <f>'01 Control'!$C$7</f>
        <v/>
      </c>
      <c r="K76" s="150">
        <f>IF($I76="","",$G76*$I76*(1+$J76))</f>
        <v/>
      </c>
      <c r="L76" s="177">
        <f>IF(ISNUMBER(MATCH($E76,'09 Cost Index'!$A$5:$A$24,0)),"09 Cost Index",IF(ISNUMBER(MATCH($E76,'05 Packaging Master'!$A$5:$A$46,0)),"05 Packaging Master",IF(ISNUMBER(MATCH($E76,'04 SKU Master'!$A$5:$A$165,0)),"04 SKU Master","NOT FOUND")))</f>
        <v/>
      </c>
      <c r="M76" s="178">
        <f>IFERROR(INDEX('12 Final Menu'!$U$5:$U$200,MATCH($A76,'12 Final Menu'!$A$5:$A$200,0)),0)</f>
        <v/>
      </c>
      <c r="N76" s="165">
        <f>$G76*(1+$J76)*$M76*1000</f>
        <v/>
      </c>
    </row>
    <row r="78" ht="15" customHeight="1" s="106">
      <c r="A78" s="144" t="inlineStr">
        <is>
          <t>Quattro Formaggi Bake   |   Rigatoni   |   Bokgat Base dough   |   PP-PASTA-RIG-QF</t>
        </is>
      </c>
      <c r="B78" s="110" t="n"/>
      <c r="C78" s="110" t="n"/>
      <c r="D78" s="110" t="n"/>
      <c r="E78" s="110" t="n"/>
      <c r="F78" s="110" t="n"/>
      <c r="G78" s="110" t="n"/>
      <c r="H78" s="110" t="n"/>
      <c r="I78" s="110" t="n"/>
      <c r="J78" s="110" t="n"/>
      <c r="K78" s="110" t="n"/>
      <c r="L78" s="110" t="n"/>
      <c r="M78" s="110" t="n"/>
      <c r="N78" s="111" t="n"/>
    </row>
    <row r="79" ht="15" customHeight="1" s="106">
      <c r="A79" s="138" t="inlineStr">
        <is>
          <t>PP-PASTA-RIG-QF</t>
        </is>
      </c>
      <c r="B79" s="138" t="inlineStr">
        <is>
          <t>Quattro Formaggi Bake</t>
        </is>
      </c>
      <c r="C79" s="138" t="inlineStr">
        <is>
          <t>Core - Signature</t>
        </is>
      </c>
      <c r="D79" s="139" t="inlineStr">
        <is>
          <t>Pasta</t>
        </is>
      </c>
      <c r="E79" s="134" t="inlineStr">
        <is>
          <t>PP-DOUGH-BOKGAT</t>
        </is>
      </c>
      <c r="F79" s="113" t="inlineStr">
        <is>
          <t>Bokgat Base, Rigatoni - dried weight</t>
        </is>
      </c>
      <c r="G79" s="147" t="n">
        <v>111</v>
      </c>
      <c r="H79" s="164" t="inlineStr">
        <is>
          <t>g</t>
        </is>
      </c>
      <c r="I79" s="150">
        <f>IFERROR(INDEX('04 SKU Master'!$AM$5:$AM$165,MATCH($E79,'04 SKU Master'!$A$5:$A$165,0)),IFERROR(INDEX('05 Packaging Master'!$AM$5:$AM$50,MATCH($E79,'05 Packaging Master'!$A$5:$A$50,0)),IFERROR(INDEX('09 Cost Index'!$C$5:$C$24,MATCH($E79,'09 Cost Index'!$A$5:$A$24,0)),"")))</f>
        <v/>
      </c>
      <c r="J79" s="153">
        <f>'01 Control'!$C$7</f>
        <v/>
      </c>
      <c r="K79" s="150">
        <f>IF($I79="","",$G79*$I79*(1+$J79))</f>
        <v/>
      </c>
      <c r="L79" s="177">
        <f>IF(ISNUMBER(MATCH($E79,'09 Cost Index'!$A$5:$A$24,0)),"09 Cost Index",IF(ISNUMBER(MATCH($E79,'05 Packaging Master'!$A$5:$A$46,0)),"05 Packaging Master",IF(ISNUMBER(MATCH($E79,'04 SKU Master'!$A$5:$A$165,0)),"04 SKU Master","NOT FOUND")))</f>
        <v/>
      </c>
      <c r="M79" s="178">
        <f>IFERROR(INDEX('12 Final Menu'!$U$5:$U$200,MATCH($A79,'12 Final Menu'!$A$5:$A$200,0)),0)</f>
        <v/>
      </c>
      <c r="N79" s="165">
        <f>$G79*(1+$J79)*$M79*1000</f>
        <v/>
      </c>
    </row>
    <row r="80" ht="15" customHeight="1" s="106">
      <c r="A80" s="138" t="inlineStr">
        <is>
          <t>PP-PASTA-RIG-QF</t>
        </is>
      </c>
      <c r="B80" s="138" t="inlineStr">
        <is>
          <t>Quattro Formaggi Bake</t>
        </is>
      </c>
      <c r="C80" s="138" t="inlineStr">
        <is>
          <t>Core - Signature</t>
        </is>
      </c>
      <c r="D80" s="139" t="inlineStr">
        <is>
          <t>Sauce</t>
        </is>
      </c>
      <c r="E80" s="134" t="inlineStr">
        <is>
          <t>PP-SAUCE-QF</t>
        </is>
      </c>
      <c r="F80" s="113" t="inlineStr">
        <is>
          <t>Four-cheese cream base (CK)</t>
        </is>
      </c>
      <c r="G80" s="147" t="n">
        <v>150</v>
      </c>
      <c r="H80" s="164" t="inlineStr">
        <is>
          <t>g</t>
        </is>
      </c>
      <c r="I80" s="150">
        <f>IFERROR(INDEX('04 SKU Master'!$AM$5:$AM$165,MATCH($E80,'04 SKU Master'!$A$5:$A$165,0)),IFERROR(INDEX('05 Packaging Master'!$AM$5:$AM$50,MATCH($E80,'05 Packaging Master'!$A$5:$A$50,0)),IFERROR(INDEX('09 Cost Index'!$C$5:$C$24,MATCH($E80,'09 Cost Index'!$A$5:$A$24,0)),"")))</f>
        <v/>
      </c>
      <c r="J80" s="153">
        <f>'01 Control'!$C$7</f>
        <v/>
      </c>
      <c r="K80" s="150">
        <f>IF($I80="","",$G80*$I80*(1+$J80))</f>
        <v/>
      </c>
      <c r="L80" s="177">
        <f>IF(ISNUMBER(MATCH($E80,'09 Cost Index'!$A$5:$A$24,0)),"09 Cost Index",IF(ISNUMBER(MATCH($E80,'05 Packaging Master'!$A$5:$A$46,0)),"05 Packaging Master",IF(ISNUMBER(MATCH($E80,'04 SKU Master'!$A$5:$A$165,0)),"04 SKU Master","NOT FOUND")))</f>
        <v/>
      </c>
      <c r="M80" s="178">
        <f>IFERROR(INDEX('12 Final Menu'!$U$5:$U$200,MATCH($A80,'12 Final Menu'!$A$5:$A$200,0)),0)</f>
        <v/>
      </c>
      <c r="N80" s="165">
        <f>$G80*(1+$J80)*$M80*1000</f>
        <v/>
      </c>
    </row>
    <row r="81" ht="15" customHeight="1" s="106">
      <c r="A81" s="138" t="inlineStr">
        <is>
          <t>PP-PASTA-RIG-QF</t>
        </is>
      </c>
      <c r="B81" s="138" t="inlineStr">
        <is>
          <t>Quattro Formaggi Bake</t>
        </is>
      </c>
      <c r="C81" s="138" t="inlineStr">
        <is>
          <t>Core - Signature</t>
        </is>
      </c>
      <c r="D81" s="139" t="inlineStr">
        <is>
          <t>Finish</t>
        </is>
      </c>
      <c r="E81" s="134" t="inlineStr">
        <is>
          <t>PP-MOZZ</t>
        </is>
      </c>
      <c r="F81" s="113" t="inlineStr">
        <is>
          <t>Mozzarella crumb top</t>
        </is>
      </c>
      <c r="G81" s="147" t="n">
        <v>25</v>
      </c>
      <c r="H81" s="164" t="inlineStr">
        <is>
          <t>g</t>
        </is>
      </c>
      <c r="I81" s="150">
        <f>IFERROR(INDEX('04 SKU Master'!$AM$5:$AM$165,MATCH($E81,'04 SKU Master'!$A$5:$A$165,0)),IFERROR(INDEX('05 Packaging Master'!$AM$5:$AM$50,MATCH($E81,'05 Packaging Master'!$A$5:$A$50,0)),IFERROR(INDEX('09 Cost Index'!$C$5:$C$24,MATCH($E81,'09 Cost Index'!$A$5:$A$24,0)),"")))</f>
        <v/>
      </c>
      <c r="J81" s="153">
        <f>'01 Control'!$C$7</f>
        <v/>
      </c>
      <c r="K81" s="150">
        <f>IF($I81="","",$G81*$I81*(1+$J81))</f>
        <v/>
      </c>
      <c r="L81" s="177">
        <f>IF(ISNUMBER(MATCH($E81,'09 Cost Index'!$A$5:$A$24,0)),"09 Cost Index",IF(ISNUMBER(MATCH($E81,'05 Packaging Master'!$A$5:$A$46,0)),"05 Packaging Master",IF(ISNUMBER(MATCH($E81,'04 SKU Master'!$A$5:$A$165,0)),"04 SKU Master","NOT FOUND")))</f>
        <v/>
      </c>
      <c r="M81" s="178">
        <f>IFERROR(INDEX('12 Final Menu'!$U$5:$U$200,MATCH($A81,'12 Final Menu'!$A$5:$A$200,0)),0)</f>
        <v/>
      </c>
      <c r="N81" s="165">
        <f>$G81*(1+$J81)*$M81*1000</f>
        <v/>
      </c>
    </row>
    <row r="82" ht="15" customHeight="1" s="106">
      <c r="A82" s="138" t="inlineStr">
        <is>
          <t>PP-PASTA-RIG-QF</t>
        </is>
      </c>
      <c r="B82" s="138" t="inlineStr">
        <is>
          <t>Quattro Formaggi Bake</t>
        </is>
      </c>
      <c r="C82" s="138" t="inlineStr">
        <is>
          <t>Core - Signature</t>
        </is>
      </c>
      <c r="D82" s="139" t="inlineStr">
        <is>
          <t>Finish</t>
        </is>
      </c>
      <c r="E82" s="134" t="inlineStr">
        <is>
          <t>PP-PARM</t>
        </is>
      </c>
      <c r="F82" s="113" t="inlineStr">
        <is>
          <t>Parmesan</t>
        </is>
      </c>
      <c r="G82" s="147" t="n">
        <v>10</v>
      </c>
      <c r="H82" s="164" t="inlineStr">
        <is>
          <t>g</t>
        </is>
      </c>
      <c r="I82" s="150">
        <f>IFERROR(INDEX('04 SKU Master'!$AM$5:$AM$165,MATCH($E82,'04 SKU Master'!$A$5:$A$165,0)),IFERROR(INDEX('05 Packaging Master'!$AM$5:$AM$50,MATCH($E82,'05 Packaging Master'!$A$5:$A$50,0)),IFERROR(INDEX('09 Cost Index'!$C$5:$C$24,MATCH($E82,'09 Cost Index'!$A$5:$A$24,0)),"")))</f>
        <v/>
      </c>
      <c r="J82" s="153">
        <f>'01 Control'!$C$7</f>
        <v/>
      </c>
      <c r="K82" s="150">
        <f>IF($I82="","",$G82*$I82*(1+$J82))</f>
        <v/>
      </c>
      <c r="L82" s="177">
        <f>IF(ISNUMBER(MATCH($E82,'09 Cost Index'!$A$5:$A$24,0)),"09 Cost Index",IF(ISNUMBER(MATCH($E82,'05 Packaging Master'!$A$5:$A$46,0)),"05 Packaging Master",IF(ISNUMBER(MATCH($E82,'04 SKU Master'!$A$5:$A$165,0)),"04 SKU Master","NOT FOUND")))</f>
        <v/>
      </c>
      <c r="M82" s="178">
        <f>IFERROR(INDEX('12 Final Menu'!$U$5:$U$200,MATCH($A82,'12 Final Menu'!$A$5:$A$200,0)),0)</f>
        <v/>
      </c>
      <c r="N82" s="165">
        <f>$G82*(1+$J82)*$M82*1000</f>
        <v/>
      </c>
    </row>
    <row r="83" ht="15" customHeight="1" s="106">
      <c r="A83" s="138" t="inlineStr">
        <is>
          <t>PP-PASTA-RIG-QF</t>
        </is>
      </c>
      <c r="B83" s="138" t="inlineStr">
        <is>
          <t>Quattro Formaggi Bake</t>
        </is>
      </c>
      <c r="C83" s="138" t="inlineStr">
        <is>
          <t>Core - Signature</t>
        </is>
      </c>
      <c r="D83" s="139" t="inlineStr">
        <is>
          <t>Packaging</t>
        </is>
      </c>
      <c r="E83" s="134" t="inlineStr">
        <is>
          <t>PP-PACK-BAKE-TRAY</t>
        </is>
      </c>
      <c r="F83" s="113" t="inlineStr">
        <is>
          <t>Al forno bake tray + lid</t>
        </is>
      </c>
      <c r="G83" s="147" t="n">
        <v>1</v>
      </c>
      <c r="H83" s="164" t="inlineStr">
        <is>
          <t>ea</t>
        </is>
      </c>
      <c r="I83" s="150">
        <f>IFERROR(INDEX('04 SKU Master'!$AM$5:$AM$165,MATCH($E83,'04 SKU Master'!$A$5:$A$165,0)),IFERROR(INDEX('05 Packaging Master'!$AM$5:$AM$50,MATCH($E83,'05 Packaging Master'!$A$5:$A$50,0)),IFERROR(INDEX('09 Cost Index'!$C$5:$C$24,MATCH($E83,'09 Cost Index'!$A$5:$A$24,0)),"")))</f>
        <v/>
      </c>
      <c r="J83" s="153">
        <f>'01 Control'!$C$7</f>
        <v/>
      </c>
      <c r="K83" s="150">
        <f>IF($I83="","",$G83*$I83*(1+$J83))</f>
        <v/>
      </c>
      <c r="L83" s="177">
        <f>IF(ISNUMBER(MATCH($E83,'09 Cost Index'!$A$5:$A$24,0)),"09 Cost Index",IF(ISNUMBER(MATCH($E83,'05 Packaging Master'!$A$5:$A$46,0)),"05 Packaging Master",IF(ISNUMBER(MATCH($E83,'04 SKU Master'!$A$5:$A$165,0)),"04 SKU Master","NOT FOUND")))</f>
        <v/>
      </c>
      <c r="M83" s="178">
        <f>IFERROR(INDEX('12 Final Menu'!$U$5:$U$200,MATCH($A83,'12 Final Menu'!$A$5:$A$200,0)),0)</f>
        <v/>
      </c>
      <c r="N83" s="165">
        <f>$G83*(1+$J83)*$M83*1000</f>
        <v/>
      </c>
    </row>
    <row r="84" ht="15" customHeight="1" s="106">
      <c r="A84" s="138" t="inlineStr">
        <is>
          <t>PP-PASTA-RIG-QF</t>
        </is>
      </c>
      <c r="B84" s="138" t="inlineStr">
        <is>
          <t>Quattro Formaggi Bake</t>
        </is>
      </c>
      <c r="C84" s="138" t="inlineStr">
        <is>
          <t>Core - Signature</t>
        </is>
      </c>
      <c r="D84" s="139" t="inlineStr">
        <is>
          <t>Packaging</t>
        </is>
      </c>
      <c r="E84" s="134" t="inlineStr">
        <is>
          <t>PP-PACK-CUTLERY</t>
        </is>
      </c>
      <c r="F84" s="113" t="inlineStr">
        <is>
          <t>Cutlery set</t>
        </is>
      </c>
      <c r="G84" s="147" t="n">
        <v>1</v>
      </c>
      <c r="H84" s="164" t="inlineStr">
        <is>
          <t>ea</t>
        </is>
      </c>
      <c r="I84" s="150">
        <f>IFERROR(INDEX('04 SKU Master'!$AM$5:$AM$165,MATCH($E84,'04 SKU Master'!$A$5:$A$165,0)),IFERROR(INDEX('05 Packaging Master'!$AM$5:$AM$50,MATCH($E84,'05 Packaging Master'!$A$5:$A$50,0)),IFERROR(INDEX('09 Cost Index'!$C$5:$C$24,MATCH($E84,'09 Cost Index'!$A$5:$A$24,0)),"")))</f>
        <v/>
      </c>
      <c r="J84" s="153">
        <f>'01 Control'!$C$7</f>
        <v/>
      </c>
      <c r="K84" s="150">
        <f>IF($I84="","",$G84*$I84*(1+$J84))</f>
        <v/>
      </c>
      <c r="L84" s="177">
        <f>IF(ISNUMBER(MATCH($E84,'09 Cost Index'!$A$5:$A$24,0)),"09 Cost Index",IF(ISNUMBER(MATCH($E84,'05 Packaging Master'!$A$5:$A$46,0)),"05 Packaging Master",IF(ISNUMBER(MATCH($E84,'04 SKU Master'!$A$5:$A$165,0)),"04 SKU Master","NOT FOUND")))</f>
        <v/>
      </c>
      <c r="M84" s="178">
        <f>IFERROR(INDEX('12 Final Menu'!$U$5:$U$200,MATCH($A84,'12 Final Menu'!$A$5:$A$200,0)),0)</f>
        <v/>
      </c>
      <c r="N84" s="165">
        <f>$G84*(1+$J84)*$M84*1000</f>
        <v/>
      </c>
    </row>
    <row r="85" ht="15" customHeight="1" s="106">
      <c r="A85" s="138" t="inlineStr">
        <is>
          <t>PP-PASTA-RIG-QF</t>
        </is>
      </c>
      <c r="B85" s="138" t="inlineStr">
        <is>
          <t>Quattro Formaggi Bake</t>
        </is>
      </c>
      <c r="C85" s="138" t="inlineStr">
        <is>
          <t>Core - Signature</t>
        </is>
      </c>
      <c r="D85" s="139" t="inlineStr">
        <is>
          <t>Packaging</t>
        </is>
      </c>
      <c r="E85" s="134" t="inlineStr">
        <is>
          <t>PP-PACK-NAPKIN</t>
        </is>
      </c>
      <c r="F85" s="113" t="inlineStr">
        <is>
          <t>Branded napkin</t>
        </is>
      </c>
      <c r="G85" s="147" t="n">
        <v>1</v>
      </c>
      <c r="H85" s="164" t="inlineStr">
        <is>
          <t>ea</t>
        </is>
      </c>
      <c r="I85" s="150">
        <f>IFERROR(INDEX('04 SKU Master'!$AM$5:$AM$165,MATCH($E85,'04 SKU Master'!$A$5:$A$165,0)),IFERROR(INDEX('05 Packaging Master'!$AM$5:$AM$50,MATCH($E85,'05 Packaging Master'!$A$5:$A$50,0)),IFERROR(INDEX('09 Cost Index'!$C$5:$C$24,MATCH($E85,'09 Cost Index'!$A$5:$A$24,0)),"")))</f>
        <v/>
      </c>
      <c r="J85" s="153">
        <f>'01 Control'!$C$7</f>
        <v/>
      </c>
      <c r="K85" s="150">
        <f>IF($I85="","",$G85*$I85*(1+$J85))</f>
        <v/>
      </c>
      <c r="L85" s="177">
        <f>IF(ISNUMBER(MATCH($E85,'09 Cost Index'!$A$5:$A$24,0)),"09 Cost Index",IF(ISNUMBER(MATCH($E85,'05 Packaging Master'!$A$5:$A$46,0)),"05 Packaging Master",IF(ISNUMBER(MATCH($E85,'04 SKU Master'!$A$5:$A$165,0)),"04 SKU Master","NOT FOUND")))</f>
        <v/>
      </c>
      <c r="M85" s="178">
        <f>IFERROR(INDEX('12 Final Menu'!$U$5:$U$200,MATCH($A85,'12 Final Menu'!$A$5:$A$200,0)),0)</f>
        <v/>
      </c>
      <c r="N85" s="165">
        <f>$G85*(1+$J85)*$M85*1000</f>
        <v/>
      </c>
    </row>
    <row r="87" ht="15" customHeight="1" s="106">
      <c r="A87" s="144" t="inlineStr">
        <is>
          <t>Aglio, Olio e Peperoncino   |   Spaghetti   |   Chickpea Power Pro dough   |   PP-PASTA-SPA-ALO</t>
        </is>
      </c>
      <c r="B87" s="110" t="n"/>
      <c r="C87" s="110" t="n"/>
      <c r="D87" s="110" t="n"/>
      <c r="E87" s="110" t="n"/>
      <c r="F87" s="110" t="n"/>
      <c r="G87" s="110" t="n"/>
      <c r="H87" s="110" t="n"/>
      <c r="I87" s="110" t="n"/>
      <c r="J87" s="110" t="n"/>
      <c r="K87" s="110" t="n"/>
      <c r="L87" s="110" t="n"/>
      <c r="M87" s="110" t="n"/>
      <c r="N87" s="111" t="n"/>
    </row>
    <row r="88" ht="15" customHeight="1" s="106">
      <c r="A88" s="138" t="inlineStr">
        <is>
          <t>PP-PASTA-SPA-ALO</t>
        </is>
      </c>
      <c r="B88" s="138" t="inlineStr">
        <is>
          <t>Aglio, Olio e Peperoncino</t>
        </is>
      </c>
      <c r="C88" s="138" t="inlineStr">
        <is>
          <t>Core - Signature</t>
        </is>
      </c>
      <c r="D88" s="139" t="inlineStr">
        <is>
          <t>Pasta</t>
        </is>
      </c>
      <c r="E88" s="134" t="inlineStr">
        <is>
          <t>PP-DOUGH-CHICKPEA</t>
        </is>
      </c>
      <c r="F88" s="113" t="inlineStr">
        <is>
          <t>Chickpea Power Pro, Spaghetti - dried weight</t>
        </is>
      </c>
      <c r="G88" s="147" t="n">
        <v>111</v>
      </c>
      <c r="H88" s="164" t="inlineStr">
        <is>
          <t>g</t>
        </is>
      </c>
      <c r="I88" s="150">
        <f>IFERROR(INDEX('04 SKU Master'!$AM$5:$AM$165,MATCH($E88,'04 SKU Master'!$A$5:$A$165,0)),IFERROR(INDEX('05 Packaging Master'!$AM$5:$AM$50,MATCH($E88,'05 Packaging Master'!$A$5:$A$50,0)),IFERROR(INDEX('09 Cost Index'!$C$5:$C$24,MATCH($E88,'09 Cost Index'!$A$5:$A$24,0)),"")))</f>
        <v/>
      </c>
      <c r="J88" s="153">
        <f>'01 Control'!$C$7</f>
        <v/>
      </c>
      <c r="K88" s="150">
        <f>IF($I88="","",$G88*$I88*(1+$J88))</f>
        <v/>
      </c>
      <c r="L88" s="177">
        <f>IF(ISNUMBER(MATCH($E88,'09 Cost Index'!$A$5:$A$24,0)),"09 Cost Index",IF(ISNUMBER(MATCH($E88,'05 Packaging Master'!$A$5:$A$46,0)),"05 Packaging Master",IF(ISNUMBER(MATCH($E88,'04 SKU Master'!$A$5:$A$165,0)),"04 SKU Master","NOT FOUND")))</f>
        <v/>
      </c>
      <c r="M88" s="178">
        <f>IFERROR(INDEX('12 Final Menu'!$U$5:$U$200,MATCH($A88,'12 Final Menu'!$A$5:$A$200,0)),0)</f>
        <v/>
      </c>
      <c r="N88" s="165">
        <f>$G88*(1+$J88)*$M88*1000</f>
        <v/>
      </c>
    </row>
    <row r="89" ht="15" customHeight="1" s="106">
      <c r="A89" s="138" t="inlineStr">
        <is>
          <t>PP-PASTA-SPA-ALO</t>
        </is>
      </c>
      <c r="B89" s="138" t="inlineStr">
        <is>
          <t>Aglio, Olio e Peperoncino</t>
        </is>
      </c>
      <c r="C89" s="138" t="inlineStr">
        <is>
          <t>Core - Signature</t>
        </is>
      </c>
      <c r="D89" s="139" t="inlineStr">
        <is>
          <t>Sauce</t>
        </is>
      </c>
      <c r="E89" s="134" t="inlineStr">
        <is>
          <t>PP-SAUCE-ALO</t>
        </is>
      </c>
      <c r="F89" s="113" t="inlineStr">
        <is>
          <t>Aglio e Olio prep kit (CK)</t>
        </is>
      </c>
      <c r="G89" s="147" t="n">
        <v>35</v>
      </c>
      <c r="H89" s="164" t="inlineStr">
        <is>
          <t>g</t>
        </is>
      </c>
      <c r="I89" s="150">
        <f>IFERROR(INDEX('04 SKU Master'!$AM$5:$AM$165,MATCH($E89,'04 SKU Master'!$A$5:$A$165,0)),IFERROR(INDEX('05 Packaging Master'!$AM$5:$AM$50,MATCH($E89,'05 Packaging Master'!$A$5:$A$50,0)),IFERROR(INDEX('09 Cost Index'!$C$5:$C$24,MATCH($E89,'09 Cost Index'!$A$5:$A$24,0)),"")))</f>
        <v/>
      </c>
      <c r="J89" s="153">
        <f>'01 Control'!$C$7</f>
        <v/>
      </c>
      <c r="K89" s="150">
        <f>IF($I89="","",$G89*$I89*(1+$J89))</f>
        <v/>
      </c>
      <c r="L89" s="177">
        <f>IF(ISNUMBER(MATCH($E89,'09 Cost Index'!$A$5:$A$24,0)),"09 Cost Index",IF(ISNUMBER(MATCH($E89,'05 Packaging Master'!$A$5:$A$46,0)),"05 Packaging Master",IF(ISNUMBER(MATCH($E89,'04 SKU Master'!$A$5:$A$165,0)),"04 SKU Master","NOT FOUND")))</f>
        <v/>
      </c>
      <c r="M89" s="178">
        <f>IFERROR(INDEX('12 Final Menu'!$U$5:$U$200,MATCH($A89,'12 Final Menu'!$A$5:$A$200,0)),0)</f>
        <v/>
      </c>
      <c r="N89" s="165">
        <f>$G89*(1+$J89)*$M89*1000</f>
        <v/>
      </c>
    </row>
    <row r="90" ht="15" customHeight="1" s="106">
      <c r="A90" s="138" t="inlineStr">
        <is>
          <t>PP-PASTA-SPA-ALO</t>
        </is>
      </c>
      <c r="B90" s="138" t="inlineStr">
        <is>
          <t>Aglio, Olio e Peperoncino</t>
        </is>
      </c>
      <c r="C90" s="138" t="inlineStr">
        <is>
          <t>Core - Signature</t>
        </is>
      </c>
      <c r="D90" s="139" t="inlineStr">
        <is>
          <t>Finish</t>
        </is>
      </c>
      <c r="E90" s="134" t="inlineStr">
        <is>
          <t>PP-HERB-PARSLEY</t>
        </is>
      </c>
      <c r="F90" s="113" t="inlineStr">
        <is>
          <t>Parsley</t>
        </is>
      </c>
      <c r="G90" s="147" t="n">
        <v>3</v>
      </c>
      <c r="H90" s="164" t="inlineStr">
        <is>
          <t>g</t>
        </is>
      </c>
      <c r="I90" s="150">
        <f>IFERROR(INDEX('04 SKU Master'!$AM$5:$AM$165,MATCH($E90,'04 SKU Master'!$A$5:$A$165,0)),IFERROR(INDEX('05 Packaging Master'!$AM$5:$AM$50,MATCH($E90,'05 Packaging Master'!$A$5:$A$50,0)),IFERROR(INDEX('09 Cost Index'!$C$5:$C$24,MATCH($E90,'09 Cost Index'!$A$5:$A$24,0)),"")))</f>
        <v/>
      </c>
      <c r="J90" s="153">
        <f>'01 Control'!$C$7</f>
        <v/>
      </c>
      <c r="K90" s="150">
        <f>IF($I90="","",$G90*$I90*(1+$J90))</f>
        <v/>
      </c>
      <c r="L90" s="177">
        <f>IF(ISNUMBER(MATCH($E90,'09 Cost Index'!$A$5:$A$24,0)),"09 Cost Index",IF(ISNUMBER(MATCH($E90,'05 Packaging Master'!$A$5:$A$46,0)),"05 Packaging Master",IF(ISNUMBER(MATCH($E90,'04 SKU Master'!$A$5:$A$165,0)),"04 SKU Master","NOT FOUND")))</f>
        <v/>
      </c>
      <c r="M90" s="178">
        <f>IFERROR(INDEX('12 Final Menu'!$U$5:$U$200,MATCH($A90,'12 Final Menu'!$A$5:$A$200,0)),0)</f>
        <v/>
      </c>
      <c r="N90" s="165">
        <f>$G90*(1+$J90)*$M90*1000</f>
        <v/>
      </c>
    </row>
    <row r="91" ht="15" customHeight="1" s="106">
      <c r="A91" s="138" t="inlineStr">
        <is>
          <t>PP-PASTA-SPA-ALO</t>
        </is>
      </c>
      <c r="B91" s="138" t="inlineStr">
        <is>
          <t>Aglio, Olio e Peperoncino</t>
        </is>
      </c>
      <c r="C91" s="138" t="inlineStr">
        <is>
          <t>Core - Signature</t>
        </is>
      </c>
      <c r="D91" s="139" t="inlineStr">
        <is>
          <t>Finish</t>
        </is>
      </c>
      <c r="E91" s="134" t="inlineStr">
        <is>
          <t>PP-CHILLI-FLAKE</t>
        </is>
      </c>
      <c r="F91" s="113" t="inlineStr">
        <is>
          <t>Chilli flakes</t>
        </is>
      </c>
      <c r="G91" s="147" t="n">
        <v>1</v>
      </c>
      <c r="H91" s="164" t="inlineStr">
        <is>
          <t>g</t>
        </is>
      </c>
      <c r="I91" s="150">
        <f>IFERROR(INDEX('04 SKU Master'!$AM$5:$AM$165,MATCH($E91,'04 SKU Master'!$A$5:$A$165,0)),IFERROR(INDEX('05 Packaging Master'!$AM$5:$AM$50,MATCH($E91,'05 Packaging Master'!$A$5:$A$50,0)),IFERROR(INDEX('09 Cost Index'!$C$5:$C$24,MATCH($E91,'09 Cost Index'!$A$5:$A$24,0)),"")))</f>
        <v/>
      </c>
      <c r="J91" s="153">
        <f>'01 Control'!$C$7</f>
        <v/>
      </c>
      <c r="K91" s="150">
        <f>IF($I91="","",$G91*$I91*(1+$J91))</f>
        <v/>
      </c>
      <c r="L91" s="177">
        <f>IF(ISNUMBER(MATCH($E91,'09 Cost Index'!$A$5:$A$24,0)),"09 Cost Index",IF(ISNUMBER(MATCH($E91,'05 Packaging Master'!$A$5:$A$46,0)),"05 Packaging Master",IF(ISNUMBER(MATCH($E91,'04 SKU Master'!$A$5:$A$165,0)),"04 SKU Master","NOT FOUND")))</f>
        <v/>
      </c>
      <c r="M91" s="178">
        <f>IFERROR(INDEX('12 Final Menu'!$U$5:$U$200,MATCH($A91,'12 Final Menu'!$A$5:$A$200,0)),0)</f>
        <v/>
      </c>
      <c r="N91" s="165">
        <f>$G91*(1+$J91)*$M91*1000</f>
        <v/>
      </c>
    </row>
    <row r="92" ht="15" customHeight="1" s="106">
      <c r="A92" s="138" t="inlineStr">
        <is>
          <t>PP-PASTA-SPA-ALO</t>
        </is>
      </c>
      <c r="B92" s="138" t="inlineStr">
        <is>
          <t>Aglio, Olio e Peperoncino</t>
        </is>
      </c>
      <c r="C92" s="138" t="inlineStr">
        <is>
          <t>Core - Signature</t>
        </is>
      </c>
      <c r="D92" s="139" t="inlineStr">
        <is>
          <t>Packaging</t>
        </is>
      </c>
      <c r="E92" s="134" t="inlineStr">
        <is>
          <t>PP-PACK-TUB</t>
        </is>
      </c>
      <c r="F92" s="113" t="inlineStr">
        <is>
          <t>Takeaway pasta tub</t>
        </is>
      </c>
      <c r="G92" s="147" t="n">
        <v>1</v>
      </c>
      <c r="H92" s="164" t="inlineStr">
        <is>
          <t>ea</t>
        </is>
      </c>
      <c r="I92" s="150">
        <f>IFERROR(INDEX('04 SKU Master'!$AM$5:$AM$165,MATCH($E92,'04 SKU Master'!$A$5:$A$165,0)),IFERROR(INDEX('05 Packaging Master'!$AM$5:$AM$50,MATCH($E92,'05 Packaging Master'!$A$5:$A$50,0)),IFERROR(INDEX('09 Cost Index'!$C$5:$C$24,MATCH($E92,'09 Cost Index'!$A$5:$A$24,0)),"")))</f>
        <v/>
      </c>
      <c r="J92" s="153">
        <f>'01 Control'!$C$7</f>
        <v/>
      </c>
      <c r="K92" s="150">
        <f>IF($I92="","",$G92*$I92*(1+$J92))</f>
        <v/>
      </c>
      <c r="L92" s="177">
        <f>IF(ISNUMBER(MATCH($E92,'09 Cost Index'!$A$5:$A$24,0)),"09 Cost Index",IF(ISNUMBER(MATCH($E92,'05 Packaging Master'!$A$5:$A$46,0)),"05 Packaging Master",IF(ISNUMBER(MATCH($E92,'04 SKU Master'!$A$5:$A$165,0)),"04 SKU Master","NOT FOUND")))</f>
        <v/>
      </c>
      <c r="M92" s="178">
        <f>IFERROR(INDEX('12 Final Menu'!$U$5:$U$200,MATCH($A92,'12 Final Menu'!$A$5:$A$200,0)),0)</f>
        <v/>
      </c>
      <c r="N92" s="165">
        <f>$G92*(1+$J92)*$M92*1000</f>
        <v/>
      </c>
    </row>
    <row r="93" ht="15" customHeight="1" s="106">
      <c r="A93" s="138" t="inlineStr">
        <is>
          <t>PP-PASTA-SPA-ALO</t>
        </is>
      </c>
      <c r="B93" s="138" t="inlineStr">
        <is>
          <t>Aglio, Olio e Peperoncino</t>
        </is>
      </c>
      <c r="C93" s="138" t="inlineStr">
        <is>
          <t>Core - Signature</t>
        </is>
      </c>
      <c r="D93" s="139" t="inlineStr">
        <is>
          <t>Packaging</t>
        </is>
      </c>
      <c r="E93" s="134" t="inlineStr">
        <is>
          <t>PP-PACK-LID</t>
        </is>
      </c>
      <c r="F93" s="113" t="inlineStr">
        <is>
          <t>Bowl lid</t>
        </is>
      </c>
      <c r="G93" s="147" t="n">
        <v>1</v>
      </c>
      <c r="H93" s="164" t="inlineStr">
        <is>
          <t>ea</t>
        </is>
      </c>
      <c r="I93" s="150">
        <f>IFERROR(INDEX('04 SKU Master'!$AM$5:$AM$165,MATCH($E93,'04 SKU Master'!$A$5:$A$165,0)),IFERROR(INDEX('05 Packaging Master'!$AM$5:$AM$50,MATCH($E93,'05 Packaging Master'!$A$5:$A$50,0)),IFERROR(INDEX('09 Cost Index'!$C$5:$C$24,MATCH($E93,'09 Cost Index'!$A$5:$A$24,0)),"")))</f>
        <v/>
      </c>
      <c r="J93" s="153">
        <f>'01 Control'!$C$7</f>
        <v/>
      </c>
      <c r="K93" s="150">
        <f>IF($I93="","",$G93*$I93*(1+$J93))</f>
        <v/>
      </c>
      <c r="L93" s="177">
        <f>IF(ISNUMBER(MATCH($E93,'09 Cost Index'!$A$5:$A$24,0)),"09 Cost Index",IF(ISNUMBER(MATCH($E93,'05 Packaging Master'!$A$5:$A$46,0)),"05 Packaging Master",IF(ISNUMBER(MATCH($E93,'04 SKU Master'!$A$5:$A$165,0)),"04 SKU Master","NOT FOUND")))</f>
        <v/>
      </c>
      <c r="M93" s="178">
        <f>IFERROR(INDEX('12 Final Menu'!$U$5:$U$200,MATCH($A93,'12 Final Menu'!$A$5:$A$200,0)),0)</f>
        <v/>
      </c>
      <c r="N93" s="165">
        <f>$G93*(1+$J93)*$M93*1000</f>
        <v/>
      </c>
    </row>
    <row r="94" ht="15" customHeight="1" s="106">
      <c r="A94" s="138" t="inlineStr">
        <is>
          <t>PP-PASTA-SPA-ALO</t>
        </is>
      </c>
      <c r="B94" s="138" t="inlineStr">
        <is>
          <t>Aglio, Olio e Peperoncino</t>
        </is>
      </c>
      <c r="C94" s="138" t="inlineStr">
        <is>
          <t>Core - Signature</t>
        </is>
      </c>
      <c r="D94" s="139" t="inlineStr">
        <is>
          <t>Packaging</t>
        </is>
      </c>
      <c r="E94" s="134" t="inlineStr">
        <is>
          <t>PP-PACK-CUTLERY</t>
        </is>
      </c>
      <c r="F94" s="113" t="inlineStr">
        <is>
          <t>Cutlery set</t>
        </is>
      </c>
      <c r="G94" s="147" t="n">
        <v>1</v>
      </c>
      <c r="H94" s="164" t="inlineStr">
        <is>
          <t>ea</t>
        </is>
      </c>
      <c r="I94" s="150">
        <f>IFERROR(INDEX('04 SKU Master'!$AM$5:$AM$165,MATCH($E94,'04 SKU Master'!$A$5:$A$165,0)),IFERROR(INDEX('05 Packaging Master'!$AM$5:$AM$50,MATCH($E94,'05 Packaging Master'!$A$5:$A$50,0)),IFERROR(INDEX('09 Cost Index'!$C$5:$C$24,MATCH($E94,'09 Cost Index'!$A$5:$A$24,0)),"")))</f>
        <v/>
      </c>
      <c r="J94" s="153">
        <f>'01 Control'!$C$7</f>
        <v/>
      </c>
      <c r="K94" s="150">
        <f>IF($I94="","",$G94*$I94*(1+$J94))</f>
        <v/>
      </c>
      <c r="L94" s="177">
        <f>IF(ISNUMBER(MATCH($E94,'09 Cost Index'!$A$5:$A$24,0)),"09 Cost Index",IF(ISNUMBER(MATCH($E94,'05 Packaging Master'!$A$5:$A$46,0)),"05 Packaging Master",IF(ISNUMBER(MATCH($E94,'04 SKU Master'!$A$5:$A$165,0)),"04 SKU Master","NOT FOUND")))</f>
        <v/>
      </c>
      <c r="M94" s="178">
        <f>IFERROR(INDEX('12 Final Menu'!$U$5:$U$200,MATCH($A94,'12 Final Menu'!$A$5:$A$200,0)),0)</f>
        <v/>
      </c>
      <c r="N94" s="165">
        <f>$G94*(1+$J94)*$M94*1000</f>
        <v/>
      </c>
    </row>
    <row r="95" ht="15" customHeight="1" s="106">
      <c r="A95" s="138" t="inlineStr">
        <is>
          <t>PP-PASTA-SPA-ALO</t>
        </is>
      </c>
      <c r="B95" s="138" t="inlineStr">
        <is>
          <t>Aglio, Olio e Peperoncino</t>
        </is>
      </c>
      <c r="C95" s="138" t="inlineStr">
        <is>
          <t>Core - Signature</t>
        </is>
      </c>
      <c r="D95" s="139" t="inlineStr">
        <is>
          <t>Packaging</t>
        </is>
      </c>
      <c r="E95" s="134" t="inlineStr">
        <is>
          <t>PP-PACK-NAPKIN</t>
        </is>
      </c>
      <c r="F95" s="113" t="inlineStr">
        <is>
          <t>Branded napkin</t>
        </is>
      </c>
      <c r="G95" s="147" t="n">
        <v>1</v>
      </c>
      <c r="H95" s="164" t="inlineStr">
        <is>
          <t>ea</t>
        </is>
      </c>
      <c r="I95" s="150">
        <f>IFERROR(INDEX('04 SKU Master'!$AM$5:$AM$165,MATCH($E95,'04 SKU Master'!$A$5:$A$165,0)),IFERROR(INDEX('05 Packaging Master'!$AM$5:$AM$50,MATCH($E95,'05 Packaging Master'!$A$5:$A$50,0)),IFERROR(INDEX('09 Cost Index'!$C$5:$C$24,MATCH($E95,'09 Cost Index'!$A$5:$A$24,0)),"")))</f>
        <v/>
      </c>
      <c r="J95" s="153">
        <f>'01 Control'!$C$7</f>
        <v/>
      </c>
      <c r="K95" s="150">
        <f>IF($I95="","",$G95*$I95*(1+$J95))</f>
        <v/>
      </c>
      <c r="L95" s="177">
        <f>IF(ISNUMBER(MATCH($E95,'09 Cost Index'!$A$5:$A$24,0)),"09 Cost Index",IF(ISNUMBER(MATCH($E95,'05 Packaging Master'!$A$5:$A$46,0)),"05 Packaging Master",IF(ISNUMBER(MATCH($E95,'04 SKU Master'!$A$5:$A$165,0)),"04 SKU Master","NOT FOUND")))</f>
        <v/>
      </c>
      <c r="M95" s="178">
        <f>IFERROR(INDEX('12 Final Menu'!$U$5:$U$200,MATCH($A95,'12 Final Menu'!$A$5:$A$200,0)),0)</f>
        <v/>
      </c>
      <c r="N95" s="165">
        <f>$G95*(1+$J95)*$M95*1000</f>
        <v/>
      </c>
    </row>
    <row r="97" ht="15" customHeight="1" s="106">
      <c r="A97" s="144" t="inlineStr">
        <is>
          <t>Microgreen &amp; Pasta Salad   |   PP-SAL-MICRO-PASTA</t>
        </is>
      </c>
      <c r="B97" s="110" t="n"/>
      <c r="C97" s="110" t="n"/>
      <c r="D97" s="110" t="n"/>
      <c r="E97" s="110" t="n"/>
      <c r="F97" s="110" t="n"/>
      <c r="G97" s="110" t="n"/>
      <c r="H97" s="110" t="n"/>
      <c r="I97" s="110" t="n"/>
      <c r="J97" s="110" t="n"/>
      <c r="K97" s="110" t="n"/>
      <c r="L97" s="110" t="n"/>
      <c r="M97" s="110" t="n"/>
      <c r="N97" s="111" t="n"/>
    </row>
    <row r="98" ht="15" customHeight="1" s="106">
      <c r="A98" s="138" t="inlineStr">
        <is>
          <t>PP-SAL-MICRO-PASTA</t>
        </is>
      </c>
      <c r="B98" s="138" t="inlineStr">
        <is>
          <t>Microgreen &amp; Pasta Salad</t>
        </is>
      </c>
      <c r="C98" s="138" t="inlineStr">
        <is>
          <t>Core - Salad</t>
        </is>
      </c>
      <c r="D98" s="139" t="inlineStr">
        <is>
          <t>Pasta</t>
        </is>
      </c>
      <c r="E98" s="134" t="inlineStr">
        <is>
          <t>PP-DOUGH-BOKGAT</t>
        </is>
      </c>
      <c r="F98" s="113" t="inlineStr">
        <is>
          <t>Bokgat Base, Fusilli - dried weight (cold salad)</t>
        </is>
      </c>
      <c r="G98" s="147" t="n">
        <v>72</v>
      </c>
      <c r="H98" s="164" t="inlineStr">
        <is>
          <t>g</t>
        </is>
      </c>
      <c r="I98" s="150">
        <f>IFERROR(INDEX('04 SKU Master'!$AM$5:$AM$165,MATCH($E98,'04 SKU Master'!$A$5:$A$165,0)),IFERROR(INDEX('05 Packaging Master'!$AM$5:$AM$50,MATCH($E98,'05 Packaging Master'!$A$5:$A$50,0)),IFERROR(INDEX('09 Cost Index'!$C$5:$C$24,MATCH($E98,'09 Cost Index'!$A$5:$A$24,0)),"")))</f>
        <v/>
      </c>
      <c r="J98" s="153">
        <f>'01 Control'!$C$7</f>
        <v/>
      </c>
      <c r="K98" s="150">
        <f>IF($I98="","",$G98*$I98*(1+$J98))</f>
        <v/>
      </c>
      <c r="L98" s="177">
        <f>IF(ISNUMBER(MATCH($E98,'09 Cost Index'!$A$5:$A$24,0)),"09 Cost Index",IF(ISNUMBER(MATCH($E98,'05 Packaging Master'!$A$5:$A$46,0)),"05 Packaging Master",IF(ISNUMBER(MATCH($E98,'04 SKU Master'!$A$5:$A$165,0)),"04 SKU Master","NOT FOUND")))</f>
        <v/>
      </c>
      <c r="M98" s="178">
        <f>IFERROR(INDEX('12 Final Menu'!$U$5:$U$200,MATCH($A98,'12 Final Menu'!$A$5:$A$200,0)),0)</f>
        <v/>
      </c>
      <c r="N98" s="165">
        <f>$G98*(1+$J98)*$M98*1000</f>
        <v/>
      </c>
    </row>
    <row r="99" ht="15" customHeight="1" s="106">
      <c r="A99" s="138" t="inlineStr">
        <is>
          <t>PP-SAL-MICRO-PASTA</t>
        </is>
      </c>
      <c r="B99" s="138" t="inlineStr">
        <is>
          <t>Microgreen &amp; Pasta Salad</t>
        </is>
      </c>
      <c r="C99" s="138" t="inlineStr">
        <is>
          <t>Core - Salad</t>
        </is>
      </c>
      <c r="D99" s="139" t="inlineStr">
        <is>
          <t>Ingredient</t>
        </is>
      </c>
      <c r="E99" s="134" t="inlineStr">
        <is>
          <t>PP-BA-MIC-001</t>
        </is>
      </c>
      <c r="F99" s="113" t="inlineStr">
        <is>
          <t>Basil microgreens</t>
        </is>
      </c>
      <c r="G99" s="147" t="n">
        <v>15</v>
      </c>
      <c r="H99" s="164" t="inlineStr">
        <is>
          <t>g</t>
        </is>
      </c>
      <c r="I99" s="150">
        <f>IFERROR(INDEX('04 SKU Master'!$AM$5:$AM$165,MATCH($E99,'04 SKU Master'!$A$5:$A$165,0)),IFERROR(INDEX('05 Packaging Master'!$AM$5:$AM$50,MATCH($E99,'05 Packaging Master'!$A$5:$A$50,0)),IFERROR(INDEX('09 Cost Index'!$C$5:$C$24,MATCH($E99,'09 Cost Index'!$A$5:$A$24,0)),"")))</f>
        <v/>
      </c>
      <c r="J99" s="153">
        <f>'01 Control'!$C$7</f>
        <v/>
      </c>
      <c r="K99" s="150">
        <f>IF($I99="","",$G99*$I99*(1+$J99))</f>
        <v/>
      </c>
      <c r="L99" s="177">
        <f>IF(ISNUMBER(MATCH($E99,'09 Cost Index'!$A$5:$A$24,0)),"09 Cost Index",IF(ISNUMBER(MATCH($E99,'05 Packaging Master'!$A$5:$A$46,0)),"05 Packaging Master",IF(ISNUMBER(MATCH($E99,'04 SKU Master'!$A$5:$A$165,0)),"04 SKU Master","NOT FOUND")))</f>
        <v/>
      </c>
      <c r="M99" s="178">
        <f>IFERROR(INDEX('12 Final Menu'!$U$5:$U$200,MATCH($A99,'12 Final Menu'!$A$5:$A$200,0)),0)</f>
        <v/>
      </c>
      <c r="N99" s="165">
        <f>$G99*(1+$J99)*$M99*1000</f>
        <v/>
      </c>
    </row>
    <row r="100" ht="15" customHeight="1" s="106">
      <c r="A100" s="138" t="inlineStr">
        <is>
          <t>PP-SAL-MICRO-PASTA</t>
        </is>
      </c>
      <c r="B100" s="138" t="inlineStr">
        <is>
          <t>Microgreen &amp; Pasta Salad</t>
        </is>
      </c>
      <c r="C100" s="138" t="inlineStr">
        <is>
          <t>Core - Salad</t>
        </is>
      </c>
      <c r="D100" s="139" t="inlineStr">
        <is>
          <t>Ingredient</t>
        </is>
      </c>
      <c r="E100" s="134" t="inlineStr">
        <is>
          <t>PP-PEA-MIC-005</t>
        </is>
      </c>
      <c r="F100" s="113" t="inlineStr">
        <is>
          <t>Pea shoot microgreens</t>
        </is>
      </c>
      <c r="G100" s="147" t="n">
        <v>10</v>
      </c>
      <c r="H100" s="164" t="inlineStr">
        <is>
          <t>g</t>
        </is>
      </c>
      <c r="I100" s="150">
        <f>IFERROR(INDEX('04 SKU Master'!$AM$5:$AM$165,MATCH($E100,'04 SKU Master'!$A$5:$A$165,0)),IFERROR(INDEX('05 Packaging Master'!$AM$5:$AM$50,MATCH($E100,'05 Packaging Master'!$A$5:$A$50,0)),IFERROR(INDEX('09 Cost Index'!$C$5:$C$24,MATCH($E100,'09 Cost Index'!$A$5:$A$24,0)),"")))</f>
        <v/>
      </c>
      <c r="J100" s="153">
        <f>'01 Control'!$C$7</f>
        <v/>
      </c>
      <c r="K100" s="150">
        <f>IF($I100="","",$G100*$I100*(1+$J100))</f>
        <v/>
      </c>
      <c r="L100" s="177">
        <f>IF(ISNUMBER(MATCH($E100,'09 Cost Index'!$A$5:$A$24,0)),"09 Cost Index",IF(ISNUMBER(MATCH($E100,'05 Packaging Master'!$A$5:$A$46,0)),"05 Packaging Master",IF(ISNUMBER(MATCH($E100,'04 SKU Master'!$A$5:$A$165,0)),"04 SKU Master","NOT FOUND")))</f>
        <v/>
      </c>
      <c r="M100" s="178">
        <f>IFERROR(INDEX('12 Final Menu'!$U$5:$U$200,MATCH($A100,'12 Final Menu'!$A$5:$A$200,0)),0)</f>
        <v/>
      </c>
      <c r="N100" s="165">
        <f>$G100*(1+$J100)*$M100*1000</f>
        <v/>
      </c>
    </row>
    <row r="101" ht="15" customHeight="1" s="106">
      <c r="A101" s="138" t="inlineStr">
        <is>
          <t>PP-SAL-MICRO-PASTA</t>
        </is>
      </c>
      <c r="B101" s="138" t="inlineStr">
        <is>
          <t>Microgreen &amp; Pasta Salad</t>
        </is>
      </c>
      <c r="C101" s="138" t="inlineStr">
        <is>
          <t>Core - Salad</t>
        </is>
      </c>
      <c r="D101" s="139" t="inlineStr">
        <is>
          <t>Ingredient</t>
        </is>
      </c>
      <c r="E101" s="134" t="inlineStr">
        <is>
          <t>PP-VEG-CHERRYTOM</t>
        </is>
      </c>
      <c r="F101" s="113" t="inlineStr">
        <is>
          <t>Cherry tomatoes</t>
        </is>
      </c>
      <c r="G101" s="147" t="n">
        <v>45</v>
      </c>
      <c r="H101" s="164" t="inlineStr">
        <is>
          <t>g</t>
        </is>
      </c>
      <c r="I101" s="150">
        <f>IFERROR(INDEX('04 SKU Master'!$AM$5:$AM$165,MATCH($E101,'04 SKU Master'!$A$5:$A$165,0)),IFERROR(INDEX('05 Packaging Master'!$AM$5:$AM$50,MATCH($E101,'05 Packaging Master'!$A$5:$A$50,0)),IFERROR(INDEX('09 Cost Index'!$C$5:$C$24,MATCH($E101,'09 Cost Index'!$A$5:$A$24,0)),"")))</f>
        <v/>
      </c>
      <c r="J101" s="153">
        <f>'01 Control'!$C$7</f>
        <v/>
      </c>
      <c r="K101" s="150">
        <f>IF($I101="","",$G101*$I101*(1+$J101))</f>
        <v/>
      </c>
      <c r="L101" s="177">
        <f>IF(ISNUMBER(MATCH($E101,'09 Cost Index'!$A$5:$A$24,0)),"09 Cost Index",IF(ISNUMBER(MATCH($E101,'05 Packaging Master'!$A$5:$A$46,0)),"05 Packaging Master",IF(ISNUMBER(MATCH($E101,'04 SKU Master'!$A$5:$A$165,0)),"04 SKU Master","NOT FOUND")))</f>
        <v/>
      </c>
      <c r="M101" s="178">
        <f>IFERROR(INDEX('12 Final Menu'!$U$5:$U$200,MATCH($A101,'12 Final Menu'!$A$5:$A$200,0)),0)</f>
        <v/>
      </c>
      <c r="N101" s="165">
        <f>$G101*(1+$J101)*$M101*1000</f>
        <v/>
      </c>
    </row>
    <row r="102" ht="15" customHeight="1" s="106">
      <c r="A102" s="138" t="inlineStr">
        <is>
          <t>PP-SAL-MICRO-PASTA</t>
        </is>
      </c>
      <c r="B102" s="138" t="inlineStr">
        <is>
          <t>Microgreen &amp; Pasta Salad</t>
        </is>
      </c>
      <c r="C102" s="138" t="inlineStr">
        <is>
          <t>Core - Salad</t>
        </is>
      </c>
      <c r="D102" s="139" t="inlineStr">
        <is>
          <t>Ingredient</t>
        </is>
      </c>
      <c r="E102" s="134" t="inlineStr">
        <is>
          <t>PP-VEG-CUCUMBER</t>
        </is>
      </c>
      <c r="F102" s="113" t="inlineStr">
        <is>
          <t>Cucumber</t>
        </is>
      </c>
      <c r="G102" s="147" t="n">
        <v>40</v>
      </c>
      <c r="H102" s="164" t="inlineStr">
        <is>
          <t>g</t>
        </is>
      </c>
      <c r="I102" s="150">
        <f>IFERROR(INDEX('04 SKU Master'!$AM$5:$AM$165,MATCH($E102,'04 SKU Master'!$A$5:$A$165,0)),IFERROR(INDEX('05 Packaging Master'!$AM$5:$AM$50,MATCH($E102,'05 Packaging Master'!$A$5:$A$50,0)),IFERROR(INDEX('09 Cost Index'!$C$5:$C$24,MATCH($E102,'09 Cost Index'!$A$5:$A$24,0)),"")))</f>
        <v/>
      </c>
      <c r="J102" s="153">
        <f>'01 Control'!$C$7</f>
        <v/>
      </c>
      <c r="K102" s="150">
        <f>IF($I102="","",$G102*$I102*(1+$J102))</f>
        <v/>
      </c>
      <c r="L102" s="177">
        <f>IF(ISNUMBER(MATCH($E102,'09 Cost Index'!$A$5:$A$24,0)),"09 Cost Index",IF(ISNUMBER(MATCH($E102,'05 Packaging Master'!$A$5:$A$46,0)),"05 Packaging Master",IF(ISNUMBER(MATCH($E102,'04 SKU Master'!$A$5:$A$165,0)),"04 SKU Master","NOT FOUND")))</f>
        <v/>
      </c>
      <c r="M102" s="178">
        <f>IFERROR(INDEX('12 Final Menu'!$U$5:$U$200,MATCH($A102,'12 Final Menu'!$A$5:$A$200,0)),0)</f>
        <v/>
      </c>
      <c r="N102" s="165">
        <f>$G102*(1+$J102)*$M102*1000</f>
        <v/>
      </c>
    </row>
    <row r="103" ht="15" customHeight="1" s="106">
      <c r="A103" s="138" t="inlineStr">
        <is>
          <t>PP-SAL-MICRO-PASTA</t>
        </is>
      </c>
      <c r="B103" s="138" t="inlineStr">
        <is>
          <t>Microgreen &amp; Pasta Salad</t>
        </is>
      </c>
      <c r="C103" s="138" t="inlineStr">
        <is>
          <t>Core - Salad</t>
        </is>
      </c>
      <c r="D103" s="139" t="inlineStr">
        <is>
          <t>Ingredient</t>
        </is>
      </c>
      <c r="E103" s="134" t="inlineStr">
        <is>
          <t>PP-VEG-REDONION</t>
        </is>
      </c>
      <c r="F103" s="113" t="inlineStr">
        <is>
          <t>Red onion</t>
        </is>
      </c>
      <c r="G103" s="147" t="n">
        <v>15</v>
      </c>
      <c r="H103" s="164" t="inlineStr">
        <is>
          <t>g</t>
        </is>
      </c>
      <c r="I103" s="150">
        <f>IFERROR(INDEX('04 SKU Master'!$AM$5:$AM$165,MATCH($E103,'04 SKU Master'!$A$5:$A$165,0)),IFERROR(INDEX('05 Packaging Master'!$AM$5:$AM$50,MATCH($E103,'05 Packaging Master'!$A$5:$A$50,0)),IFERROR(INDEX('09 Cost Index'!$C$5:$C$24,MATCH($E103,'09 Cost Index'!$A$5:$A$24,0)),"")))</f>
        <v/>
      </c>
      <c r="J103" s="153">
        <f>'01 Control'!$C$7</f>
        <v/>
      </c>
      <c r="K103" s="150">
        <f>IF($I103="","",$G103*$I103*(1+$J103))</f>
        <v/>
      </c>
      <c r="L103" s="177">
        <f>IF(ISNUMBER(MATCH($E103,'09 Cost Index'!$A$5:$A$24,0)),"09 Cost Index",IF(ISNUMBER(MATCH($E103,'05 Packaging Master'!$A$5:$A$46,0)),"05 Packaging Master",IF(ISNUMBER(MATCH($E103,'04 SKU Master'!$A$5:$A$165,0)),"04 SKU Master","NOT FOUND")))</f>
        <v/>
      </c>
      <c r="M103" s="178">
        <f>IFERROR(INDEX('12 Final Menu'!$U$5:$U$200,MATCH($A103,'12 Final Menu'!$A$5:$A$200,0)),0)</f>
        <v/>
      </c>
      <c r="N103" s="165">
        <f>$G103*(1+$J103)*$M103*1000</f>
        <v/>
      </c>
    </row>
    <row r="104" ht="15" customHeight="1" s="106">
      <c r="A104" s="138" t="inlineStr">
        <is>
          <t>PP-SAL-MICRO-PASTA</t>
        </is>
      </c>
      <c r="B104" s="138" t="inlineStr">
        <is>
          <t>Microgreen &amp; Pasta Salad</t>
        </is>
      </c>
      <c r="C104" s="138" t="inlineStr">
        <is>
          <t>Core - Salad</t>
        </is>
      </c>
      <c r="D104" s="139" t="inlineStr">
        <is>
          <t>Ingredient</t>
        </is>
      </c>
      <c r="E104" s="134" t="inlineStr">
        <is>
          <t>PP-DRESSING-LEMHERB</t>
        </is>
      </c>
      <c r="F104" s="113" t="inlineStr">
        <is>
          <t>Lemon-herb vinaigrette</t>
        </is>
      </c>
      <c r="G104" s="147" t="n">
        <v>25</v>
      </c>
      <c r="H104" s="164" t="inlineStr">
        <is>
          <t>ml</t>
        </is>
      </c>
      <c r="I104" s="150">
        <f>IFERROR(INDEX('04 SKU Master'!$AM$5:$AM$165,MATCH($E104,'04 SKU Master'!$A$5:$A$165,0)),IFERROR(INDEX('05 Packaging Master'!$AM$5:$AM$50,MATCH($E104,'05 Packaging Master'!$A$5:$A$50,0)),IFERROR(INDEX('09 Cost Index'!$C$5:$C$24,MATCH($E104,'09 Cost Index'!$A$5:$A$24,0)),"")))</f>
        <v/>
      </c>
      <c r="J104" s="153">
        <f>'01 Control'!$C$7</f>
        <v/>
      </c>
      <c r="K104" s="150">
        <f>IF($I104="","",$G104*$I104*(1+$J104))</f>
        <v/>
      </c>
      <c r="L104" s="177">
        <f>IF(ISNUMBER(MATCH($E104,'09 Cost Index'!$A$5:$A$24,0)),"09 Cost Index",IF(ISNUMBER(MATCH($E104,'05 Packaging Master'!$A$5:$A$46,0)),"05 Packaging Master",IF(ISNUMBER(MATCH($E104,'04 SKU Master'!$A$5:$A$165,0)),"04 SKU Master","NOT FOUND")))</f>
        <v/>
      </c>
      <c r="M104" s="178">
        <f>IFERROR(INDEX('12 Final Menu'!$U$5:$U$200,MATCH($A104,'12 Final Menu'!$A$5:$A$200,0)),0)</f>
        <v/>
      </c>
      <c r="N104" s="165">
        <f>$G104*(1+$J104)*$M104*1000</f>
        <v/>
      </c>
    </row>
    <row r="105" ht="15" customHeight="1" s="106">
      <c r="A105" s="138" t="inlineStr">
        <is>
          <t>PP-SAL-MICRO-PASTA</t>
        </is>
      </c>
      <c r="B105" s="138" t="inlineStr">
        <is>
          <t>Microgreen &amp; Pasta Salad</t>
        </is>
      </c>
      <c r="C105" s="138" t="inlineStr">
        <is>
          <t>Core - Salad</t>
        </is>
      </c>
      <c r="D105" s="139" t="inlineStr">
        <is>
          <t>Packaging</t>
        </is>
      </c>
      <c r="E105" s="134" t="inlineStr">
        <is>
          <t>PP-PACK-SALAD-BOWL</t>
        </is>
      </c>
      <c r="F105" s="113" t="inlineStr">
        <is>
          <t>Salad bowl</t>
        </is>
      </c>
      <c r="G105" s="147" t="n">
        <v>1</v>
      </c>
      <c r="H105" s="164" t="inlineStr">
        <is>
          <t>ea</t>
        </is>
      </c>
      <c r="I105" s="150">
        <f>IFERROR(INDEX('04 SKU Master'!$AM$5:$AM$165,MATCH($E105,'04 SKU Master'!$A$5:$A$165,0)),IFERROR(INDEX('05 Packaging Master'!$AM$5:$AM$50,MATCH($E105,'05 Packaging Master'!$A$5:$A$50,0)),IFERROR(INDEX('09 Cost Index'!$C$5:$C$24,MATCH($E105,'09 Cost Index'!$A$5:$A$24,0)),"")))</f>
        <v/>
      </c>
      <c r="J105" s="153">
        <f>'01 Control'!$C$7</f>
        <v/>
      </c>
      <c r="K105" s="150">
        <f>IF($I105="","",$G105*$I105*(1+$J105))</f>
        <v/>
      </c>
      <c r="L105" s="177">
        <f>IF(ISNUMBER(MATCH($E105,'09 Cost Index'!$A$5:$A$24,0)),"09 Cost Index",IF(ISNUMBER(MATCH($E105,'05 Packaging Master'!$A$5:$A$46,0)),"05 Packaging Master",IF(ISNUMBER(MATCH($E105,'04 SKU Master'!$A$5:$A$165,0)),"04 SKU Master","NOT FOUND")))</f>
        <v/>
      </c>
      <c r="M105" s="178">
        <f>IFERROR(INDEX('12 Final Menu'!$U$5:$U$200,MATCH($A105,'12 Final Menu'!$A$5:$A$200,0)),0)</f>
        <v/>
      </c>
      <c r="N105" s="165">
        <f>$G105*(1+$J105)*$M105*1000</f>
        <v/>
      </c>
    </row>
    <row r="106" ht="15" customHeight="1" s="106">
      <c r="A106" s="138" t="inlineStr">
        <is>
          <t>PP-SAL-MICRO-PASTA</t>
        </is>
      </c>
      <c r="B106" s="138" t="inlineStr">
        <is>
          <t>Microgreen &amp; Pasta Salad</t>
        </is>
      </c>
      <c r="C106" s="138" t="inlineStr">
        <is>
          <t>Core - Salad</t>
        </is>
      </c>
      <c r="D106" s="139" t="inlineStr">
        <is>
          <t>Packaging</t>
        </is>
      </c>
      <c r="E106" s="134" t="inlineStr">
        <is>
          <t>PP-PACK-SALAD-LID</t>
        </is>
      </c>
      <c r="F106" s="113" t="inlineStr">
        <is>
          <t>Salad bowl lid</t>
        </is>
      </c>
      <c r="G106" s="147" t="n">
        <v>1</v>
      </c>
      <c r="H106" s="164" t="inlineStr">
        <is>
          <t>ea</t>
        </is>
      </c>
      <c r="I106" s="150">
        <f>IFERROR(INDEX('04 SKU Master'!$AM$5:$AM$165,MATCH($E106,'04 SKU Master'!$A$5:$A$165,0)),IFERROR(INDEX('05 Packaging Master'!$AM$5:$AM$50,MATCH($E106,'05 Packaging Master'!$A$5:$A$50,0)),IFERROR(INDEX('09 Cost Index'!$C$5:$C$24,MATCH($E106,'09 Cost Index'!$A$5:$A$24,0)),"")))</f>
        <v/>
      </c>
      <c r="J106" s="153">
        <f>'01 Control'!$C$7</f>
        <v/>
      </c>
      <c r="K106" s="150">
        <f>IF($I106="","",$G106*$I106*(1+$J106))</f>
        <v/>
      </c>
      <c r="L106" s="177">
        <f>IF(ISNUMBER(MATCH($E106,'09 Cost Index'!$A$5:$A$24,0)),"09 Cost Index",IF(ISNUMBER(MATCH($E106,'05 Packaging Master'!$A$5:$A$46,0)),"05 Packaging Master",IF(ISNUMBER(MATCH($E106,'04 SKU Master'!$A$5:$A$165,0)),"04 SKU Master","NOT FOUND")))</f>
        <v/>
      </c>
      <c r="M106" s="178">
        <f>IFERROR(INDEX('12 Final Menu'!$U$5:$U$200,MATCH($A106,'12 Final Menu'!$A$5:$A$200,0)),0)</f>
        <v/>
      </c>
      <c r="N106" s="165">
        <f>$G106*(1+$J106)*$M106*1000</f>
        <v/>
      </c>
    </row>
    <row r="107" ht="15" customHeight="1" s="106">
      <c r="A107" s="138" t="inlineStr">
        <is>
          <t>PP-SAL-MICRO-PASTA</t>
        </is>
      </c>
      <c r="B107" s="138" t="inlineStr">
        <is>
          <t>Microgreen &amp; Pasta Salad</t>
        </is>
      </c>
      <c r="C107" s="138" t="inlineStr">
        <is>
          <t>Core - Salad</t>
        </is>
      </c>
      <c r="D107" s="139" t="inlineStr">
        <is>
          <t>Packaging</t>
        </is>
      </c>
      <c r="E107" s="134" t="inlineStr">
        <is>
          <t>PP-PACK-SAUCE-POT</t>
        </is>
      </c>
      <c r="F107" s="113" t="inlineStr">
        <is>
          <t>Dressing pot</t>
        </is>
      </c>
      <c r="G107" s="147" t="n">
        <v>1</v>
      </c>
      <c r="H107" s="164" t="inlineStr">
        <is>
          <t>ea</t>
        </is>
      </c>
      <c r="I107" s="150">
        <f>IFERROR(INDEX('04 SKU Master'!$AM$5:$AM$165,MATCH($E107,'04 SKU Master'!$A$5:$A$165,0)),IFERROR(INDEX('05 Packaging Master'!$AM$5:$AM$50,MATCH($E107,'05 Packaging Master'!$A$5:$A$50,0)),IFERROR(INDEX('09 Cost Index'!$C$5:$C$24,MATCH($E107,'09 Cost Index'!$A$5:$A$24,0)),"")))</f>
        <v/>
      </c>
      <c r="J107" s="153">
        <f>'01 Control'!$C$7</f>
        <v/>
      </c>
      <c r="K107" s="150">
        <f>IF($I107="","",$G107*$I107*(1+$J107))</f>
        <v/>
      </c>
      <c r="L107" s="177">
        <f>IF(ISNUMBER(MATCH($E107,'09 Cost Index'!$A$5:$A$24,0)),"09 Cost Index",IF(ISNUMBER(MATCH($E107,'05 Packaging Master'!$A$5:$A$46,0)),"05 Packaging Master",IF(ISNUMBER(MATCH($E107,'04 SKU Master'!$A$5:$A$165,0)),"04 SKU Master","NOT FOUND")))</f>
        <v/>
      </c>
      <c r="M107" s="178">
        <f>IFERROR(INDEX('12 Final Menu'!$U$5:$U$200,MATCH($A107,'12 Final Menu'!$A$5:$A$200,0)),0)</f>
        <v/>
      </c>
      <c r="N107" s="165">
        <f>$G107*(1+$J107)*$M107*1000</f>
        <v/>
      </c>
    </row>
    <row r="108" ht="15" customHeight="1" s="106">
      <c r="A108" s="138" t="inlineStr">
        <is>
          <t>PP-SAL-MICRO-PASTA</t>
        </is>
      </c>
      <c r="B108" s="138" t="inlineStr">
        <is>
          <t>Microgreen &amp; Pasta Salad</t>
        </is>
      </c>
      <c r="C108" s="138" t="inlineStr">
        <is>
          <t>Core - Salad</t>
        </is>
      </c>
      <c r="D108" s="139" t="inlineStr">
        <is>
          <t>Packaging</t>
        </is>
      </c>
      <c r="E108" s="134" t="inlineStr">
        <is>
          <t>PP-PACK-CUTLERY</t>
        </is>
      </c>
      <c r="F108" s="113" t="inlineStr">
        <is>
          <t>Cutlery set</t>
        </is>
      </c>
      <c r="G108" s="147" t="n">
        <v>1</v>
      </c>
      <c r="H108" s="164" t="inlineStr">
        <is>
          <t>ea</t>
        </is>
      </c>
      <c r="I108" s="150">
        <f>IFERROR(INDEX('04 SKU Master'!$AM$5:$AM$165,MATCH($E108,'04 SKU Master'!$A$5:$A$165,0)),IFERROR(INDEX('05 Packaging Master'!$AM$5:$AM$50,MATCH($E108,'05 Packaging Master'!$A$5:$A$50,0)),IFERROR(INDEX('09 Cost Index'!$C$5:$C$24,MATCH($E108,'09 Cost Index'!$A$5:$A$24,0)),"")))</f>
        <v/>
      </c>
      <c r="J108" s="153">
        <f>'01 Control'!$C$7</f>
        <v/>
      </c>
      <c r="K108" s="150">
        <f>IF($I108="","",$G108*$I108*(1+$J108))</f>
        <v/>
      </c>
      <c r="L108" s="177">
        <f>IF(ISNUMBER(MATCH($E108,'09 Cost Index'!$A$5:$A$24,0)),"09 Cost Index",IF(ISNUMBER(MATCH($E108,'05 Packaging Master'!$A$5:$A$46,0)),"05 Packaging Master",IF(ISNUMBER(MATCH($E108,'04 SKU Master'!$A$5:$A$165,0)),"04 SKU Master","NOT FOUND")))</f>
        <v/>
      </c>
      <c r="M108" s="178">
        <f>IFERROR(INDEX('12 Final Menu'!$U$5:$U$200,MATCH($A108,'12 Final Menu'!$A$5:$A$200,0)),0)</f>
        <v/>
      </c>
      <c r="N108" s="165">
        <f>$G108*(1+$J108)*$M108*1000</f>
        <v/>
      </c>
    </row>
    <row r="109" ht="15" customHeight="1" s="106">
      <c r="A109" s="138" t="inlineStr">
        <is>
          <t>PP-SAL-MICRO-PASTA</t>
        </is>
      </c>
      <c r="B109" s="138" t="inlineStr">
        <is>
          <t>Microgreen &amp; Pasta Salad</t>
        </is>
      </c>
      <c r="C109" s="138" t="inlineStr">
        <is>
          <t>Core - Salad</t>
        </is>
      </c>
      <c r="D109" s="139" t="inlineStr">
        <is>
          <t>Packaging</t>
        </is>
      </c>
      <c r="E109" s="134" t="inlineStr">
        <is>
          <t>PP-PACK-NAPKIN</t>
        </is>
      </c>
      <c r="F109" s="113" t="inlineStr">
        <is>
          <t>Branded napkin</t>
        </is>
      </c>
      <c r="G109" s="147" t="n">
        <v>1</v>
      </c>
      <c r="H109" s="164" t="inlineStr">
        <is>
          <t>ea</t>
        </is>
      </c>
      <c r="I109" s="150">
        <f>IFERROR(INDEX('04 SKU Master'!$AM$5:$AM$165,MATCH($E109,'04 SKU Master'!$A$5:$A$165,0)),IFERROR(INDEX('05 Packaging Master'!$AM$5:$AM$50,MATCH($E109,'05 Packaging Master'!$A$5:$A$50,0)),IFERROR(INDEX('09 Cost Index'!$C$5:$C$24,MATCH($E109,'09 Cost Index'!$A$5:$A$24,0)),"")))</f>
        <v/>
      </c>
      <c r="J109" s="153">
        <f>'01 Control'!$C$7</f>
        <v/>
      </c>
      <c r="K109" s="150">
        <f>IF($I109="","",$G109*$I109*(1+$J109))</f>
        <v/>
      </c>
      <c r="L109" s="177">
        <f>IF(ISNUMBER(MATCH($E109,'09 Cost Index'!$A$5:$A$24,0)),"09 Cost Index",IF(ISNUMBER(MATCH($E109,'05 Packaging Master'!$A$5:$A$46,0)),"05 Packaging Master",IF(ISNUMBER(MATCH($E109,'04 SKU Master'!$A$5:$A$165,0)),"04 SKU Master","NOT FOUND")))</f>
        <v/>
      </c>
      <c r="M109" s="178">
        <f>IFERROR(INDEX('12 Final Menu'!$U$5:$U$200,MATCH($A109,'12 Final Menu'!$A$5:$A$200,0)),0)</f>
        <v/>
      </c>
      <c r="N109" s="165">
        <f>$G109*(1+$J109)*$M109*1000</f>
        <v/>
      </c>
    </row>
    <row r="111" ht="15" customHeight="1" s="106">
      <c r="A111" s="144" t="inlineStr">
        <is>
          <t>Rainbow Pasta Salad   |   PP-SAL-RAINBOW</t>
        </is>
      </c>
      <c r="B111" s="110" t="n"/>
      <c r="C111" s="110" t="n"/>
      <c r="D111" s="110" t="n"/>
      <c r="E111" s="110" t="n"/>
      <c r="F111" s="110" t="n"/>
      <c r="G111" s="110" t="n"/>
      <c r="H111" s="110" t="n"/>
      <c r="I111" s="110" t="n"/>
      <c r="J111" s="110" t="n"/>
      <c r="K111" s="110" t="n"/>
      <c r="L111" s="110" t="n"/>
      <c r="M111" s="110" t="n"/>
      <c r="N111" s="111" t="n"/>
    </row>
    <row r="112" ht="15" customHeight="1" s="106">
      <c r="A112" s="138" t="inlineStr">
        <is>
          <t>PP-SAL-RAINBOW</t>
        </is>
      </c>
      <c r="B112" s="138" t="inlineStr">
        <is>
          <t>Rainbow Pasta Salad</t>
        </is>
      </c>
      <c r="C112" s="138" t="inlineStr">
        <is>
          <t>Core - Salad</t>
        </is>
      </c>
      <c r="D112" s="139" t="inlineStr">
        <is>
          <t>Pasta</t>
        </is>
      </c>
      <c r="E112" s="134" t="inlineStr">
        <is>
          <t>PP-DOUGH-BOKGAT</t>
        </is>
      </c>
      <c r="F112" s="113" t="inlineStr">
        <is>
          <t>Bokgat Base, Fusilli - dried weight (cold salad)</t>
        </is>
      </c>
      <c r="G112" s="147" t="n">
        <v>72</v>
      </c>
      <c r="H112" s="164" t="inlineStr">
        <is>
          <t>g</t>
        </is>
      </c>
      <c r="I112" s="150">
        <f>IFERROR(INDEX('04 SKU Master'!$AM$5:$AM$165,MATCH($E112,'04 SKU Master'!$A$5:$A$165,0)),IFERROR(INDEX('05 Packaging Master'!$AM$5:$AM$50,MATCH($E112,'05 Packaging Master'!$A$5:$A$50,0)),IFERROR(INDEX('09 Cost Index'!$C$5:$C$24,MATCH($E112,'09 Cost Index'!$A$5:$A$24,0)),"")))</f>
        <v/>
      </c>
      <c r="J112" s="153">
        <f>'01 Control'!$C$7</f>
        <v/>
      </c>
      <c r="K112" s="150">
        <f>IF($I112="","",$G112*$I112*(1+$J112))</f>
        <v/>
      </c>
      <c r="L112" s="177">
        <f>IF(ISNUMBER(MATCH($E112,'09 Cost Index'!$A$5:$A$24,0)),"09 Cost Index",IF(ISNUMBER(MATCH($E112,'05 Packaging Master'!$A$5:$A$46,0)),"05 Packaging Master",IF(ISNUMBER(MATCH($E112,'04 SKU Master'!$A$5:$A$165,0)),"04 SKU Master","NOT FOUND")))</f>
        <v/>
      </c>
      <c r="M112" s="178">
        <f>IFERROR(INDEX('12 Final Menu'!$U$5:$U$200,MATCH($A112,'12 Final Menu'!$A$5:$A$200,0)),0)</f>
        <v/>
      </c>
      <c r="N112" s="165">
        <f>$G112*(1+$J112)*$M112*1000</f>
        <v/>
      </c>
    </row>
    <row r="113" ht="15" customHeight="1" s="106">
      <c r="A113" s="138" t="inlineStr">
        <is>
          <t>PP-SAL-RAINBOW</t>
        </is>
      </c>
      <c r="B113" s="138" t="inlineStr">
        <is>
          <t>Rainbow Pasta Salad</t>
        </is>
      </c>
      <c r="C113" s="138" t="inlineStr">
        <is>
          <t>Core - Salad</t>
        </is>
      </c>
      <c r="D113" s="139" t="inlineStr">
        <is>
          <t>Ingredient</t>
        </is>
      </c>
      <c r="E113" s="134" t="inlineStr">
        <is>
          <t>PP-VEG-BUTTERNUT</t>
        </is>
      </c>
      <c r="F113" s="113" t="inlineStr">
        <is>
          <t>Roast butternut</t>
        </is>
      </c>
      <c r="G113" s="147" t="n">
        <v>55</v>
      </c>
      <c r="H113" s="164" t="inlineStr">
        <is>
          <t>g</t>
        </is>
      </c>
      <c r="I113" s="150">
        <f>IFERROR(INDEX('04 SKU Master'!$AM$5:$AM$165,MATCH($E113,'04 SKU Master'!$A$5:$A$165,0)),IFERROR(INDEX('05 Packaging Master'!$AM$5:$AM$50,MATCH($E113,'05 Packaging Master'!$A$5:$A$50,0)),IFERROR(INDEX('09 Cost Index'!$C$5:$C$24,MATCH($E113,'09 Cost Index'!$A$5:$A$24,0)),"")))</f>
        <v/>
      </c>
      <c r="J113" s="153">
        <f>'01 Control'!$C$7</f>
        <v/>
      </c>
      <c r="K113" s="150">
        <f>IF($I113="","",$G113*$I113*(1+$J113))</f>
        <v/>
      </c>
      <c r="L113" s="177">
        <f>IF(ISNUMBER(MATCH($E113,'09 Cost Index'!$A$5:$A$24,0)),"09 Cost Index",IF(ISNUMBER(MATCH($E113,'05 Packaging Master'!$A$5:$A$46,0)),"05 Packaging Master",IF(ISNUMBER(MATCH($E113,'04 SKU Master'!$A$5:$A$165,0)),"04 SKU Master","NOT FOUND")))</f>
        <v/>
      </c>
      <c r="M113" s="178">
        <f>IFERROR(INDEX('12 Final Menu'!$U$5:$U$200,MATCH($A113,'12 Final Menu'!$A$5:$A$200,0)),0)</f>
        <v/>
      </c>
      <c r="N113" s="165">
        <f>$G113*(1+$J113)*$M113*1000</f>
        <v/>
      </c>
    </row>
    <row r="114" ht="15" customHeight="1" s="106">
      <c r="A114" s="138" t="inlineStr">
        <is>
          <t>PP-SAL-RAINBOW</t>
        </is>
      </c>
      <c r="B114" s="138" t="inlineStr">
        <is>
          <t>Rainbow Pasta Salad</t>
        </is>
      </c>
      <c r="C114" s="138" t="inlineStr">
        <is>
          <t>Core - Salad</t>
        </is>
      </c>
      <c r="D114" s="139" t="inlineStr">
        <is>
          <t>Ingredient</t>
        </is>
      </c>
      <c r="E114" s="134" t="inlineStr">
        <is>
          <t>PP-VEG-SWEETCORN</t>
        </is>
      </c>
      <c r="F114" s="113" t="inlineStr">
        <is>
          <t>Sweetcorn</t>
        </is>
      </c>
      <c r="G114" s="147" t="n">
        <v>35</v>
      </c>
      <c r="H114" s="164" t="inlineStr">
        <is>
          <t>g</t>
        </is>
      </c>
      <c r="I114" s="150">
        <f>IFERROR(INDEX('04 SKU Master'!$AM$5:$AM$165,MATCH($E114,'04 SKU Master'!$A$5:$A$165,0)),IFERROR(INDEX('05 Packaging Master'!$AM$5:$AM$50,MATCH($E114,'05 Packaging Master'!$A$5:$A$50,0)),IFERROR(INDEX('09 Cost Index'!$C$5:$C$24,MATCH($E114,'09 Cost Index'!$A$5:$A$24,0)),"")))</f>
        <v/>
      </c>
      <c r="J114" s="153">
        <f>'01 Control'!$C$7</f>
        <v/>
      </c>
      <c r="K114" s="150">
        <f>IF($I114="","",$G114*$I114*(1+$J114))</f>
        <v/>
      </c>
      <c r="L114" s="177">
        <f>IF(ISNUMBER(MATCH($E114,'09 Cost Index'!$A$5:$A$24,0)),"09 Cost Index",IF(ISNUMBER(MATCH($E114,'05 Packaging Master'!$A$5:$A$46,0)),"05 Packaging Master",IF(ISNUMBER(MATCH($E114,'04 SKU Master'!$A$5:$A$165,0)),"04 SKU Master","NOT FOUND")))</f>
        <v/>
      </c>
      <c r="M114" s="178">
        <f>IFERROR(INDEX('12 Final Menu'!$U$5:$U$200,MATCH($A114,'12 Final Menu'!$A$5:$A$200,0)),0)</f>
        <v/>
      </c>
      <c r="N114" s="165">
        <f>$G114*(1+$J114)*$M114*1000</f>
        <v/>
      </c>
    </row>
    <row r="115" ht="15" customHeight="1" s="106">
      <c r="A115" s="138" t="inlineStr">
        <is>
          <t>PP-SAL-RAINBOW</t>
        </is>
      </c>
      <c r="B115" s="138" t="inlineStr">
        <is>
          <t>Rainbow Pasta Salad</t>
        </is>
      </c>
      <c r="C115" s="138" t="inlineStr">
        <is>
          <t>Core - Salad</t>
        </is>
      </c>
      <c r="D115" s="139" t="inlineStr">
        <is>
          <t>Ingredient</t>
        </is>
      </c>
      <c r="E115" s="134" t="inlineStr">
        <is>
          <t>PP-VEG-PEPPER</t>
        </is>
      </c>
      <c r="F115" s="113" t="inlineStr">
        <is>
          <t>Roast peppers</t>
        </is>
      </c>
      <c r="G115" s="147" t="n">
        <v>40</v>
      </c>
      <c r="H115" s="164" t="inlineStr">
        <is>
          <t>g</t>
        </is>
      </c>
      <c r="I115" s="150">
        <f>IFERROR(INDEX('04 SKU Master'!$AM$5:$AM$165,MATCH($E115,'04 SKU Master'!$A$5:$A$165,0)),IFERROR(INDEX('05 Packaging Master'!$AM$5:$AM$50,MATCH($E115,'05 Packaging Master'!$A$5:$A$50,0)),IFERROR(INDEX('09 Cost Index'!$C$5:$C$24,MATCH($E115,'09 Cost Index'!$A$5:$A$24,0)),"")))</f>
        <v/>
      </c>
      <c r="J115" s="153">
        <f>'01 Control'!$C$7</f>
        <v/>
      </c>
      <c r="K115" s="150">
        <f>IF($I115="","",$G115*$I115*(1+$J115))</f>
        <v/>
      </c>
      <c r="L115" s="177">
        <f>IF(ISNUMBER(MATCH($E115,'09 Cost Index'!$A$5:$A$24,0)),"09 Cost Index",IF(ISNUMBER(MATCH($E115,'05 Packaging Master'!$A$5:$A$46,0)),"05 Packaging Master",IF(ISNUMBER(MATCH($E115,'04 SKU Master'!$A$5:$A$165,0)),"04 SKU Master","NOT FOUND")))</f>
        <v/>
      </c>
      <c r="M115" s="178">
        <f>IFERROR(INDEX('12 Final Menu'!$U$5:$U$200,MATCH($A115,'12 Final Menu'!$A$5:$A$200,0)),0)</f>
        <v/>
      </c>
      <c r="N115" s="165">
        <f>$G115*(1+$J115)*$M115*1000</f>
        <v/>
      </c>
    </row>
    <row r="116" ht="15" customHeight="1" s="106">
      <c r="A116" s="138" t="inlineStr">
        <is>
          <t>PP-SAL-RAINBOW</t>
        </is>
      </c>
      <c r="B116" s="138" t="inlineStr">
        <is>
          <t>Rainbow Pasta Salad</t>
        </is>
      </c>
      <c r="C116" s="138" t="inlineStr">
        <is>
          <t>Core - Salad</t>
        </is>
      </c>
      <c r="D116" s="139" t="inlineStr">
        <is>
          <t>Ingredient</t>
        </is>
      </c>
      <c r="E116" s="134" t="inlineStr">
        <is>
          <t>PP-VEG-CHERRYTOM</t>
        </is>
      </c>
      <c r="F116" s="113" t="inlineStr">
        <is>
          <t>Cherry tomatoes</t>
        </is>
      </c>
      <c r="G116" s="147" t="n">
        <v>35</v>
      </c>
      <c r="H116" s="164" t="inlineStr">
        <is>
          <t>g</t>
        </is>
      </c>
      <c r="I116" s="150">
        <f>IFERROR(INDEX('04 SKU Master'!$AM$5:$AM$165,MATCH($E116,'04 SKU Master'!$A$5:$A$165,0)),IFERROR(INDEX('05 Packaging Master'!$AM$5:$AM$50,MATCH($E116,'05 Packaging Master'!$A$5:$A$50,0)),IFERROR(INDEX('09 Cost Index'!$C$5:$C$24,MATCH($E116,'09 Cost Index'!$A$5:$A$24,0)),"")))</f>
        <v/>
      </c>
      <c r="J116" s="153">
        <f>'01 Control'!$C$7</f>
        <v/>
      </c>
      <c r="K116" s="150">
        <f>IF($I116="","",$G116*$I116*(1+$J116))</f>
        <v/>
      </c>
      <c r="L116" s="177">
        <f>IF(ISNUMBER(MATCH($E116,'09 Cost Index'!$A$5:$A$24,0)),"09 Cost Index",IF(ISNUMBER(MATCH($E116,'05 Packaging Master'!$A$5:$A$46,0)),"05 Packaging Master",IF(ISNUMBER(MATCH($E116,'04 SKU Master'!$A$5:$A$165,0)),"04 SKU Master","NOT FOUND")))</f>
        <v/>
      </c>
      <c r="M116" s="178">
        <f>IFERROR(INDEX('12 Final Menu'!$U$5:$U$200,MATCH($A116,'12 Final Menu'!$A$5:$A$200,0)),0)</f>
        <v/>
      </c>
      <c r="N116" s="165">
        <f>$G116*(1+$J116)*$M116*1000</f>
        <v/>
      </c>
    </row>
    <row r="117" ht="15" customHeight="1" s="106">
      <c r="A117" s="138" t="inlineStr">
        <is>
          <t>PP-SAL-RAINBOW</t>
        </is>
      </c>
      <c r="B117" s="138" t="inlineStr">
        <is>
          <t>Rainbow Pasta Salad</t>
        </is>
      </c>
      <c r="C117" s="138" t="inlineStr">
        <is>
          <t>Core - Salad</t>
        </is>
      </c>
      <c r="D117" s="139" t="inlineStr">
        <is>
          <t>Ingredient</t>
        </is>
      </c>
      <c r="E117" s="134" t="inlineStr">
        <is>
          <t>PP-VEG-REDONION</t>
        </is>
      </c>
      <c r="F117" s="113" t="inlineStr">
        <is>
          <t>Red onion</t>
        </is>
      </c>
      <c r="G117" s="147" t="n">
        <v>15</v>
      </c>
      <c r="H117" s="164" t="inlineStr">
        <is>
          <t>g</t>
        </is>
      </c>
      <c r="I117" s="150">
        <f>IFERROR(INDEX('04 SKU Master'!$AM$5:$AM$165,MATCH($E117,'04 SKU Master'!$A$5:$A$165,0)),IFERROR(INDEX('05 Packaging Master'!$AM$5:$AM$50,MATCH($E117,'05 Packaging Master'!$A$5:$A$50,0)),IFERROR(INDEX('09 Cost Index'!$C$5:$C$24,MATCH($E117,'09 Cost Index'!$A$5:$A$24,0)),"")))</f>
        <v/>
      </c>
      <c r="J117" s="153">
        <f>'01 Control'!$C$7</f>
        <v/>
      </c>
      <c r="K117" s="150">
        <f>IF($I117="","",$G117*$I117*(1+$J117))</f>
        <v/>
      </c>
      <c r="L117" s="177">
        <f>IF(ISNUMBER(MATCH($E117,'09 Cost Index'!$A$5:$A$24,0)),"09 Cost Index",IF(ISNUMBER(MATCH($E117,'05 Packaging Master'!$A$5:$A$46,0)),"05 Packaging Master",IF(ISNUMBER(MATCH($E117,'04 SKU Master'!$A$5:$A$165,0)),"04 SKU Master","NOT FOUND")))</f>
        <v/>
      </c>
      <c r="M117" s="178">
        <f>IFERROR(INDEX('12 Final Menu'!$U$5:$U$200,MATCH($A117,'12 Final Menu'!$A$5:$A$200,0)),0)</f>
        <v/>
      </c>
      <c r="N117" s="165">
        <f>$G117*(1+$J117)*$M117*1000</f>
        <v/>
      </c>
    </row>
    <row r="118" ht="15" customHeight="1" s="106">
      <c r="A118" s="138" t="inlineStr">
        <is>
          <t>PP-SAL-RAINBOW</t>
        </is>
      </c>
      <c r="B118" s="138" t="inlineStr">
        <is>
          <t>Rainbow Pasta Salad</t>
        </is>
      </c>
      <c r="C118" s="138" t="inlineStr">
        <is>
          <t>Core - Salad</t>
        </is>
      </c>
      <c r="D118" s="139" t="inlineStr">
        <is>
          <t>Ingredient</t>
        </is>
      </c>
      <c r="E118" s="134" t="inlineStr">
        <is>
          <t>PP-ROC-MIC-002</t>
        </is>
      </c>
      <c r="F118" s="113" t="inlineStr">
        <is>
          <t>Rocket microgreens</t>
        </is>
      </c>
      <c r="G118" s="147" t="n">
        <v>12</v>
      </c>
      <c r="H118" s="164" t="inlineStr">
        <is>
          <t>g</t>
        </is>
      </c>
      <c r="I118" s="150">
        <f>IFERROR(INDEX('04 SKU Master'!$AM$5:$AM$165,MATCH($E118,'04 SKU Master'!$A$5:$A$165,0)),IFERROR(INDEX('05 Packaging Master'!$AM$5:$AM$50,MATCH($E118,'05 Packaging Master'!$A$5:$A$50,0)),IFERROR(INDEX('09 Cost Index'!$C$5:$C$24,MATCH($E118,'09 Cost Index'!$A$5:$A$24,0)),"")))</f>
        <v/>
      </c>
      <c r="J118" s="153">
        <f>'01 Control'!$C$7</f>
        <v/>
      </c>
      <c r="K118" s="150">
        <f>IF($I118="","",$G118*$I118*(1+$J118))</f>
        <v/>
      </c>
      <c r="L118" s="177">
        <f>IF(ISNUMBER(MATCH($E118,'09 Cost Index'!$A$5:$A$24,0)),"09 Cost Index",IF(ISNUMBER(MATCH($E118,'05 Packaging Master'!$A$5:$A$46,0)),"05 Packaging Master",IF(ISNUMBER(MATCH($E118,'04 SKU Master'!$A$5:$A$165,0)),"04 SKU Master","NOT FOUND")))</f>
        <v/>
      </c>
      <c r="M118" s="178">
        <f>IFERROR(INDEX('12 Final Menu'!$U$5:$U$200,MATCH($A118,'12 Final Menu'!$A$5:$A$200,0)),0)</f>
        <v/>
      </c>
      <c r="N118" s="165">
        <f>$G118*(1+$J118)*$M118*1000</f>
        <v/>
      </c>
    </row>
    <row r="119" ht="15" customHeight="1" s="106">
      <c r="A119" s="138" t="inlineStr">
        <is>
          <t>PP-SAL-RAINBOW</t>
        </is>
      </c>
      <c r="B119" s="138" t="inlineStr">
        <is>
          <t>Rainbow Pasta Salad</t>
        </is>
      </c>
      <c r="C119" s="138" t="inlineStr">
        <is>
          <t>Core - Salad</t>
        </is>
      </c>
      <c r="D119" s="139" t="inlineStr">
        <is>
          <t>Ingredient</t>
        </is>
      </c>
      <c r="E119" s="134" t="inlineStr">
        <is>
          <t>PP-DRESSING-LEMHERB</t>
        </is>
      </c>
      <c r="F119" s="113" t="inlineStr">
        <is>
          <t>Lemon-herb vinaigrette</t>
        </is>
      </c>
      <c r="G119" s="147" t="n">
        <v>25</v>
      </c>
      <c r="H119" s="164" t="inlineStr">
        <is>
          <t>ml</t>
        </is>
      </c>
      <c r="I119" s="150">
        <f>IFERROR(INDEX('04 SKU Master'!$AM$5:$AM$165,MATCH($E119,'04 SKU Master'!$A$5:$A$165,0)),IFERROR(INDEX('05 Packaging Master'!$AM$5:$AM$50,MATCH($E119,'05 Packaging Master'!$A$5:$A$50,0)),IFERROR(INDEX('09 Cost Index'!$C$5:$C$24,MATCH($E119,'09 Cost Index'!$A$5:$A$24,0)),"")))</f>
        <v/>
      </c>
      <c r="J119" s="153">
        <f>'01 Control'!$C$7</f>
        <v/>
      </c>
      <c r="K119" s="150">
        <f>IF($I119="","",$G119*$I119*(1+$J119))</f>
        <v/>
      </c>
      <c r="L119" s="177">
        <f>IF(ISNUMBER(MATCH($E119,'09 Cost Index'!$A$5:$A$24,0)),"09 Cost Index",IF(ISNUMBER(MATCH($E119,'05 Packaging Master'!$A$5:$A$46,0)),"05 Packaging Master",IF(ISNUMBER(MATCH($E119,'04 SKU Master'!$A$5:$A$165,0)),"04 SKU Master","NOT FOUND")))</f>
        <v/>
      </c>
      <c r="M119" s="178">
        <f>IFERROR(INDEX('12 Final Menu'!$U$5:$U$200,MATCH($A119,'12 Final Menu'!$A$5:$A$200,0)),0)</f>
        <v/>
      </c>
      <c r="N119" s="165">
        <f>$G119*(1+$J119)*$M119*1000</f>
        <v/>
      </c>
    </row>
    <row r="120" ht="15" customHeight="1" s="106">
      <c r="A120" s="138" t="inlineStr">
        <is>
          <t>PP-SAL-RAINBOW</t>
        </is>
      </c>
      <c r="B120" s="138" t="inlineStr">
        <is>
          <t>Rainbow Pasta Salad</t>
        </is>
      </c>
      <c r="C120" s="138" t="inlineStr">
        <is>
          <t>Core - Salad</t>
        </is>
      </c>
      <c r="D120" s="139" t="inlineStr">
        <is>
          <t>Packaging</t>
        </is>
      </c>
      <c r="E120" s="134" t="inlineStr">
        <is>
          <t>PP-PACK-SALAD-BOWL</t>
        </is>
      </c>
      <c r="F120" s="113" t="inlineStr">
        <is>
          <t>Salad bowl</t>
        </is>
      </c>
      <c r="G120" s="147" t="n">
        <v>1</v>
      </c>
      <c r="H120" s="164" t="inlineStr">
        <is>
          <t>ea</t>
        </is>
      </c>
      <c r="I120" s="150">
        <f>IFERROR(INDEX('04 SKU Master'!$AM$5:$AM$165,MATCH($E120,'04 SKU Master'!$A$5:$A$165,0)),IFERROR(INDEX('05 Packaging Master'!$AM$5:$AM$50,MATCH($E120,'05 Packaging Master'!$A$5:$A$50,0)),IFERROR(INDEX('09 Cost Index'!$C$5:$C$24,MATCH($E120,'09 Cost Index'!$A$5:$A$24,0)),"")))</f>
        <v/>
      </c>
      <c r="J120" s="153">
        <f>'01 Control'!$C$7</f>
        <v/>
      </c>
      <c r="K120" s="150">
        <f>IF($I120="","",$G120*$I120*(1+$J120))</f>
        <v/>
      </c>
      <c r="L120" s="177">
        <f>IF(ISNUMBER(MATCH($E120,'09 Cost Index'!$A$5:$A$24,0)),"09 Cost Index",IF(ISNUMBER(MATCH($E120,'05 Packaging Master'!$A$5:$A$46,0)),"05 Packaging Master",IF(ISNUMBER(MATCH($E120,'04 SKU Master'!$A$5:$A$165,0)),"04 SKU Master","NOT FOUND")))</f>
        <v/>
      </c>
      <c r="M120" s="178">
        <f>IFERROR(INDEX('12 Final Menu'!$U$5:$U$200,MATCH($A120,'12 Final Menu'!$A$5:$A$200,0)),0)</f>
        <v/>
      </c>
      <c r="N120" s="165">
        <f>$G120*(1+$J120)*$M120*1000</f>
        <v/>
      </c>
    </row>
    <row r="121" ht="15" customHeight="1" s="106">
      <c r="A121" s="138" t="inlineStr">
        <is>
          <t>PP-SAL-RAINBOW</t>
        </is>
      </c>
      <c r="B121" s="138" t="inlineStr">
        <is>
          <t>Rainbow Pasta Salad</t>
        </is>
      </c>
      <c r="C121" s="138" t="inlineStr">
        <is>
          <t>Core - Salad</t>
        </is>
      </c>
      <c r="D121" s="139" t="inlineStr">
        <is>
          <t>Packaging</t>
        </is>
      </c>
      <c r="E121" s="134" t="inlineStr">
        <is>
          <t>PP-PACK-SALAD-LID</t>
        </is>
      </c>
      <c r="F121" s="113" t="inlineStr">
        <is>
          <t>Salad bowl lid</t>
        </is>
      </c>
      <c r="G121" s="147" t="n">
        <v>1</v>
      </c>
      <c r="H121" s="164" t="inlineStr">
        <is>
          <t>ea</t>
        </is>
      </c>
      <c r="I121" s="150">
        <f>IFERROR(INDEX('04 SKU Master'!$AM$5:$AM$165,MATCH($E121,'04 SKU Master'!$A$5:$A$165,0)),IFERROR(INDEX('05 Packaging Master'!$AM$5:$AM$50,MATCH($E121,'05 Packaging Master'!$A$5:$A$50,0)),IFERROR(INDEX('09 Cost Index'!$C$5:$C$24,MATCH($E121,'09 Cost Index'!$A$5:$A$24,0)),"")))</f>
        <v/>
      </c>
      <c r="J121" s="153">
        <f>'01 Control'!$C$7</f>
        <v/>
      </c>
      <c r="K121" s="150">
        <f>IF($I121="","",$G121*$I121*(1+$J121))</f>
        <v/>
      </c>
      <c r="L121" s="177">
        <f>IF(ISNUMBER(MATCH($E121,'09 Cost Index'!$A$5:$A$24,0)),"09 Cost Index",IF(ISNUMBER(MATCH($E121,'05 Packaging Master'!$A$5:$A$46,0)),"05 Packaging Master",IF(ISNUMBER(MATCH($E121,'04 SKU Master'!$A$5:$A$165,0)),"04 SKU Master","NOT FOUND")))</f>
        <v/>
      </c>
      <c r="M121" s="178">
        <f>IFERROR(INDEX('12 Final Menu'!$U$5:$U$200,MATCH($A121,'12 Final Menu'!$A$5:$A$200,0)),0)</f>
        <v/>
      </c>
      <c r="N121" s="165">
        <f>$G121*(1+$J121)*$M121*1000</f>
        <v/>
      </c>
    </row>
    <row r="122" ht="15" customHeight="1" s="106">
      <c r="A122" s="138" t="inlineStr">
        <is>
          <t>PP-SAL-RAINBOW</t>
        </is>
      </c>
      <c r="B122" s="138" t="inlineStr">
        <is>
          <t>Rainbow Pasta Salad</t>
        </is>
      </c>
      <c r="C122" s="138" t="inlineStr">
        <is>
          <t>Core - Salad</t>
        </is>
      </c>
      <c r="D122" s="139" t="inlineStr">
        <is>
          <t>Packaging</t>
        </is>
      </c>
      <c r="E122" s="134" t="inlineStr">
        <is>
          <t>PP-PACK-SAUCE-POT</t>
        </is>
      </c>
      <c r="F122" s="113" t="inlineStr">
        <is>
          <t>Dressing pot</t>
        </is>
      </c>
      <c r="G122" s="147" t="n">
        <v>1</v>
      </c>
      <c r="H122" s="164" t="inlineStr">
        <is>
          <t>ea</t>
        </is>
      </c>
      <c r="I122" s="150">
        <f>IFERROR(INDEX('04 SKU Master'!$AM$5:$AM$165,MATCH($E122,'04 SKU Master'!$A$5:$A$165,0)),IFERROR(INDEX('05 Packaging Master'!$AM$5:$AM$50,MATCH($E122,'05 Packaging Master'!$A$5:$A$50,0)),IFERROR(INDEX('09 Cost Index'!$C$5:$C$24,MATCH($E122,'09 Cost Index'!$A$5:$A$24,0)),"")))</f>
        <v/>
      </c>
      <c r="J122" s="153">
        <f>'01 Control'!$C$7</f>
        <v/>
      </c>
      <c r="K122" s="150">
        <f>IF($I122="","",$G122*$I122*(1+$J122))</f>
        <v/>
      </c>
      <c r="L122" s="177">
        <f>IF(ISNUMBER(MATCH($E122,'09 Cost Index'!$A$5:$A$24,0)),"09 Cost Index",IF(ISNUMBER(MATCH($E122,'05 Packaging Master'!$A$5:$A$46,0)),"05 Packaging Master",IF(ISNUMBER(MATCH($E122,'04 SKU Master'!$A$5:$A$165,0)),"04 SKU Master","NOT FOUND")))</f>
        <v/>
      </c>
      <c r="M122" s="178">
        <f>IFERROR(INDEX('12 Final Menu'!$U$5:$U$200,MATCH($A122,'12 Final Menu'!$A$5:$A$200,0)),0)</f>
        <v/>
      </c>
      <c r="N122" s="165">
        <f>$G122*(1+$J122)*$M122*1000</f>
        <v/>
      </c>
    </row>
    <row r="123" ht="15" customHeight="1" s="106">
      <c r="A123" s="138" t="inlineStr">
        <is>
          <t>PP-SAL-RAINBOW</t>
        </is>
      </c>
      <c r="B123" s="138" t="inlineStr">
        <is>
          <t>Rainbow Pasta Salad</t>
        </is>
      </c>
      <c r="C123" s="138" t="inlineStr">
        <is>
          <t>Core - Salad</t>
        </is>
      </c>
      <c r="D123" s="139" t="inlineStr">
        <is>
          <t>Packaging</t>
        </is>
      </c>
      <c r="E123" s="134" t="inlineStr">
        <is>
          <t>PP-PACK-CUTLERY</t>
        </is>
      </c>
      <c r="F123" s="113" t="inlineStr">
        <is>
          <t>Cutlery set</t>
        </is>
      </c>
      <c r="G123" s="147" t="n">
        <v>1</v>
      </c>
      <c r="H123" s="164" t="inlineStr">
        <is>
          <t>ea</t>
        </is>
      </c>
      <c r="I123" s="150">
        <f>IFERROR(INDEX('04 SKU Master'!$AM$5:$AM$165,MATCH($E123,'04 SKU Master'!$A$5:$A$165,0)),IFERROR(INDEX('05 Packaging Master'!$AM$5:$AM$50,MATCH($E123,'05 Packaging Master'!$A$5:$A$50,0)),IFERROR(INDEX('09 Cost Index'!$C$5:$C$24,MATCH($E123,'09 Cost Index'!$A$5:$A$24,0)),"")))</f>
        <v/>
      </c>
      <c r="J123" s="153">
        <f>'01 Control'!$C$7</f>
        <v/>
      </c>
      <c r="K123" s="150">
        <f>IF($I123="","",$G123*$I123*(1+$J123))</f>
        <v/>
      </c>
      <c r="L123" s="177">
        <f>IF(ISNUMBER(MATCH($E123,'09 Cost Index'!$A$5:$A$24,0)),"09 Cost Index",IF(ISNUMBER(MATCH($E123,'05 Packaging Master'!$A$5:$A$46,0)),"05 Packaging Master",IF(ISNUMBER(MATCH($E123,'04 SKU Master'!$A$5:$A$165,0)),"04 SKU Master","NOT FOUND")))</f>
        <v/>
      </c>
      <c r="M123" s="178">
        <f>IFERROR(INDEX('12 Final Menu'!$U$5:$U$200,MATCH($A123,'12 Final Menu'!$A$5:$A$200,0)),0)</f>
        <v/>
      </c>
      <c r="N123" s="165">
        <f>$G123*(1+$J123)*$M123*1000</f>
        <v/>
      </c>
    </row>
    <row r="124" ht="15" customHeight="1" s="106">
      <c r="A124" s="138" t="inlineStr">
        <is>
          <t>PP-SAL-RAINBOW</t>
        </is>
      </c>
      <c r="B124" s="138" t="inlineStr">
        <is>
          <t>Rainbow Pasta Salad</t>
        </is>
      </c>
      <c r="C124" s="138" t="inlineStr">
        <is>
          <t>Core - Salad</t>
        </is>
      </c>
      <c r="D124" s="139" t="inlineStr">
        <is>
          <t>Packaging</t>
        </is>
      </c>
      <c r="E124" s="134" t="inlineStr">
        <is>
          <t>PP-PACK-NAPKIN</t>
        </is>
      </c>
      <c r="F124" s="113" t="inlineStr">
        <is>
          <t>Branded napkin</t>
        </is>
      </c>
      <c r="G124" s="147" t="n">
        <v>1</v>
      </c>
      <c r="H124" s="164" t="inlineStr">
        <is>
          <t>ea</t>
        </is>
      </c>
      <c r="I124" s="150">
        <f>IFERROR(INDEX('04 SKU Master'!$AM$5:$AM$165,MATCH($E124,'04 SKU Master'!$A$5:$A$165,0)),IFERROR(INDEX('05 Packaging Master'!$AM$5:$AM$50,MATCH($E124,'05 Packaging Master'!$A$5:$A$50,0)),IFERROR(INDEX('09 Cost Index'!$C$5:$C$24,MATCH($E124,'09 Cost Index'!$A$5:$A$24,0)),"")))</f>
        <v/>
      </c>
      <c r="J124" s="153">
        <f>'01 Control'!$C$7</f>
        <v/>
      </c>
      <c r="K124" s="150">
        <f>IF($I124="","",$G124*$I124*(1+$J124))</f>
        <v/>
      </c>
      <c r="L124" s="177">
        <f>IF(ISNUMBER(MATCH($E124,'09 Cost Index'!$A$5:$A$24,0)),"09 Cost Index",IF(ISNUMBER(MATCH($E124,'05 Packaging Master'!$A$5:$A$46,0)),"05 Packaging Master",IF(ISNUMBER(MATCH($E124,'04 SKU Master'!$A$5:$A$165,0)),"04 SKU Master","NOT FOUND")))</f>
        <v/>
      </c>
      <c r="M124" s="178">
        <f>IFERROR(INDEX('12 Final Menu'!$U$5:$U$200,MATCH($A124,'12 Final Menu'!$A$5:$A$200,0)),0)</f>
        <v/>
      </c>
      <c r="N124" s="165">
        <f>$G124*(1+$J124)*$M124*1000</f>
        <v/>
      </c>
    </row>
    <row r="126" ht="15" customHeight="1" s="106">
      <c r="A126" s="144" t="inlineStr">
        <is>
          <t>Microgreen Garden Salad   |   PP-SAL-GARDEN</t>
        </is>
      </c>
      <c r="B126" s="110" t="n"/>
      <c r="C126" s="110" t="n"/>
      <c r="D126" s="110" t="n"/>
      <c r="E126" s="110" t="n"/>
      <c r="F126" s="110" t="n"/>
      <c r="G126" s="110" t="n"/>
      <c r="H126" s="110" t="n"/>
      <c r="I126" s="110" t="n"/>
      <c r="J126" s="110" t="n"/>
      <c r="K126" s="110" t="n"/>
      <c r="L126" s="110" t="n"/>
      <c r="M126" s="110" t="n"/>
      <c r="N126" s="111" t="n"/>
    </row>
    <row r="127" ht="15" customHeight="1" s="106">
      <c r="A127" s="138" t="inlineStr">
        <is>
          <t>PP-SAL-GARDEN</t>
        </is>
      </c>
      <c r="B127" s="138" t="inlineStr">
        <is>
          <t>Microgreen Garden Salad</t>
        </is>
      </c>
      <c r="C127" s="138" t="inlineStr">
        <is>
          <t>Core - Salad</t>
        </is>
      </c>
      <c r="D127" s="139" t="inlineStr">
        <is>
          <t>Ingredient</t>
        </is>
      </c>
      <c r="E127" s="134" t="inlineStr">
        <is>
          <t>PP-BA-MIC-001</t>
        </is>
      </c>
      <c r="F127" s="113" t="inlineStr">
        <is>
          <t>Basil microgreens</t>
        </is>
      </c>
      <c r="G127" s="147" t="n">
        <v>18</v>
      </c>
      <c r="H127" s="164" t="inlineStr">
        <is>
          <t>g</t>
        </is>
      </c>
      <c r="I127" s="150">
        <f>IFERROR(INDEX('04 SKU Master'!$AM$5:$AM$165,MATCH($E127,'04 SKU Master'!$A$5:$A$165,0)),IFERROR(INDEX('05 Packaging Master'!$AM$5:$AM$50,MATCH($E127,'05 Packaging Master'!$A$5:$A$50,0)),IFERROR(INDEX('09 Cost Index'!$C$5:$C$24,MATCH($E127,'09 Cost Index'!$A$5:$A$24,0)),"")))</f>
        <v/>
      </c>
      <c r="J127" s="153">
        <f>'01 Control'!$C$7</f>
        <v/>
      </c>
      <c r="K127" s="150">
        <f>IF($I127="","",$G127*$I127*(1+$J127))</f>
        <v/>
      </c>
      <c r="L127" s="177">
        <f>IF(ISNUMBER(MATCH($E127,'09 Cost Index'!$A$5:$A$24,0)),"09 Cost Index",IF(ISNUMBER(MATCH($E127,'05 Packaging Master'!$A$5:$A$46,0)),"05 Packaging Master",IF(ISNUMBER(MATCH($E127,'04 SKU Master'!$A$5:$A$165,0)),"04 SKU Master","NOT FOUND")))</f>
        <v/>
      </c>
      <c r="M127" s="178">
        <f>IFERROR(INDEX('12 Final Menu'!$U$5:$U$200,MATCH($A127,'12 Final Menu'!$A$5:$A$200,0)),0)</f>
        <v/>
      </c>
      <c r="N127" s="165">
        <f>$G127*(1+$J127)*$M127*1000</f>
        <v/>
      </c>
    </row>
    <row r="128" ht="15" customHeight="1" s="106">
      <c r="A128" s="138" t="inlineStr">
        <is>
          <t>PP-SAL-GARDEN</t>
        </is>
      </c>
      <c r="B128" s="138" t="inlineStr">
        <is>
          <t>Microgreen Garden Salad</t>
        </is>
      </c>
      <c r="C128" s="138" t="inlineStr">
        <is>
          <t>Core - Salad</t>
        </is>
      </c>
      <c r="D128" s="139" t="inlineStr">
        <is>
          <t>Ingredient</t>
        </is>
      </c>
      <c r="E128" s="134" t="inlineStr">
        <is>
          <t>PP-SUN-MIC-006</t>
        </is>
      </c>
      <c r="F128" s="113" t="inlineStr">
        <is>
          <t>Sunflower microgreens</t>
        </is>
      </c>
      <c r="G128" s="147" t="n">
        <v>15</v>
      </c>
      <c r="H128" s="164" t="inlineStr">
        <is>
          <t>g</t>
        </is>
      </c>
      <c r="I128" s="150">
        <f>IFERROR(INDEX('04 SKU Master'!$AM$5:$AM$165,MATCH($E128,'04 SKU Master'!$A$5:$A$165,0)),IFERROR(INDEX('05 Packaging Master'!$AM$5:$AM$50,MATCH($E128,'05 Packaging Master'!$A$5:$A$50,0)),IFERROR(INDEX('09 Cost Index'!$C$5:$C$24,MATCH($E128,'09 Cost Index'!$A$5:$A$24,0)),"")))</f>
        <v/>
      </c>
      <c r="J128" s="153">
        <f>'01 Control'!$C$7</f>
        <v/>
      </c>
      <c r="K128" s="150">
        <f>IF($I128="","",$G128*$I128*(1+$J128))</f>
        <v/>
      </c>
      <c r="L128" s="177">
        <f>IF(ISNUMBER(MATCH($E128,'09 Cost Index'!$A$5:$A$24,0)),"09 Cost Index",IF(ISNUMBER(MATCH($E128,'05 Packaging Master'!$A$5:$A$46,0)),"05 Packaging Master",IF(ISNUMBER(MATCH($E128,'04 SKU Master'!$A$5:$A$165,0)),"04 SKU Master","NOT FOUND")))</f>
        <v/>
      </c>
      <c r="M128" s="178">
        <f>IFERROR(INDEX('12 Final Menu'!$U$5:$U$200,MATCH($A128,'12 Final Menu'!$A$5:$A$200,0)),0)</f>
        <v/>
      </c>
      <c r="N128" s="165">
        <f>$G128*(1+$J128)*$M128*1000</f>
        <v/>
      </c>
    </row>
    <row r="129" ht="15" customHeight="1" s="106">
      <c r="A129" s="138" t="inlineStr">
        <is>
          <t>PP-SAL-GARDEN</t>
        </is>
      </c>
      <c r="B129" s="138" t="inlineStr">
        <is>
          <t>Microgreen Garden Salad</t>
        </is>
      </c>
      <c r="C129" s="138" t="inlineStr">
        <is>
          <t>Core - Salad</t>
        </is>
      </c>
      <c r="D129" s="139" t="inlineStr">
        <is>
          <t>Ingredient</t>
        </is>
      </c>
      <c r="E129" s="134" t="inlineStr">
        <is>
          <t>PP-PEA-MIC-005</t>
        </is>
      </c>
      <c r="F129" s="113" t="inlineStr">
        <is>
          <t>Pea shoot microgreens</t>
        </is>
      </c>
      <c r="G129" s="147" t="n">
        <v>15</v>
      </c>
      <c r="H129" s="164" t="inlineStr">
        <is>
          <t>g</t>
        </is>
      </c>
      <c r="I129" s="150">
        <f>IFERROR(INDEX('04 SKU Master'!$AM$5:$AM$165,MATCH($E129,'04 SKU Master'!$A$5:$A$165,0)),IFERROR(INDEX('05 Packaging Master'!$AM$5:$AM$50,MATCH($E129,'05 Packaging Master'!$A$5:$A$50,0)),IFERROR(INDEX('09 Cost Index'!$C$5:$C$24,MATCH($E129,'09 Cost Index'!$A$5:$A$24,0)),"")))</f>
        <v/>
      </c>
      <c r="J129" s="153">
        <f>'01 Control'!$C$7</f>
        <v/>
      </c>
      <c r="K129" s="150">
        <f>IF($I129="","",$G129*$I129*(1+$J129))</f>
        <v/>
      </c>
      <c r="L129" s="177">
        <f>IF(ISNUMBER(MATCH($E129,'09 Cost Index'!$A$5:$A$24,0)),"09 Cost Index",IF(ISNUMBER(MATCH($E129,'05 Packaging Master'!$A$5:$A$46,0)),"05 Packaging Master",IF(ISNUMBER(MATCH($E129,'04 SKU Master'!$A$5:$A$165,0)),"04 SKU Master","NOT FOUND")))</f>
        <v/>
      </c>
      <c r="M129" s="178">
        <f>IFERROR(INDEX('12 Final Menu'!$U$5:$U$200,MATCH($A129,'12 Final Menu'!$A$5:$A$200,0)),0)</f>
        <v/>
      </c>
      <c r="N129" s="165">
        <f>$G129*(1+$J129)*$M129*1000</f>
        <v/>
      </c>
    </row>
    <row r="130" ht="15" customHeight="1" s="106">
      <c r="A130" s="138" t="inlineStr">
        <is>
          <t>PP-SAL-GARDEN</t>
        </is>
      </c>
      <c r="B130" s="138" t="inlineStr">
        <is>
          <t>Microgreen Garden Salad</t>
        </is>
      </c>
      <c r="C130" s="138" t="inlineStr">
        <is>
          <t>Core - Salad</t>
        </is>
      </c>
      <c r="D130" s="139" t="inlineStr">
        <is>
          <t>Ingredient</t>
        </is>
      </c>
      <c r="E130" s="134" t="inlineStr">
        <is>
          <t>PP-VEG-SPINACH</t>
        </is>
      </c>
      <c r="F130" s="113" t="inlineStr">
        <is>
          <t>Baby spinach</t>
        </is>
      </c>
      <c r="G130" s="147" t="n">
        <v>45</v>
      </c>
      <c r="H130" s="164" t="inlineStr">
        <is>
          <t>g</t>
        </is>
      </c>
      <c r="I130" s="150">
        <f>IFERROR(INDEX('04 SKU Master'!$AM$5:$AM$165,MATCH($E130,'04 SKU Master'!$A$5:$A$165,0)),IFERROR(INDEX('05 Packaging Master'!$AM$5:$AM$50,MATCH($E130,'05 Packaging Master'!$A$5:$A$50,0)),IFERROR(INDEX('09 Cost Index'!$C$5:$C$24,MATCH($E130,'09 Cost Index'!$A$5:$A$24,0)),"")))</f>
        <v/>
      </c>
      <c r="J130" s="153">
        <f>'01 Control'!$C$7</f>
        <v/>
      </c>
      <c r="K130" s="150">
        <f>IF($I130="","",$G130*$I130*(1+$J130))</f>
        <v/>
      </c>
      <c r="L130" s="177">
        <f>IF(ISNUMBER(MATCH($E130,'09 Cost Index'!$A$5:$A$24,0)),"09 Cost Index",IF(ISNUMBER(MATCH($E130,'05 Packaging Master'!$A$5:$A$46,0)),"05 Packaging Master",IF(ISNUMBER(MATCH($E130,'04 SKU Master'!$A$5:$A$165,0)),"04 SKU Master","NOT FOUND")))</f>
        <v/>
      </c>
      <c r="M130" s="178">
        <f>IFERROR(INDEX('12 Final Menu'!$U$5:$U$200,MATCH($A130,'12 Final Menu'!$A$5:$A$200,0)),0)</f>
        <v/>
      </c>
      <c r="N130" s="165">
        <f>$G130*(1+$J130)*$M130*1000</f>
        <v/>
      </c>
    </row>
    <row r="131" ht="15" customHeight="1" s="106">
      <c r="A131" s="138" t="inlineStr">
        <is>
          <t>PP-SAL-GARDEN</t>
        </is>
      </c>
      <c r="B131" s="138" t="inlineStr">
        <is>
          <t>Microgreen Garden Salad</t>
        </is>
      </c>
      <c r="C131" s="138" t="inlineStr">
        <is>
          <t>Core - Salad</t>
        </is>
      </c>
      <c r="D131" s="139" t="inlineStr">
        <is>
          <t>Ingredient</t>
        </is>
      </c>
      <c r="E131" s="134" t="inlineStr">
        <is>
          <t>PP-VEG-CHERRYTOM</t>
        </is>
      </c>
      <c r="F131" s="113" t="inlineStr">
        <is>
          <t>Cherry tomatoes</t>
        </is>
      </c>
      <c r="G131" s="147" t="n">
        <v>45</v>
      </c>
      <c r="H131" s="164" t="inlineStr">
        <is>
          <t>g</t>
        </is>
      </c>
      <c r="I131" s="150">
        <f>IFERROR(INDEX('04 SKU Master'!$AM$5:$AM$165,MATCH($E131,'04 SKU Master'!$A$5:$A$165,0)),IFERROR(INDEX('05 Packaging Master'!$AM$5:$AM$50,MATCH($E131,'05 Packaging Master'!$A$5:$A$50,0)),IFERROR(INDEX('09 Cost Index'!$C$5:$C$24,MATCH($E131,'09 Cost Index'!$A$5:$A$24,0)),"")))</f>
        <v/>
      </c>
      <c r="J131" s="153">
        <f>'01 Control'!$C$7</f>
        <v/>
      </c>
      <c r="K131" s="150">
        <f>IF($I131="","",$G131*$I131*(1+$J131))</f>
        <v/>
      </c>
      <c r="L131" s="177">
        <f>IF(ISNUMBER(MATCH($E131,'09 Cost Index'!$A$5:$A$24,0)),"09 Cost Index",IF(ISNUMBER(MATCH($E131,'05 Packaging Master'!$A$5:$A$46,0)),"05 Packaging Master",IF(ISNUMBER(MATCH($E131,'04 SKU Master'!$A$5:$A$165,0)),"04 SKU Master","NOT FOUND")))</f>
        <v/>
      </c>
      <c r="M131" s="178">
        <f>IFERROR(INDEX('12 Final Menu'!$U$5:$U$200,MATCH($A131,'12 Final Menu'!$A$5:$A$200,0)),0)</f>
        <v/>
      </c>
      <c r="N131" s="165">
        <f>$G131*(1+$J131)*$M131*1000</f>
        <v/>
      </c>
    </row>
    <row r="132" ht="15" customHeight="1" s="106">
      <c r="A132" s="138" t="inlineStr">
        <is>
          <t>PP-SAL-GARDEN</t>
        </is>
      </c>
      <c r="B132" s="138" t="inlineStr">
        <is>
          <t>Microgreen Garden Salad</t>
        </is>
      </c>
      <c r="C132" s="138" t="inlineStr">
        <is>
          <t>Core - Salad</t>
        </is>
      </c>
      <c r="D132" s="139" t="inlineStr">
        <is>
          <t>Ingredient</t>
        </is>
      </c>
      <c r="E132" s="134" t="inlineStr">
        <is>
          <t>PP-VEG-CUCUMBER</t>
        </is>
      </c>
      <c r="F132" s="113" t="inlineStr">
        <is>
          <t>Cucumber</t>
        </is>
      </c>
      <c r="G132" s="147" t="n">
        <v>45</v>
      </c>
      <c r="H132" s="164" t="inlineStr">
        <is>
          <t>g</t>
        </is>
      </c>
      <c r="I132" s="150">
        <f>IFERROR(INDEX('04 SKU Master'!$AM$5:$AM$165,MATCH($E132,'04 SKU Master'!$A$5:$A$165,0)),IFERROR(INDEX('05 Packaging Master'!$AM$5:$AM$50,MATCH($E132,'05 Packaging Master'!$A$5:$A$50,0)),IFERROR(INDEX('09 Cost Index'!$C$5:$C$24,MATCH($E132,'09 Cost Index'!$A$5:$A$24,0)),"")))</f>
        <v/>
      </c>
      <c r="J132" s="153">
        <f>'01 Control'!$C$7</f>
        <v/>
      </c>
      <c r="K132" s="150">
        <f>IF($I132="","",$G132*$I132*(1+$J132))</f>
        <v/>
      </c>
      <c r="L132" s="177">
        <f>IF(ISNUMBER(MATCH($E132,'09 Cost Index'!$A$5:$A$24,0)),"09 Cost Index",IF(ISNUMBER(MATCH($E132,'05 Packaging Master'!$A$5:$A$46,0)),"05 Packaging Master",IF(ISNUMBER(MATCH($E132,'04 SKU Master'!$A$5:$A$165,0)),"04 SKU Master","NOT FOUND")))</f>
        <v/>
      </c>
      <c r="M132" s="178">
        <f>IFERROR(INDEX('12 Final Menu'!$U$5:$U$200,MATCH($A132,'12 Final Menu'!$A$5:$A$200,0)),0)</f>
        <v/>
      </c>
      <c r="N132" s="165">
        <f>$G132*(1+$J132)*$M132*1000</f>
        <v/>
      </c>
    </row>
    <row r="133" ht="15" customHeight="1" s="106">
      <c r="A133" s="138" t="inlineStr">
        <is>
          <t>PP-SAL-GARDEN</t>
        </is>
      </c>
      <c r="B133" s="138" t="inlineStr">
        <is>
          <t>Microgreen Garden Salad</t>
        </is>
      </c>
      <c r="C133" s="138" t="inlineStr">
        <is>
          <t>Core - Salad</t>
        </is>
      </c>
      <c r="D133" s="139" t="inlineStr">
        <is>
          <t>Ingredient</t>
        </is>
      </c>
      <c r="E133" s="134" t="inlineStr">
        <is>
          <t>PP-VEG-REDONION</t>
        </is>
      </c>
      <c r="F133" s="113" t="inlineStr">
        <is>
          <t>Red onion</t>
        </is>
      </c>
      <c r="G133" s="147" t="n">
        <v>15</v>
      </c>
      <c r="H133" s="164" t="inlineStr">
        <is>
          <t>g</t>
        </is>
      </c>
      <c r="I133" s="150">
        <f>IFERROR(INDEX('04 SKU Master'!$AM$5:$AM$165,MATCH($E133,'04 SKU Master'!$A$5:$A$165,0)),IFERROR(INDEX('05 Packaging Master'!$AM$5:$AM$50,MATCH($E133,'05 Packaging Master'!$A$5:$A$50,0)),IFERROR(INDEX('09 Cost Index'!$C$5:$C$24,MATCH($E133,'09 Cost Index'!$A$5:$A$24,0)),"")))</f>
        <v/>
      </c>
      <c r="J133" s="153">
        <f>'01 Control'!$C$7</f>
        <v/>
      </c>
      <c r="K133" s="150">
        <f>IF($I133="","",$G133*$I133*(1+$J133))</f>
        <v/>
      </c>
      <c r="L133" s="177">
        <f>IF(ISNUMBER(MATCH($E133,'09 Cost Index'!$A$5:$A$24,0)),"09 Cost Index",IF(ISNUMBER(MATCH($E133,'05 Packaging Master'!$A$5:$A$46,0)),"05 Packaging Master",IF(ISNUMBER(MATCH($E133,'04 SKU Master'!$A$5:$A$165,0)),"04 SKU Master","NOT FOUND")))</f>
        <v/>
      </c>
      <c r="M133" s="178">
        <f>IFERROR(INDEX('12 Final Menu'!$U$5:$U$200,MATCH($A133,'12 Final Menu'!$A$5:$A$200,0)),0)</f>
        <v/>
      </c>
      <c r="N133" s="165">
        <f>$G133*(1+$J133)*$M133*1000</f>
        <v/>
      </c>
    </row>
    <row r="134" ht="15" customHeight="1" s="106">
      <c r="A134" s="138" t="inlineStr">
        <is>
          <t>PP-SAL-GARDEN</t>
        </is>
      </c>
      <c r="B134" s="138" t="inlineStr">
        <is>
          <t>Microgreen Garden Salad</t>
        </is>
      </c>
      <c r="C134" s="138" t="inlineStr">
        <is>
          <t>Core - Salad</t>
        </is>
      </c>
      <c r="D134" s="139" t="inlineStr">
        <is>
          <t>Ingredient</t>
        </is>
      </c>
      <c r="E134" s="134" t="inlineStr">
        <is>
          <t>PP-DRESSING-LEMHERB</t>
        </is>
      </c>
      <c r="F134" s="113" t="inlineStr">
        <is>
          <t>Lemon-herb vinaigrette</t>
        </is>
      </c>
      <c r="G134" s="147" t="n">
        <v>25</v>
      </c>
      <c r="H134" s="164" t="inlineStr">
        <is>
          <t>ml</t>
        </is>
      </c>
      <c r="I134" s="150">
        <f>IFERROR(INDEX('04 SKU Master'!$AM$5:$AM$165,MATCH($E134,'04 SKU Master'!$A$5:$A$165,0)),IFERROR(INDEX('05 Packaging Master'!$AM$5:$AM$50,MATCH($E134,'05 Packaging Master'!$A$5:$A$50,0)),IFERROR(INDEX('09 Cost Index'!$C$5:$C$24,MATCH($E134,'09 Cost Index'!$A$5:$A$24,0)),"")))</f>
        <v/>
      </c>
      <c r="J134" s="153">
        <f>'01 Control'!$C$7</f>
        <v/>
      </c>
      <c r="K134" s="150">
        <f>IF($I134="","",$G134*$I134*(1+$J134))</f>
        <v/>
      </c>
      <c r="L134" s="177">
        <f>IF(ISNUMBER(MATCH($E134,'09 Cost Index'!$A$5:$A$24,0)),"09 Cost Index",IF(ISNUMBER(MATCH($E134,'05 Packaging Master'!$A$5:$A$46,0)),"05 Packaging Master",IF(ISNUMBER(MATCH($E134,'04 SKU Master'!$A$5:$A$165,0)),"04 SKU Master","NOT FOUND")))</f>
        <v/>
      </c>
      <c r="M134" s="178">
        <f>IFERROR(INDEX('12 Final Menu'!$U$5:$U$200,MATCH($A134,'12 Final Menu'!$A$5:$A$200,0)),0)</f>
        <v/>
      </c>
      <c r="N134" s="165">
        <f>$G134*(1+$J134)*$M134*1000</f>
        <v/>
      </c>
    </row>
    <row r="135" ht="15" customHeight="1" s="106">
      <c r="A135" s="138" t="inlineStr">
        <is>
          <t>PP-SAL-GARDEN</t>
        </is>
      </c>
      <c r="B135" s="138" t="inlineStr">
        <is>
          <t>Microgreen Garden Salad</t>
        </is>
      </c>
      <c r="C135" s="138" t="inlineStr">
        <is>
          <t>Core - Salad</t>
        </is>
      </c>
      <c r="D135" s="139" t="inlineStr">
        <is>
          <t>Packaging</t>
        </is>
      </c>
      <c r="E135" s="134" t="inlineStr">
        <is>
          <t>PP-PACK-SALAD-BOWL</t>
        </is>
      </c>
      <c r="F135" s="113" t="inlineStr">
        <is>
          <t>Salad bowl</t>
        </is>
      </c>
      <c r="G135" s="147" t="n">
        <v>1</v>
      </c>
      <c r="H135" s="164" t="inlineStr">
        <is>
          <t>ea</t>
        </is>
      </c>
      <c r="I135" s="150">
        <f>IFERROR(INDEX('04 SKU Master'!$AM$5:$AM$165,MATCH($E135,'04 SKU Master'!$A$5:$A$165,0)),IFERROR(INDEX('05 Packaging Master'!$AM$5:$AM$50,MATCH($E135,'05 Packaging Master'!$A$5:$A$50,0)),IFERROR(INDEX('09 Cost Index'!$C$5:$C$24,MATCH($E135,'09 Cost Index'!$A$5:$A$24,0)),"")))</f>
        <v/>
      </c>
      <c r="J135" s="153">
        <f>'01 Control'!$C$7</f>
        <v/>
      </c>
      <c r="K135" s="150">
        <f>IF($I135="","",$G135*$I135*(1+$J135))</f>
        <v/>
      </c>
      <c r="L135" s="177">
        <f>IF(ISNUMBER(MATCH($E135,'09 Cost Index'!$A$5:$A$24,0)),"09 Cost Index",IF(ISNUMBER(MATCH($E135,'05 Packaging Master'!$A$5:$A$46,0)),"05 Packaging Master",IF(ISNUMBER(MATCH($E135,'04 SKU Master'!$A$5:$A$165,0)),"04 SKU Master","NOT FOUND")))</f>
        <v/>
      </c>
      <c r="M135" s="178">
        <f>IFERROR(INDEX('12 Final Menu'!$U$5:$U$200,MATCH($A135,'12 Final Menu'!$A$5:$A$200,0)),0)</f>
        <v/>
      </c>
      <c r="N135" s="165">
        <f>$G135*(1+$J135)*$M135*1000</f>
        <v/>
      </c>
    </row>
    <row r="136" ht="15" customHeight="1" s="106">
      <c r="A136" s="138" t="inlineStr">
        <is>
          <t>PP-SAL-GARDEN</t>
        </is>
      </c>
      <c r="B136" s="138" t="inlineStr">
        <is>
          <t>Microgreen Garden Salad</t>
        </is>
      </c>
      <c r="C136" s="138" t="inlineStr">
        <is>
          <t>Core - Salad</t>
        </is>
      </c>
      <c r="D136" s="139" t="inlineStr">
        <is>
          <t>Packaging</t>
        </is>
      </c>
      <c r="E136" s="134" t="inlineStr">
        <is>
          <t>PP-PACK-SALAD-LID</t>
        </is>
      </c>
      <c r="F136" s="113" t="inlineStr">
        <is>
          <t>Salad bowl lid</t>
        </is>
      </c>
      <c r="G136" s="147" t="n">
        <v>1</v>
      </c>
      <c r="H136" s="164" t="inlineStr">
        <is>
          <t>ea</t>
        </is>
      </c>
      <c r="I136" s="150">
        <f>IFERROR(INDEX('04 SKU Master'!$AM$5:$AM$165,MATCH($E136,'04 SKU Master'!$A$5:$A$165,0)),IFERROR(INDEX('05 Packaging Master'!$AM$5:$AM$50,MATCH($E136,'05 Packaging Master'!$A$5:$A$50,0)),IFERROR(INDEX('09 Cost Index'!$C$5:$C$24,MATCH($E136,'09 Cost Index'!$A$5:$A$24,0)),"")))</f>
        <v/>
      </c>
      <c r="J136" s="153">
        <f>'01 Control'!$C$7</f>
        <v/>
      </c>
      <c r="K136" s="150">
        <f>IF($I136="","",$G136*$I136*(1+$J136))</f>
        <v/>
      </c>
      <c r="L136" s="177">
        <f>IF(ISNUMBER(MATCH($E136,'09 Cost Index'!$A$5:$A$24,0)),"09 Cost Index",IF(ISNUMBER(MATCH($E136,'05 Packaging Master'!$A$5:$A$46,0)),"05 Packaging Master",IF(ISNUMBER(MATCH($E136,'04 SKU Master'!$A$5:$A$165,0)),"04 SKU Master","NOT FOUND")))</f>
        <v/>
      </c>
      <c r="M136" s="178">
        <f>IFERROR(INDEX('12 Final Menu'!$U$5:$U$200,MATCH($A136,'12 Final Menu'!$A$5:$A$200,0)),0)</f>
        <v/>
      </c>
      <c r="N136" s="165">
        <f>$G136*(1+$J136)*$M136*1000</f>
        <v/>
      </c>
    </row>
    <row r="137" ht="15" customHeight="1" s="106">
      <c r="A137" s="138" t="inlineStr">
        <is>
          <t>PP-SAL-GARDEN</t>
        </is>
      </c>
      <c r="B137" s="138" t="inlineStr">
        <is>
          <t>Microgreen Garden Salad</t>
        </is>
      </c>
      <c r="C137" s="138" t="inlineStr">
        <is>
          <t>Core - Salad</t>
        </is>
      </c>
      <c r="D137" s="139" t="inlineStr">
        <is>
          <t>Packaging</t>
        </is>
      </c>
      <c r="E137" s="134" t="inlineStr">
        <is>
          <t>PP-PACK-SAUCE-POT</t>
        </is>
      </c>
      <c r="F137" s="113" t="inlineStr">
        <is>
          <t>Dressing pot</t>
        </is>
      </c>
      <c r="G137" s="147" t="n">
        <v>1</v>
      </c>
      <c r="H137" s="164" t="inlineStr">
        <is>
          <t>ea</t>
        </is>
      </c>
      <c r="I137" s="150">
        <f>IFERROR(INDEX('04 SKU Master'!$AM$5:$AM$165,MATCH($E137,'04 SKU Master'!$A$5:$A$165,0)),IFERROR(INDEX('05 Packaging Master'!$AM$5:$AM$50,MATCH($E137,'05 Packaging Master'!$A$5:$A$50,0)),IFERROR(INDEX('09 Cost Index'!$C$5:$C$24,MATCH($E137,'09 Cost Index'!$A$5:$A$24,0)),"")))</f>
        <v/>
      </c>
      <c r="J137" s="153">
        <f>'01 Control'!$C$7</f>
        <v/>
      </c>
      <c r="K137" s="150">
        <f>IF($I137="","",$G137*$I137*(1+$J137))</f>
        <v/>
      </c>
      <c r="L137" s="177">
        <f>IF(ISNUMBER(MATCH($E137,'09 Cost Index'!$A$5:$A$24,0)),"09 Cost Index",IF(ISNUMBER(MATCH($E137,'05 Packaging Master'!$A$5:$A$46,0)),"05 Packaging Master",IF(ISNUMBER(MATCH($E137,'04 SKU Master'!$A$5:$A$165,0)),"04 SKU Master","NOT FOUND")))</f>
        <v/>
      </c>
      <c r="M137" s="178">
        <f>IFERROR(INDEX('12 Final Menu'!$U$5:$U$200,MATCH($A137,'12 Final Menu'!$A$5:$A$200,0)),0)</f>
        <v/>
      </c>
      <c r="N137" s="165">
        <f>$G137*(1+$J137)*$M137*1000</f>
        <v/>
      </c>
    </row>
    <row r="138" ht="15" customHeight="1" s="106">
      <c r="A138" s="138" t="inlineStr">
        <is>
          <t>PP-SAL-GARDEN</t>
        </is>
      </c>
      <c r="B138" s="138" t="inlineStr">
        <is>
          <t>Microgreen Garden Salad</t>
        </is>
      </c>
      <c r="C138" s="138" t="inlineStr">
        <is>
          <t>Core - Salad</t>
        </is>
      </c>
      <c r="D138" s="139" t="inlineStr">
        <is>
          <t>Packaging</t>
        </is>
      </c>
      <c r="E138" s="134" t="inlineStr">
        <is>
          <t>PP-PACK-CUTLERY</t>
        </is>
      </c>
      <c r="F138" s="113" t="inlineStr">
        <is>
          <t>Cutlery set</t>
        </is>
      </c>
      <c r="G138" s="147" t="n">
        <v>1</v>
      </c>
      <c r="H138" s="164" t="inlineStr">
        <is>
          <t>ea</t>
        </is>
      </c>
      <c r="I138" s="150">
        <f>IFERROR(INDEX('04 SKU Master'!$AM$5:$AM$165,MATCH($E138,'04 SKU Master'!$A$5:$A$165,0)),IFERROR(INDEX('05 Packaging Master'!$AM$5:$AM$50,MATCH($E138,'05 Packaging Master'!$A$5:$A$50,0)),IFERROR(INDEX('09 Cost Index'!$C$5:$C$24,MATCH($E138,'09 Cost Index'!$A$5:$A$24,0)),"")))</f>
        <v/>
      </c>
      <c r="J138" s="153">
        <f>'01 Control'!$C$7</f>
        <v/>
      </c>
      <c r="K138" s="150">
        <f>IF($I138="","",$G138*$I138*(1+$J138))</f>
        <v/>
      </c>
      <c r="L138" s="177">
        <f>IF(ISNUMBER(MATCH($E138,'09 Cost Index'!$A$5:$A$24,0)),"09 Cost Index",IF(ISNUMBER(MATCH($E138,'05 Packaging Master'!$A$5:$A$46,0)),"05 Packaging Master",IF(ISNUMBER(MATCH($E138,'04 SKU Master'!$A$5:$A$165,0)),"04 SKU Master","NOT FOUND")))</f>
        <v/>
      </c>
      <c r="M138" s="178">
        <f>IFERROR(INDEX('12 Final Menu'!$U$5:$U$200,MATCH($A138,'12 Final Menu'!$A$5:$A$200,0)),0)</f>
        <v/>
      </c>
      <c r="N138" s="165">
        <f>$G138*(1+$J138)*$M138*1000</f>
        <v/>
      </c>
    </row>
    <row r="139" ht="15" customHeight="1" s="106">
      <c r="A139" s="138" t="inlineStr">
        <is>
          <t>PP-SAL-GARDEN</t>
        </is>
      </c>
      <c r="B139" s="138" t="inlineStr">
        <is>
          <t>Microgreen Garden Salad</t>
        </is>
      </c>
      <c r="C139" s="138" t="inlineStr">
        <is>
          <t>Core - Salad</t>
        </is>
      </c>
      <c r="D139" s="139" t="inlineStr">
        <is>
          <t>Packaging</t>
        </is>
      </c>
      <c r="E139" s="134" t="inlineStr">
        <is>
          <t>PP-PACK-NAPKIN</t>
        </is>
      </c>
      <c r="F139" s="113" t="inlineStr">
        <is>
          <t>Branded napkin</t>
        </is>
      </c>
      <c r="G139" s="147" t="n">
        <v>1</v>
      </c>
      <c r="H139" s="164" t="inlineStr">
        <is>
          <t>ea</t>
        </is>
      </c>
      <c r="I139" s="150">
        <f>IFERROR(INDEX('04 SKU Master'!$AM$5:$AM$165,MATCH($E139,'04 SKU Master'!$A$5:$A$165,0)),IFERROR(INDEX('05 Packaging Master'!$AM$5:$AM$50,MATCH($E139,'05 Packaging Master'!$A$5:$A$50,0)),IFERROR(INDEX('09 Cost Index'!$C$5:$C$24,MATCH($E139,'09 Cost Index'!$A$5:$A$24,0)),"")))</f>
        <v/>
      </c>
      <c r="J139" s="153">
        <f>'01 Control'!$C$7</f>
        <v/>
      </c>
      <c r="K139" s="150">
        <f>IF($I139="","",$G139*$I139*(1+$J139))</f>
        <v/>
      </c>
      <c r="L139" s="177">
        <f>IF(ISNUMBER(MATCH($E139,'09 Cost Index'!$A$5:$A$24,0)),"09 Cost Index",IF(ISNUMBER(MATCH($E139,'05 Packaging Master'!$A$5:$A$46,0)),"05 Packaging Master",IF(ISNUMBER(MATCH($E139,'04 SKU Master'!$A$5:$A$165,0)),"04 SKU Master","NOT FOUND")))</f>
        <v/>
      </c>
      <c r="M139" s="178">
        <f>IFERROR(INDEX('12 Final Menu'!$U$5:$U$200,MATCH($A139,'12 Final Menu'!$A$5:$A$200,0)),0)</f>
        <v/>
      </c>
      <c r="N139" s="165">
        <f>$G139*(1+$J139)*$M139*1000</f>
        <v/>
      </c>
    </row>
    <row r="141" ht="15" customHeight="1" s="106">
      <c r="A141" s="144" t="inlineStr">
        <is>
          <t>Add Seasoned Beef (100 g)   |   PP-ADD-BEEF</t>
        </is>
      </c>
      <c r="B141" s="110" t="n"/>
      <c r="C141" s="110" t="n"/>
      <c r="D141" s="110" t="n"/>
      <c r="E141" s="110" t="n"/>
      <c r="F141" s="110" t="n"/>
      <c r="G141" s="110" t="n"/>
      <c r="H141" s="110" t="n"/>
      <c r="I141" s="110" t="n"/>
      <c r="J141" s="110" t="n"/>
      <c r="K141" s="110" t="n"/>
      <c r="L141" s="110" t="n"/>
      <c r="M141" s="110" t="n"/>
      <c r="N141" s="111" t="n"/>
    </row>
    <row r="142" ht="15" customHeight="1" s="106">
      <c r="A142" s="138" t="inlineStr">
        <is>
          <t>PP-ADD-BEEF</t>
        </is>
      </c>
      <c r="B142" s="138" t="inlineStr">
        <is>
          <t>Add Seasoned Beef (100 g)</t>
        </is>
      </c>
      <c r="C142" s="138" t="inlineStr">
        <is>
          <t>Core - Add-on</t>
        </is>
      </c>
      <c r="D142" s="139" t="inlineStr">
        <is>
          <t>Protein</t>
        </is>
      </c>
      <c r="E142" s="134" t="inlineStr">
        <is>
          <t>PP-BEEF-SEASONED</t>
        </is>
      </c>
      <c r="F142" s="113" t="inlineStr">
        <is>
          <t>Seasoned beef strips</t>
        </is>
      </c>
      <c r="G142" s="147" t="n">
        <v>100</v>
      </c>
      <c r="H142" s="164" t="inlineStr">
        <is>
          <t>g</t>
        </is>
      </c>
      <c r="I142" s="150">
        <f>IFERROR(INDEX('04 SKU Master'!$AM$5:$AM$165,MATCH($E142,'04 SKU Master'!$A$5:$A$165,0)),IFERROR(INDEX('05 Packaging Master'!$AM$5:$AM$50,MATCH($E142,'05 Packaging Master'!$A$5:$A$50,0)),IFERROR(INDEX('09 Cost Index'!$C$5:$C$24,MATCH($E142,'09 Cost Index'!$A$5:$A$24,0)),"")))</f>
        <v/>
      </c>
      <c r="J142" s="153">
        <f>'01 Control'!$C$7</f>
        <v/>
      </c>
      <c r="K142" s="150">
        <f>IF($I142="","",$G142*$I142*(1+$J142))</f>
        <v/>
      </c>
      <c r="L142" s="177">
        <f>IF(ISNUMBER(MATCH($E142,'09 Cost Index'!$A$5:$A$24,0)),"09 Cost Index",IF(ISNUMBER(MATCH($E142,'05 Packaging Master'!$A$5:$A$46,0)),"05 Packaging Master",IF(ISNUMBER(MATCH($E142,'04 SKU Master'!$A$5:$A$165,0)),"04 SKU Master","NOT FOUND")))</f>
        <v/>
      </c>
      <c r="M142" s="178">
        <f>IFERROR(INDEX('12 Final Menu'!$U$5:$U$200,MATCH($A142,'12 Final Menu'!$A$5:$A$200,0)),0)</f>
        <v/>
      </c>
      <c r="N142" s="165">
        <f>$G142*(1+$J142)*$M142*1000</f>
        <v/>
      </c>
    </row>
    <row r="144" ht="15" customHeight="1" s="106">
      <c r="A144" s="144" t="inlineStr">
        <is>
          <t>Add Beef Meatballs (3)   |   PP-ADD-MEATBALL</t>
        </is>
      </c>
      <c r="B144" s="110" t="n"/>
      <c r="C144" s="110" t="n"/>
      <c r="D144" s="110" t="n"/>
      <c r="E144" s="110" t="n"/>
      <c r="F144" s="110" t="n"/>
      <c r="G144" s="110" t="n"/>
      <c r="H144" s="110" t="n"/>
      <c r="I144" s="110" t="n"/>
      <c r="J144" s="110" t="n"/>
      <c r="K144" s="110" t="n"/>
      <c r="L144" s="110" t="n"/>
      <c r="M144" s="110" t="n"/>
      <c r="N144" s="111" t="n"/>
    </row>
    <row r="145" ht="15" customHeight="1" s="106">
      <c r="A145" s="138" t="inlineStr">
        <is>
          <t>PP-ADD-MEATBALL</t>
        </is>
      </c>
      <c r="B145" s="138" t="inlineStr">
        <is>
          <t>Add Beef Meatballs (3)</t>
        </is>
      </c>
      <c r="C145" s="138" t="inlineStr">
        <is>
          <t>Core - Add-on</t>
        </is>
      </c>
      <c r="D145" s="139" t="inlineStr">
        <is>
          <t>Protein</t>
        </is>
      </c>
      <c r="E145" s="134" t="inlineStr">
        <is>
          <t>PP-BEEF-MEATBALL</t>
        </is>
      </c>
      <c r="F145" s="113" t="inlineStr">
        <is>
          <t>Beef meatballs</t>
        </is>
      </c>
      <c r="G145" s="147" t="n">
        <v>105</v>
      </c>
      <c r="H145" s="164" t="inlineStr">
        <is>
          <t>g</t>
        </is>
      </c>
      <c r="I145" s="150">
        <f>IFERROR(INDEX('04 SKU Master'!$AM$5:$AM$165,MATCH($E145,'04 SKU Master'!$A$5:$A$165,0)),IFERROR(INDEX('05 Packaging Master'!$AM$5:$AM$50,MATCH($E145,'05 Packaging Master'!$A$5:$A$50,0)),IFERROR(INDEX('09 Cost Index'!$C$5:$C$24,MATCH($E145,'09 Cost Index'!$A$5:$A$24,0)),"")))</f>
        <v/>
      </c>
      <c r="J145" s="153">
        <f>'01 Control'!$C$7</f>
        <v/>
      </c>
      <c r="K145" s="150">
        <f>IF($I145="","",$G145*$I145*(1+$J145))</f>
        <v/>
      </c>
      <c r="L145" s="177">
        <f>IF(ISNUMBER(MATCH($E145,'09 Cost Index'!$A$5:$A$24,0)),"09 Cost Index",IF(ISNUMBER(MATCH($E145,'05 Packaging Master'!$A$5:$A$46,0)),"05 Packaging Master",IF(ISNUMBER(MATCH($E145,'04 SKU Master'!$A$5:$A$165,0)),"04 SKU Master","NOT FOUND")))</f>
        <v/>
      </c>
      <c r="M145" s="178">
        <f>IFERROR(INDEX('12 Final Menu'!$U$5:$U$200,MATCH($A145,'12 Final Menu'!$A$5:$A$200,0)),0)</f>
        <v/>
      </c>
      <c r="N145" s="165">
        <f>$G145*(1+$J145)*$M145*1000</f>
        <v/>
      </c>
    </row>
    <row r="147" ht="15" customHeight="1" s="106">
      <c r="A147" s="144" t="inlineStr">
        <is>
          <t>Add Beef Bacon (45 g)   |   PP-ADD-BACON</t>
        </is>
      </c>
      <c r="B147" s="110" t="n"/>
      <c r="C147" s="110" t="n"/>
      <c r="D147" s="110" t="n"/>
      <c r="E147" s="110" t="n"/>
      <c r="F147" s="110" t="n"/>
      <c r="G147" s="110" t="n"/>
      <c r="H147" s="110" t="n"/>
      <c r="I147" s="110" t="n"/>
      <c r="J147" s="110" t="n"/>
      <c r="K147" s="110" t="n"/>
      <c r="L147" s="110" t="n"/>
      <c r="M147" s="110" t="n"/>
      <c r="N147" s="111" t="n"/>
    </row>
    <row r="148" ht="15" customHeight="1" s="106">
      <c r="A148" s="138" t="inlineStr">
        <is>
          <t>PP-ADD-BACON</t>
        </is>
      </c>
      <c r="B148" s="138" t="inlineStr">
        <is>
          <t>Add Beef Bacon (45 g)</t>
        </is>
      </c>
      <c r="C148" s="138" t="inlineStr">
        <is>
          <t>Core - Add-on</t>
        </is>
      </c>
      <c r="D148" s="139" t="inlineStr">
        <is>
          <t>Protein</t>
        </is>
      </c>
      <c r="E148" s="134" t="inlineStr">
        <is>
          <t>PP-BEEF-BACON</t>
        </is>
      </c>
      <c r="F148" s="113" t="inlineStr">
        <is>
          <t>Smoky beef bacon</t>
        </is>
      </c>
      <c r="G148" s="147" t="n">
        <v>45</v>
      </c>
      <c r="H148" s="164" t="inlineStr">
        <is>
          <t>g</t>
        </is>
      </c>
      <c r="I148" s="150">
        <f>IFERROR(INDEX('04 SKU Master'!$AM$5:$AM$165,MATCH($E148,'04 SKU Master'!$A$5:$A$165,0)),IFERROR(INDEX('05 Packaging Master'!$AM$5:$AM$50,MATCH($E148,'05 Packaging Master'!$A$5:$A$50,0)),IFERROR(INDEX('09 Cost Index'!$C$5:$C$24,MATCH($E148,'09 Cost Index'!$A$5:$A$24,0)),"")))</f>
        <v/>
      </c>
      <c r="J148" s="153">
        <f>'01 Control'!$C$7</f>
        <v/>
      </c>
      <c r="K148" s="150">
        <f>IF($I148="","",$G148*$I148*(1+$J148))</f>
        <v/>
      </c>
      <c r="L148" s="177">
        <f>IF(ISNUMBER(MATCH($E148,'09 Cost Index'!$A$5:$A$24,0)),"09 Cost Index",IF(ISNUMBER(MATCH($E148,'05 Packaging Master'!$A$5:$A$46,0)),"05 Packaging Master",IF(ISNUMBER(MATCH($E148,'04 SKU Master'!$A$5:$A$165,0)),"04 SKU Master","NOT FOUND")))</f>
        <v/>
      </c>
      <c r="M148" s="178">
        <f>IFERROR(INDEX('12 Final Menu'!$U$5:$U$200,MATCH($A148,'12 Final Menu'!$A$5:$A$200,0)),0)</f>
        <v/>
      </c>
      <c r="N148" s="165">
        <f>$G148*(1+$J148)*$M148*1000</f>
        <v/>
      </c>
    </row>
    <row r="150" ht="15" customHeight="1" s="106">
      <c r="A150" s="144" t="inlineStr">
        <is>
          <t>Add Extra Parmesan   |   PP-ADD-CHEESE</t>
        </is>
      </c>
      <c r="B150" s="110" t="n"/>
      <c r="C150" s="110" t="n"/>
      <c r="D150" s="110" t="n"/>
      <c r="E150" s="110" t="n"/>
      <c r="F150" s="110" t="n"/>
      <c r="G150" s="110" t="n"/>
      <c r="H150" s="110" t="n"/>
      <c r="I150" s="110" t="n"/>
      <c r="J150" s="110" t="n"/>
      <c r="K150" s="110" t="n"/>
      <c r="L150" s="110" t="n"/>
      <c r="M150" s="110" t="n"/>
      <c r="N150" s="111" t="n"/>
    </row>
    <row r="151" ht="15" customHeight="1" s="106">
      <c r="A151" s="138" t="inlineStr">
        <is>
          <t>PP-ADD-CHEESE</t>
        </is>
      </c>
      <c r="B151" s="138" t="inlineStr">
        <is>
          <t>Add Extra Parmesan</t>
        </is>
      </c>
      <c r="C151" s="138" t="inlineStr">
        <is>
          <t>Core - Add-on</t>
        </is>
      </c>
      <c r="D151" s="139" t="inlineStr">
        <is>
          <t>Finish</t>
        </is>
      </c>
      <c r="E151" s="134" t="inlineStr">
        <is>
          <t>PP-PARM</t>
        </is>
      </c>
      <c r="F151" s="113" t="inlineStr">
        <is>
          <t>Grated hard cheese</t>
        </is>
      </c>
      <c r="G151" s="147" t="n">
        <v>20</v>
      </c>
      <c r="H151" s="164" t="inlineStr">
        <is>
          <t>g</t>
        </is>
      </c>
      <c r="I151" s="150">
        <f>IFERROR(INDEX('04 SKU Master'!$AM$5:$AM$165,MATCH($E151,'04 SKU Master'!$A$5:$A$165,0)),IFERROR(INDEX('05 Packaging Master'!$AM$5:$AM$50,MATCH($E151,'05 Packaging Master'!$A$5:$A$50,0)),IFERROR(INDEX('09 Cost Index'!$C$5:$C$24,MATCH($E151,'09 Cost Index'!$A$5:$A$24,0)),"")))</f>
        <v/>
      </c>
      <c r="J151" s="153">
        <f>'01 Control'!$C$7</f>
        <v/>
      </c>
      <c r="K151" s="150">
        <f>IF($I151="","",$G151*$I151*(1+$J151))</f>
        <v/>
      </c>
      <c r="L151" s="177">
        <f>IF(ISNUMBER(MATCH($E151,'09 Cost Index'!$A$5:$A$24,0)),"09 Cost Index",IF(ISNUMBER(MATCH($E151,'05 Packaging Master'!$A$5:$A$46,0)),"05 Packaging Master",IF(ISNUMBER(MATCH($E151,'04 SKU Master'!$A$5:$A$165,0)),"04 SKU Master","NOT FOUND")))</f>
        <v/>
      </c>
      <c r="M151" s="178">
        <f>IFERROR(INDEX('12 Final Menu'!$U$5:$U$200,MATCH($A151,'12 Final Menu'!$A$5:$A$200,0)),0)</f>
        <v/>
      </c>
      <c r="N151" s="165">
        <f>$G151*(1+$J151)*$M151*1000</f>
        <v/>
      </c>
    </row>
    <row r="153" ht="15" customHeight="1" s="106">
      <c r="A153" s="144" t="inlineStr">
        <is>
          <t>Add Garlic Crumb   |   PP-ADD-CRUMB</t>
        </is>
      </c>
      <c r="B153" s="110" t="n"/>
      <c r="C153" s="110" t="n"/>
      <c r="D153" s="110" t="n"/>
      <c r="E153" s="110" t="n"/>
      <c r="F153" s="110" t="n"/>
      <c r="G153" s="110" t="n"/>
      <c r="H153" s="110" t="n"/>
      <c r="I153" s="110" t="n"/>
      <c r="J153" s="110" t="n"/>
      <c r="K153" s="110" t="n"/>
      <c r="L153" s="110" t="n"/>
      <c r="M153" s="110" t="n"/>
      <c r="N153" s="111" t="n"/>
    </row>
    <row r="154" ht="15" customHeight="1" s="106">
      <c r="A154" s="138" t="inlineStr">
        <is>
          <t>PP-ADD-CRUMB</t>
        </is>
      </c>
      <c r="B154" s="138" t="inlineStr">
        <is>
          <t>Add Garlic Crumb</t>
        </is>
      </c>
      <c r="C154" s="138" t="inlineStr">
        <is>
          <t>Core - Add-on</t>
        </is>
      </c>
      <c r="D154" s="139" t="inlineStr">
        <is>
          <t>Finish</t>
        </is>
      </c>
      <c r="E154" s="134" t="inlineStr">
        <is>
          <t>PP-GARLIC</t>
        </is>
      </c>
      <c r="F154" s="113" t="inlineStr">
        <is>
          <t>Garlic</t>
        </is>
      </c>
      <c r="G154" s="147" t="n">
        <v>6</v>
      </c>
      <c r="H154" s="164" t="inlineStr">
        <is>
          <t>g</t>
        </is>
      </c>
      <c r="I154" s="150">
        <f>IFERROR(INDEX('04 SKU Master'!$AM$5:$AM$165,MATCH($E154,'04 SKU Master'!$A$5:$A$165,0)),IFERROR(INDEX('05 Packaging Master'!$AM$5:$AM$50,MATCH($E154,'05 Packaging Master'!$A$5:$A$50,0)),IFERROR(INDEX('09 Cost Index'!$C$5:$C$24,MATCH($E154,'09 Cost Index'!$A$5:$A$24,0)),"")))</f>
        <v/>
      </c>
      <c r="J154" s="153">
        <f>'01 Control'!$C$7</f>
        <v/>
      </c>
      <c r="K154" s="150">
        <f>IF($I154="","",$G154*$I154*(1+$J154))</f>
        <v/>
      </c>
      <c r="L154" s="177">
        <f>IF(ISNUMBER(MATCH($E154,'09 Cost Index'!$A$5:$A$24,0)),"09 Cost Index",IF(ISNUMBER(MATCH($E154,'05 Packaging Master'!$A$5:$A$46,0)),"05 Packaging Master",IF(ISNUMBER(MATCH($E154,'04 SKU Master'!$A$5:$A$165,0)),"04 SKU Master","NOT FOUND")))</f>
        <v/>
      </c>
      <c r="M154" s="178">
        <f>IFERROR(INDEX('12 Final Menu'!$U$5:$U$200,MATCH($A154,'12 Final Menu'!$A$5:$A$200,0)),0)</f>
        <v/>
      </c>
      <c r="N154" s="165">
        <f>$G154*(1+$J154)*$M154*1000</f>
        <v/>
      </c>
    </row>
    <row r="155" ht="15" customHeight="1" s="106">
      <c r="A155" s="138" t="inlineStr">
        <is>
          <t>PP-ADD-CRUMB</t>
        </is>
      </c>
      <c r="B155" s="138" t="inlineStr">
        <is>
          <t>Add Garlic Crumb</t>
        </is>
      </c>
      <c r="C155" s="138" t="inlineStr">
        <is>
          <t>Core - Add-on</t>
        </is>
      </c>
      <c r="D155" s="139" t="inlineStr">
        <is>
          <t>Finish</t>
        </is>
      </c>
      <c r="E155" s="134" t="inlineStr">
        <is>
          <t>PP-EVOO</t>
        </is>
      </c>
      <c r="F155" s="113" t="inlineStr">
        <is>
          <t>Extra-virgin olive oil</t>
        </is>
      </c>
      <c r="G155" s="147" t="n">
        <v>5</v>
      </c>
      <c r="H155" s="164" t="inlineStr">
        <is>
          <t>ml</t>
        </is>
      </c>
      <c r="I155" s="150">
        <f>IFERROR(INDEX('04 SKU Master'!$AM$5:$AM$165,MATCH($E155,'04 SKU Master'!$A$5:$A$165,0)),IFERROR(INDEX('05 Packaging Master'!$AM$5:$AM$50,MATCH($E155,'05 Packaging Master'!$A$5:$A$50,0)),IFERROR(INDEX('09 Cost Index'!$C$5:$C$24,MATCH($E155,'09 Cost Index'!$A$5:$A$24,0)),"")))</f>
        <v/>
      </c>
      <c r="J155" s="153">
        <f>'01 Control'!$C$7</f>
        <v/>
      </c>
      <c r="K155" s="150">
        <f>IF($I155="","",$G155*$I155*(1+$J155))</f>
        <v/>
      </c>
      <c r="L155" s="177">
        <f>IF(ISNUMBER(MATCH($E155,'09 Cost Index'!$A$5:$A$24,0)),"09 Cost Index",IF(ISNUMBER(MATCH($E155,'05 Packaging Master'!$A$5:$A$46,0)),"05 Packaging Master",IF(ISNUMBER(MATCH($E155,'04 SKU Master'!$A$5:$A$165,0)),"04 SKU Master","NOT FOUND")))</f>
        <v/>
      </c>
      <c r="M155" s="178">
        <f>IFERROR(INDEX('12 Final Menu'!$U$5:$U$200,MATCH($A155,'12 Final Menu'!$A$5:$A$200,0)),0)</f>
        <v/>
      </c>
      <c r="N155" s="165">
        <f>$G155*(1+$J155)*$M155*1000</f>
        <v/>
      </c>
    </row>
    <row r="157" ht="15" customHeight="1" s="106">
      <c r="A157" s="144" t="inlineStr">
        <is>
          <t>Add Chilli Hit   |   PP-ADD-CHILLI</t>
        </is>
      </c>
      <c r="B157" s="110" t="n"/>
      <c r="C157" s="110" t="n"/>
      <c r="D157" s="110" t="n"/>
      <c r="E157" s="110" t="n"/>
      <c r="F157" s="110" t="n"/>
      <c r="G157" s="110" t="n"/>
      <c r="H157" s="110" t="n"/>
      <c r="I157" s="110" t="n"/>
      <c r="J157" s="110" t="n"/>
      <c r="K157" s="110" t="n"/>
      <c r="L157" s="110" t="n"/>
      <c r="M157" s="110" t="n"/>
      <c r="N157" s="111" t="n"/>
    </row>
    <row r="158" ht="15" customHeight="1" s="106">
      <c r="A158" s="138" t="inlineStr">
        <is>
          <t>PP-ADD-CHILLI</t>
        </is>
      </c>
      <c r="B158" s="138" t="inlineStr">
        <is>
          <t>Add Chilli Hit</t>
        </is>
      </c>
      <c r="C158" s="138" t="inlineStr">
        <is>
          <t>Core - Add-on</t>
        </is>
      </c>
      <c r="D158" s="139" t="inlineStr">
        <is>
          <t>Finish</t>
        </is>
      </c>
      <c r="E158" s="134" t="inlineStr">
        <is>
          <t>PP-CHILLI-OIL</t>
        </is>
      </c>
      <c r="F158" s="113" t="inlineStr">
        <is>
          <t>Chilli oil</t>
        </is>
      </c>
      <c r="G158" s="147" t="n">
        <v>8</v>
      </c>
      <c r="H158" s="164" t="inlineStr">
        <is>
          <t>ml</t>
        </is>
      </c>
      <c r="I158" s="150">
        <f>IFERROR(INDEX('04 SKU Master'!$AM$5:$AM$165,MATCH($E158,'04 SKU Master'!$A$5:$A$165,0)),IFERROR(INDEX('05 Packaging Master'!$AM$5:$AM$50,MATCH($E158,'05 Packaging Master'!$A$5:$A$50,0)),IFERROR(INDEX('09 Cost Index'!$C$5:$C$24,MATCH($E158,'09 Cost Index'!$A$5:$A$24,0)),"")))</f>
        <v/>
      </c>
      <c r="J158" s="153">
        <f>'01 Control'!$C$7</f>
        <v/>
      </c>
      <c r="K158" s="150">
        <f>IF($I158="","",$G158*$I158*(1+$J158))</f>
        <v/>
      </c>
      <c r="L158" s="177">
        <f>IF(ISNUMBER(MATCH($E158,'09 Cost Index'!$A$5:$A$24,0)),"09 Cost Index",IF(ISNUMBER(MATCH($E158,'05 Packaging Master'!$A$5:$A$46,0)),"05 Packaging Master",IF(ISNUMBER(MATCH($E158,'04 SKU Master'!$A$5:$A$165,0)),"04 SKU Master","NOT FOUND")))</f>
        <v/>
      </c>
      <c r="M158" s="178">
        <f>IFERROR(INDEX('12 Final Menu'!$U$5:$U$200,MATCH($A158,'12 Final Menu'!$A$5:$A$200,0)),0)</f>
        <v/>
      </c>
      <c r="N158" s="165">
        <f>$G158*(1+$J158)*$M158*1000</f>
        <v/>
      </c>
    </row>
    <row r="159" ht="15" customHeight="1" s="106">
      <c r="A159" s="138" t="inlineStr">
        <is>
          <t>PP-ADD-CHILLI</t>
        </is>
      </c>
      <c r="B159" s="138" t="inlineStr">
        <is>
          <t>Add Chilli Hit</t>
        </is>
      </c>
      <c r="C159" s="138" t="inlineStr">
        <is>
          <t>Core - Add-on</t>
        </is>
      </c>
      <c r="D159" s="139" t="inlineStr">
        <is>
          <t>Finish</t>
        </is>
      </c>
      <c r="E159" s="134" t="inlineStr">
        <is>
          <t>PP-CHILLI-FLAKE</t>
        </is>
      </c>
      <c r="F159" s="113" t="inlineStr">
        <is>
          <t>Chilli flakes</t>
        </is>
      </c>
      <c r="G159" s="147" t="n">
        <v>1</v>
      </c>
      <c r="H159" s="164" t="inlineStr">
        <is>
          <t>g</t>
        </is>
      </c>
      <c r="I159" s="150">
        <f>IFERROR(INDEX('04 SKU Master'!$AM$5:$AM$165,MATCH($E159,'04 SKU Master'!$A$5:$A$165,0)),IFERROR(INDEX('05 Packaging Master'!$AM$5:$AM$50,MATCH($E159,'05 Packaging Master'!$A$5:$A$50,0)),IFERROR(INDEX('09 Cost Index'!$C$5:$C$24,MATCH($E159,'09 Cost Index'!$A$5:$A$24,0)),"")))</f>
        <v/>
      </c>
      <c r="J159" s="153">
        <f>'01 Control'!$C$7</f>
        <v/>
      </c>
      <c r="K159" s="150">
        <f>IF($I159="","",$G159*$I159*(1+$J159))</f>
        <v/>
      </c>
      <c r="L159" s="177">
        <f>IF(ISNUMBER(MATCH($E159,'09 Cost Index'!$A$5:$A$24,0)),"09 Cost Index",IF(ISNUMBER(MATCH($E159,'05 Packaging Master'!$A$5:$A$46,0)),"05 Packaging Master",IF(ISNUMBER(MATCH($E159,'04 SKU Master'!$A$5:$A$165,0)),"04 SKU Master","NOT FOUND")))</f>
        <v/>
      </c>
      <c r="M159" s="178">
        <f>IFERROR(INDEX('12 Final Menu'!$U$5:$U$200,MATCH($A159,'12 Final Menu'!$A$5:$A$200,0)),0)</f>
        <v/>
      </c>
      <c r="N159" s="165">
        <f>$G159*(1+$J159)*$M159*1000</f>
        <v/>
      </c>
    </row>
    <row r="161" ht="15" customHeight="1" s="106">
      <c r="A161" s="144" t="inlineStr">
        <is>
          <t>Add Beef to a Salad   |   PP-ADD-SALADBEEF</t>
        </is>
      </c>
      <c r="B161" s="110" t="n"/>
      <c r="C161" s="110" t="n"/>
      <c r="D161" s="110" t="n"/>
      <c r="E161" s="110" t="n"/>
      <c r="F161" s="110" t="n"/>
      <c r="G161" s="110" t="n"/>
      <c r="H161" s="110" t="n"/>
      <c r="I161" s="110" t="n"/>
      <c r="J161" s="110" t="n"/>
      <c r="K161" s="110" t="n"/>
      <c r="L161" s="110" t="n"/>
      <c r="M161" s="110" t="n"/>
      <c r="N161" s="111" t="n"/>
    </row>
    <row r="162" ht="15" customHeight="1" s="106">
      <c r="A162" s="138" t="inlineStr">
        <is>
          <t>PP-ADD-SALADBEEF</t>
        </is>
      </c>
      <c r="B162" s="138" t="inlineStr">
        <is>
          <t>Add Beef to a Salad</t>
        </is>
      </c>
      <c r="C162" s="138" t="inlineStr">
        <is>
          <t>Core - Add-on</t>
        </is>
      </c>
      <c r="D162" s="139" t="inlineStr">
        <is>
          <t>Protein</t>
        </is>
      </c>
      <c r="E162" s="134" t="inlineStr">
        <is>
          <t>PP-BEEF-SEASONED</t>
        </is>
      </c>
      <c r="F162" s="113" t="inlineStr">
        <is>
          <t>Seasoned beef strips</t>
        </is>
      </c>
      <c r="G162" s="147" t="n">
        <v>60</v>
      </c>
      <c r="H162" s="164" t="inlineStr">
        <is>
          <t>g</t>
        </is>
      </c>
      <c r="I162" s="150">
        <f>IFERROR(INDEX('04 SKU Master'!$AM$5:$AM$165,MATCH($E162,'04 SKU Master'!$A$5:$A$165,0)),IFERROR(INDEX('05 Packaging Master'!$AM$5:$AM$50,MATCH($E162,'05 Packaging Master'!$A$5:$A$50,0)),IFERROR(INDEX('09 Cost Index'!$C$5:$C$24,MATCH($E162,'09 Cost Index'!$A$5:$A$24,0)),"")))</f>
        <v/>
      </c>
      <c r="J162" s="153">
        <f>'01 Control'!$C$7</f>
        <v/>
      </c>
      <c r="K162" s="150">
        <f>IF($I162="","",$G162*$I162*(1+$J162))</f>
        <v/>
      </c>
      <c r="L162" s="177">
        <f>IF(ISNUMBER(MATCH($E162,'09 Cost Index'!$A$5:$A$24,0)),"09 Cost Index",IF(ISNUMBER(MATCH($E162,'05 Packaging Master'!$A$5:$A$46,0)),"05 Packaging Master",IF(ISNUMBER(MATCH($E162,'04 SKU Master'!$A$5:$A$165,0)),"04 SKU Master","NOT FOUND")))</f>
        <v/>
      </c>
      <c r="M162" s="178">
        <f>IFERROR(INDEX('12 Final Menu'!$U$5:$U$200,MATCH($A162,'12 Final Menu'!$A$5:$A$200,0)),0)</f>
        <v/>
      </c>
      <c r="N162" s="165">
        <f>$G162*(1+$J162)*$M162*1000</f>
        <v/>
      </c>
    </row>
    <row r="164" ht="15" customHeight="1" s="106">
      <c r="A164" s="144" t="inlineStr">
        <is>
          <t>Upsize Slushee to 600 ml   |   PP-ADD-SLUSH-LG</t>
        </is>
      </c>
      <c r="B164" s="110" t="n"/>
      <c r="C164" s="110" t="n"/>
      <c r="D164" s="110" t="n"/>
      <c r="E164" s="110" t="n"/>
      <c r="F164" s="110" t="n"/>
      <c r="G164" s="110" t="n"/>
      <c r="H164" s="110" t="n"/>
      <c r="I164" s="110" t="n"/>
      <c r="J164" s="110" t="n"/>
      <c r="K164" s="110" t="n"/>
      <c r="L164" s="110" t="n"/>
      <c r="M164" s="110" t="n"/>
      <c r="N164" s="111" t="n"/>
    </row>
    <row r="165" ht="15" customHeight="1" s="106">
      <c r="A165" s="138" t="inlineStr">
        <is>
          <t>PP-ADD-SLUSH-LG</t>
        </is>
      </c>
      <c r="B165" s="138" t="inlineStr">
        <is>
          <t>Upsize Slushee to 600 ml</t>
        </is>
      </c>
      <c r="C165" s="138" t="inlineStr">
        <is>
          <t>Core - Add-on</t>
        </is>
      </c>
      <c r="D165" s="139" t="inlineStr">
        <is>
          <t>Ingredient</t>
        </is>
      </c>
      <c r="E165" s="134" t="inlineStr">
        <is>
          <t>PP-BEV-SYR-ROOIBOS</t>
        </is>
      </c>
      <c r="F165" s="113" t="inlineStr">
        <is>
          <t>Extra concentrate (any flavour)</t>
        </is>
      </c>
      <c r="G165" s="147" t="n">
        <v>40</v>
      </c>
      <c r="H165" s="164" t="inlineStr">
        <is>
          <t>ml</t>
        </is>
      </c>
      <c r="I165" s="150">
        <f>IFERROR(INDEX('04 SKU Master'!$AM$5:$AM$165,MATCH($E165,'04 SKU Master'!$A$5:$A$165,0)),IFERROR(INDEX('05 Packaging Master'!$AM$5:$AM$50,MATCH($E165,'05 Packaging Master'!$A$5:$A$50,0)),IFERROR(INDEX('09 Cost Index'!$C$5:$C$24,MATCH($E165,'09 Cost Index'!$A$5:$A$24,0)),"")))</f>
        <v/>
      </c>
      <c r="J165" s="153">
        <f>'01 Control'!$C$7</f>
        <v/>
      </c>
      <c r="K165" s="150">
        <f>IF($I165="","",$G165*$I165*(1+$J165))</f>
        <v/>
      </c>
      <c r="L165" s="177">
        <f>IF(ISNUMBER(MATCH($E165,'09 Cost Index'!$A$5:$A$24,0)),"09 Cost Index",IF(ISNUMBER(MATCH($E165,'05 Packaging Master'!$A$5:$A$46,0)),"05 Packaging Master",IF(ISNUMBER(MATCH($E165,'04 SKU Master'!$A$5:$A$165,0)),"04 SKU Master","NOT FOUND")))</f>
        <v/>
      </c>
      <c r="M165" s="178">
        <f>IFERROR(INDEX('12 Final Menu'!$U$5:$U$200,MATCH($A165,'12 Final Menu'!$A$5:$A$200,0)),0)</f>
        <v/>
      </c>
      <c r="N165" s="165">
        <f>$G165*(1+$J165)*$M165*1000</f>
        <v/>
      </c>
    </row>
    <row r="166" ht="15" customHeight="1" s="106">
      <c r="A166" s="138" t="inlineStr">
        <is>
          <t>PP-ADD-SLUSH-LG</t>
        </is>
      </c>
      <c r="B166" s="138" t="inlineStr">
        <is>
          <t>Upsize Slushee to 600 ml</t>
        </is>
      </c>
      <c r="C166" s="138" t="inlineStr">
        <is>
          <t>Core - Add-on</t>
        </is>
      </c>
      <c r="D166" s="139" t="inlineStr">
        <is>
          <t>Ingredient</t>
        </is>
      </c>
      <c r="E166" s="134" t="inlineStr">
        <is>
          <t>PP-BEV-WATER-FILTERED</t>
        </is>
      </c>
      <c r="F166" s="113" t="inlineStr">
        <is>
          <t>Filtered water</t>
        </is>
      </c>
      <c r="G166" s="147" t="n">
        <v>160</v>
      </c>
      <c r="H166" s="164" t="inlineStr">
        <is>
          <t>ml</t>
        </is>
      </c>
      <c r="I166" s="150">
        <f>IFERROR(INDEX('04 SKU Master'!$AM$5:$AM$165,MATCH($E166,'04 SKU Master'!$A$5:$A$165,0)),IFERROR(INDEX('05 Packaging Master'!$AM$5:$AM$50,MATCH($E166,'05 Packaging Master'!$A$5:$A$50,0)),IFERROR(INDEX('09 Cost Index'!$C$5:$C$24,MATCH($E166,'09 Cost Index'!$A$5:$A$24,0)),"")))</f>
        <v/>
      </c>
      <c r="J166" s="153">
        <f>'01 Control'!$C$7</f>
        <v/>
      </c>
      <c r="K166" s="150">
        <f>IF($I166="","",$G166*$I166*(1+$J166))</f>
        <v/>
      </c>
      <c r="L166" s="177">
        <f>IF(ISNUMBER(MATCH($E166,'09 Cost Index'!$A$5:$A$24,0)),"09 Cost Index",IF(ISNUMBER(MATCH($E166,'05 Packaging Master'!$A$5:$A$46,0)),"05 Packaging Master",IF(ISNUMBER(MATCH($E166,'04 SKU Master'!$A$5:$A$165,0)),"04 SKU Master","NOT FOUND")))</f>
        <v/>
      </c>
      <c r="M166" s="178">
        <f>IFERROR(INDEX('12 Final Menu'!$U$5:$U$200,MATCH($A166,'12 Final Menu'!$A$5:$A$200,0)),0)</f>
        <v/>
      </c>
      <c r="N166" s="165">
        <f>$G166*(1+$J166)*$M166*1000</f>
        <v/>
      </c>
    </row>
    <row r="167" ht="15" customHeight="1" s="106">
      <c r="A167" s="138" t="inlineStr">
        <is>
          <t>PP-ADD-SLUSH-LG</t>
        </is>
      </c>
      <c r="B167" s="138" t="inlineStr">
        <is>
          <t>Upsize Slushee to 600 ml</t>
        </is>
      </c>
      <c r="C167" s="138" t="inlineStr">
        <is>
          <t>Core - Add-on</t>
        </is>
      </c>
      <c r="D167" s="139" t="inlineStr">
        <is>
          <t>Packaging</t>
        </is>
      </c>
      <c r="E167" s="134" t="inlineStr">
        <is>
          <t>PP-PACK-CUP-SLUSH-LG</t>
        </is>
      </c>
      <c r="F167" s="113" t="inlineStr">
        <is>
          <t>Slushee cup 600 ml (replaces the 400 ml cup)</t>
        </is>
      </c>
      <c r="G167" s="147" t="n">
        <v>1</v>
      </c>
      <c r="H167" s="164" t="inlineStr">
        <is>
          <t>ea</t>
        </is>
      </c>
      <c r="I167" s="150">
        <f>IFERROR(INDEX('04 SKU Master'!$AM$5:$AM$165,MATCH($E167,'04 SKU Master'!$A$5:$A$165,0)),IFERROR(INDEX('05 Packaging Master'!$AM$5:$AM$50,MATCH($E167,'05 Packaging Master'!$A$5:$A$50,0)),IFERROR(INDEX('09 Cost Index'!$C$5:$C$24,MATCH($E167,'09 Cost Index'!$A$5:$A$24,0)),"")))</f>
        <v/>
      </c>
      <c r="J167" s="153">
        <f>'01 Control'!$C$7</f>
        <v/>
      </c>
      <c r="K167" s="150">
        <f>IF($I167="","",$G167*$I167*(1+$J167))</f>
        <v/>
      </c>
      <c r="L167" s="177">
        <f>IF(ISNUMBER(MATCH($E167,'09 Cost Index'!$A$5:$A$24,0)),"09 Cost Index",IF(ISNUMBER(MATCH($E167,'05 Packaging Master'!$A$5:$A$46,0)),"05 Packaging Master",IF(ISNUMBER(MATCH($E167,'04 SKU Master'!$A$5:$A$165,0)),"04 SKU Master","NOT FOUND")))</f>
        <v/>
      </c>
      <c r="M167" s="178">
        <f>IFERROR(INDEX('12 Final Menu'!$U$5:$U$200,MATCH($A167,'12 Final Menu'!$A$5:$A$200,0)),0)</f>
        <v/>
      </c>
      <c r="N167" s="165">
        <f>$G167*(1+$J167)*$M167*1000</f>
        <v/>
      </c>
    </row>
    <row r="168" ht="15" customHeight="1" s="106">
      <c r="A168" s="138" t="inlineStr">
        <is>
          <t>PP-ADD-SLUSH-LG</t>
        </is>
      </c>
      <c r="B168" s="138" t="inlineStr">
        <is>
          <t>Upsize Slushee to 600 ml</t>
        </is>
      </c>
      <c r="C168" s="138" t="inlineStr">
        <is>
          <t>Core - Add-on</t>
        </is>
      </c>
      <c r="D168" s="139" t="inlineStr">
        <is>
          <t>Packaging</t>
        </is>
      </c>
      <c r="E168" s="134" t="inlineStr">
        <is>
          <t>PP-PACK-LID-DOME-LG</t>
        </is>
      </c>
      <c r="F168" s="113" t="inlineStr">
        <is>
          <t>Dome lid, large</t>
        </is>
      </c>
      <c r="G168" s="147" t="n">
        <v>1</v>
      </c>
      <c r="H168" s="164" t="inlineStr">
        <is>
          <t>ea</t>
        </is>
      </c>
      <c r="I168" s="150">
        <f>IFERROR(INDEX('04 SKU Master'!$AM$5:$AM$165,MATCH($E168,'04 SKU Master'!$A$5:$A$165,0)),IFERROR(INDEX('05 Packaging Master'!$AM$5:$AM$50,MATCH($E168,'05 Packaging Master'!$A$5:$A$50,0)),IFERROR(INDEX('09 Cost Index'!$C$5:$C$24,MATCH($E168,'09 Cost Index'!$A$5:$A$24,0)),"")))</f>
        <v/>
      </c>
      <c r="J168" s="153">
        <f>'01 Control'!$C$7</f>
        <v/>
      </c>
      <c r="K168" s="150">
        <f>IF($I168="","",$G168*$I168*(1+$J168))</f>
        <v/>
      </c>
      <c r="L168" s="177">
        <f>IF(ISNUMBER(MATCH($E168,'09 Cost Index'!$A$5:$A$24,0)),"09 Cost Index",IF(ISNUMBER(MATCH($E168,'05 Packaging Master'!$A$5:$A$46,0)),"05 Packaging Master",IF(ISNUMBER(MATCH($E168,'04 SKU Master'!$A$5:$A$165,0)),"04 SKU Master","NOT FOUND")))</f>
        <v/>
      </c>
      <c r="M168" s="178">
        <f>IFERROR(INDEX('12 Final Menu'!$U$5:$U$200,MATCH($A168,'12 Final Menu'!$A$5:$A$200,0)),0)</f>
        <v/>
      </c>
      <c r="N168" s="165">
        <f>$G168*(1+$J168)*$M168*1000</f>
        <v/>
      </c>
    </row>
    <row r="170" ht="15" customHeight="1" s="106">
      <c r="A170" s="144" t="inlineStr">
        <is>
          <t>Build Your Own   |   PP-BYO   |   costed on the dearest common build (Protein+ Pro + Pesto)</t>
        </is>
      </c>
      <c r="B170" s="110" t="n"/>
      <c r="C170" s="110" t="n"/>
      <c r="D170" s="110" t="n"/>
      <c r="E170" s="110" t="n"/>
      <c r="F170" s="110" t="n"/>
      <c r="G170" s="110" t="n"/>
      <c r="H170" s="110" t="n"/>
      <c r="I170" s="110" t="n"/>
      <c r="J170" s="110" t="n"/>
      <c r="K170" s="110" t="n"/>
      <c r="L170" s="110" t="n"/>
      <c r="M170" s="110" t="n"/>
      <c r="N170" s="111" t="n"/>
    </row>
    <row r="171" ht="15" customHeight="1" s="106">
      <c r="A171" s="138" t="inlineStr">
        <is>
          <t>PP-BYO</t>
        </is>
      </c>
      <c r="B171" s="138" t="inlineStr">
        <is>
          <t>Build Your Own</t>
        </is>
      </c>
      <c r="C171" s="138" t="inlineStr">
        <is>
          <t>Core - Signature</t>
        </is>
      </c>
      <c r="D171" s="139" t="inlineStr">
        <is>
          <t>Pasta</t>
        </is>
      </c>
      <c r="E171" s="134" t="inlineStr">
        <is>
          <t>PP-DOUGH-PROTEIN</t>
        </is>
      </c>
      <c r="F171" s="113" t="inlineStr">
        <is>
          <t>Protein+ Pro - dried weight (dearest formula)</t>
        </is>
      </c>
      <c r="G171" s="147" t="n">
        <v>111</v>
      </c>
      <c r="H171" s="164" t="inlineStr">
        <is>
          <t>g</t>
        </is>
      </c>
      <c r="I171" s="150">
        <f>IFERROR(INDEX('04 SKU Master'!$AM$5:$AM$165,MATCH($E171,'04 SKU Master'!$A$5:$A$165,0)),IFERROR(INDEX('05 Packaging Master'!$AM$5:$AM$50,MATCH($E171,'05 Packaging Master'!$A$5:$A$50,0)),IFERROR(INDEX('09 Cost Index'!$C$5:$C$24,MATCH($E171,'09 Cost Index'!$A$5:$A$24,0)),"")))</f>
        <v/>
      </c>
      <c r="J171" s="153">
        <f>'01 Control'!$C$7</f>
        <v/>
      </c>
      <c r="K171" s="150">
        <f>IF($I171="","",$G171*$I171*(1+$J171))</f>
        <v/>
      </c>
      <c r="L171" s="177">
        <f>IF(ISNUMBER(MATCH($E171,'09 Cost Index'!$A$5:$A$24,0)),"09 Cost Index",IF(ISNUMBER(MATCH($E171,'05 Packaging Master'!$A$5:$A$46,0)),"05 Packaging Master",IF(ISNUMBER(MATCH($E171,'04 SKU Master'!$A$5:$A$165,0)),"04 SKU Master","NOT FOUND")))</f>
        <v/>
      </c>
      <c r="M171" s="178">
        <f>IFERROR(INDEX('12 Final Menu'!$U$5:$U$200,MATCH($A171,'12 Final Menu'!$A$5:$A$200,0)),0)</f>
        <v/>
      </c>
      <c r="N171" s="165">
        <f>$G171*(1+$J171)*$M171*1000</f>
        <v/>
      </c>
    </row>
    <row r="172" ht="15" customHeight="1" s="106">
      <c r="A172" s="138" t="inlineStr">
        <is>
          <t>PP-BYO</t>
        </is>
      </c>
      <c r="B172" s="138" t="inlineStr">
        <is>
          <t>Build Your Own</t>
        </is>
      </c>
      <c r="C172" s="138" t="inlineStr">
        <is>
          <t>Core - Signature</t>
        </is>
      </c>
      <c r="D172" s="139" t="inlineStr">
        <is>
          <t>Sauce</t>
        </is>
      </c>
      <c r="E172" s="134" t="inlineStr">
        <is>
          <t>PP-SAUCE-PES</t>
        </is>
      </c>
      <c r="F172" s="113" t="inlineStr">
        <is>
          <t>Basil Pesto (dearest sauce)</t>
        </is>
      </c>
      <c r="G172" s="147" t="n">
        <v>70</v>
      </c>
      <c r="H172" s="164" t="inlineStr">
        <is>
          <t>g</t>
        </is>
      </c>
      <c r="I172" s="150">
        <f>IFERROR(INDEX('04 SKU Master'!$AM$5:$AM$165,MATCH($E172,'04 SKU Master'!$A$5:$A$165,0)),IFERROR(INDEX('05 Packaging Master'!$AM$5:$AM$50,MATCH($E172,'05 Packaging Master'!$A$5:$A$50,0)),IFERROR(INDEX('09 Cost Index'!$C$5:$C$24,MATCH($E172,'09 Cost Index'!$A$5:$A$24,0)),"")))</f>
        <v/>
      </c>
      <c r="J172" s="153">
        <f>'01 Control'!$C$7</f>
        <v/>
      </c>
      <c r="K172" s="150">
        <f>IF($I172="","",$G172*$I172*(1+$J172))</f>
        <v/>
      </c>
      <c r="L172" s="177">
        <f>IF(ISNUMBER(MATCH($E172,'09 Cost Index'!$A$5:$A$24,0)),"09 Cost Index",IF(ISNUMBER(MATCH($E172,'05 Packaging Master'!$A$5:$A$46,0)),"05 Packaging Master",IF(ISNUMBER(MATCH($E172,'04 SKU Master'!$A$5:$A$165,0)),"04 SKU Master","NOT FOUND")))</f>
        <v/>
      </c>
      <c r="M172" s="178">
        <f>IFERROR(INDEX('12 Final Menu'!$U$5:$U$200,MATCH($A172,'12 Final Menu'!$A$5:$A$200,0)),0)</f>
        <v/>
      </c>
      <c r="N172" s="165">
        <f>$G172*(1+$J172)*$M172*1000</f>
        <v/>
      </c>
    </row>
    <row r="173" ht="15" customHeight="1" s="106">
      <c r="A173" s="138" t="inlineStr">
        <is>
          <t>PP-BYO</t>
        </is>
      </c>
      <c r="B173" s="138" t="inlineStr">
        <is>
          <t>Build Your Own</t>
        </is>
      </c>
      <c r="C173" s="138" t="inlineStr">
        <is>
          <t>Core - Signature</t>
        </is>
      </c>
      <c r="D173" s="139" t="inlineStr">
        <is>
          <t>Finish</t>
        </is>
      </c>
      <c r="E173" s="134" t="inlineStr">
        <is>
          <t>PP-PARM</t>
        </is>
      </c>
      <c r="F173" s="113" t="inlineStr">
        <is>
          <t>Grated hard cheese</t>
        </is>
      </c>
      <c r="G173" s="147" t="n">
        <v>10</v>
      </c>
      <c r="H173" s="164" t="inlineStr">
        <is>
          <t>g</t>
        </is>
      </c>
      <c r="I173" s="150">
        <f>IFERROR(INDEX('04 SKU Master'!$AM$5:$AM$165,MATCH($E173,'04 SKU Master'!$A$5:$A$165,0)),IFERROR(INDEX('05 Packaging Master'!$AM$5:$AM$50,MATCH($E173,'05 Packaging Master'!$A$5:$A$50,0)),IFERROR(INDEX('09 Cost Index'!$C$5:$C$24,MATCH($E173,'09 Cost Index'!$A$5:$A$24,0)),"")))</f>
        <v/>
      </c>
      <c r="J173" s="153">
        <f>'01 Control'!$C$7</f>
        <v/>
      </c>
      <c r="K173" s="150">
        <f>IF($I173="","",$G173*$I173*(1+$J173))</f>
        <v/>
      </c>
      <c r="L173" s="177">
        <f>IF(ISNUMBER(MATCH($E173,'09 Cost Index'!$A$5:$A$24,0)),"09 Cost Index",IF(ISNUMBER(MATCH($E173,'05 Packaging Master'!$A$5:$A$46,0)),"05 Packaging Master",IF(ISNUMBER(MATCH($E173,'04 SKU Master'!$A$5:$A$165,0)),"04 SKU Master","NOT FOUND")))</f>
        <v/>
      </c>
      <c r="M173" s="178">
        <f>IFERROR(INDEX('12 Final Menu'!$U$5:$U$200,MATCH($A173,'12 Final Menu'!$A$5:$A$200,0)),0)</f>
        <v/>
      </c>
      <c r="N173" s="165">
        <f>$G173*(1+$J173)*$M173*1000</f>
        <v/>
      </c>
    </row>
    <row r="174" ht="15" customHeight="1" s="106">
      <c r="A174" s="138" t="inlineStr">
        <is>
          <t>PP-BYO</t>
        </is>
      </c>
      <c r="B174" s="138" t="inlineStr">
        <is>
          <t>Build Your Own</t>
        </is>
      </c>
      <c r="C174" s="138" t="inlineStr">
        <is>
          <t>Core - Signature</t>
        </is>
      </c>
      <c r="D174" s="139" t="inlineStr">
        <is>
          <t>Packaging</t>
        </is>
      </c>
      <c r="E174" s="134" t="inlineStr">
        <is>
          <t>PP-PACK-TUB</t>
        </is>
      </c>
      <c r="F174" s="113" t="inlineStr">
        <is>
          <t>Takeaway pasta tub</t>
        </is>
      </c>
      <c r="G174" s="147" t="n">
        <v>1</v>
      </c>
      <c r="H174" s="164" t="inlineStr">
        <is>
          <t>ea</t>
        </is>
      </c>
      <c r="I174" s="150">
        <f>IFERROR(INDEX('04 SKU Master'!$AM$5:$AM$165,MATCH($E174,'04 SKU Master'!$A$5:$A$165,0)),IFERROR(INDEX('05 Packaging Master'!$AM$5:$AM$50,MATCH($E174,'05 Packaging Master'!$A$5:$A$50,0)),IFERROR(INDEX('09 Cost Index'!$C$5:$C$24,MATCH($E174,'09 Cost Index'!$A$5:$A$24,0)),"")))</f>
        <v/>
      </c>
      <c r="J174" s="153">
        <f>'01 Control'!$C$7</f>
        <v/>
      </c>
      <c r="K174" s="150">
        <f>IF($I174="","",$G174*$I174*(1+$J174))</f>
        <v/>
      </c>
      <c r="L174" s="177">
        <f>IF(ISNUMBER(MATCH($E174,'09 Cost Index'!$A$5:$A$24,0)),"09 Cost Index",IF(ISNUMBER(MATCH($E174,'05 Packaging Master'!$A$5:$A$46,0)),"05 Packaging Master",IF(ISNUMBER(MATCH($E174,'04 SKU Master'!$A$5:$A$165,0)),"04 SKU Master","NOT FOUND")))</f>
        <v/>
      </c>
      <c r="M174" s="178">
        <f>IFERROR(INDEX('12 Final Menu'!$U$5:$U$200,MATCH($A174,'12 Final Menu'!$A$5:$A$200,0)),0)</f>
        <v/>
      </c>
      <c r="N174" s="165">
        <f>$G174*(1+$J174)*$M174*1000</f>
        <v/>
      </c>
    </row>
    <row r="175" ht="15" customHeight="1" s="106">
      <c r="A175" s="138" t="inlineStr">
        <is>
          <t>PP-BYO</t>
        </is>
      </c>
      <c r="B175" s="138" t="inlineStr">
        <is>
          <t>Build Your Own</t>
        </is>
      </c>
      <c r="C175" s="138" t="inlineStr">
        <is>
          <t>Core - Signature</t>
        </is>
      </c>
      <c r="D175" s="139" t="inlineStr">
        <is>
          <t>Packaging</t>
        </is>
      </c>
      <c r="E175" s="134" t="inlineStr">
        <is>
          <t>PP-PACK-LID</t>
        </is>
      </c>
      <c r="F175" s="113" t="inlineStr">
        <is>
          <t>Bowl lid</t>
        </is>
      </c>
      <c r="G175" s="147" t="n">
        <v>1</v>
      </c>
      <c r="H175" s="164" t="inlineStr">
        <is>
          <t>ea</t>
        </is>
      </c>
      <c r="I175" s="150">
        <f>IFERROR(INDEX('04 SKU Master'!$AM$5:$AM$165,MATCH($E175,'04 SKU Master'!$A$5:$A$165,0)),IFERROR(INDEX('05 Packaging Master'!$AM$5:$AM$50,MATCH($E175,'05 Packaging Master'!$A$5:$A$50,0)),IFERROR(INDEX('09 Cost Index'!$C$5:$C$24,MATCH($E175,'09 Cost Index'!$A$5:$A$24,0)),"")))</f>
        <v/>
      </c>
      <c r="J175" s="153">
        <f>'01 Control'!$C$7</f>
        <v/>
      </c>
      <c r="K175" s="150">
        <f>IF($I175="","",$G175*$I175*(1+$J175))</f>
        <v/>
      </c>
      <c r="L175" s="177">
        <f>IF(ISNUMBER(MATCH($E175,'09 Cost Index'!$A$5:$A$24,0)),"09 Cost Index",IF(ISNUMBER(MATCH($E175,'05 Packaging Master'!$A$5:$A$46,0)),"05 Packaging Master",IF(ISNUMBER(MATCH($E175,'04 SKU Master'!$A$5:$A$165,0)),"04 SKU Master","NOT FOUND")))</f>
        <v/>
      </c>
      <c r="M175" s="178">
        <f>IFERROR(INDEX('12 Final Menu'!$U$5:$U$200,MATCH($A175,'12 Final Menu'!$A$5:$A$200,0)),0)</f>
        <v/>
      </c>
      <c r="N175" s="165">
        <f>$G175*(1+$J175)*$M175*1000</f>
        <v/>
      </c>
    </row>
    <row r="176" ht="15" customHeight="1" s="106">
      <c r="A176" s="138" t="inlineStr">
        <is>
          <t>PP-BYO</t>
        </is>
      </c>
      <c r="B176" s="138" t="inlineStr">
        <is>
          <t>Build Your Own</t>
        </is>
      </c>
      <c r="C176" s="138" t="inlineStr">
        <is>
          <t>Core - Signature</t>
        </is>
      </c>
      <c r="D176" s="139" t="inlineStr">
        <is>
          <t>Packaging</t>
        </is>
      </c>
      <c r="E176" s="134" t="inlineStr">
        <is>
          <t>PP-PACK-CUTLERY</t>
        </is>
      </c>
      <c r="F176" s="113" t="inlineStr">
        <is>
          <t>Cutlery set</t>
        </is>
      </c>
      <c r="G176" s="147" t="n">
        <v>1</v>
      </c>
      <c r="H176" s="164" t="inlineStr">
        <is>
          <t>ea</t>
        </is>
      </c>
      <c r="I176" s="150">
        <f>IFERROR(INDEX('04 SKU Master'!$AM$5:$AM$165,MATCH($E176,'04 SKU Master'!$A$5:$A$165,0)),IFERROR(INDEX('05 Packaging Master'!$AM$5:$AM$50,MATCH($E176,'05 Packaging Master'!$A$5:$A$50,0)),IFERROR(INDEX('09 Cost Index'!$C$5:$C$24,MATCH($E176,'09 Cost Index'!$A$5:$A$24,0)),"")))</f>
        <v/>
      </c>
      <c r="J176" s="153">
        <f>'01 Control'!$C$7</f>
        <v/>
      </c>
      <c r="K176" s="150">
        <f>IF($I176="","",$G176*$I176*(1+$J176))</f>
        <v/>
      </c>
      <c r="L176" s="177">
        <f>IF(ISNUMBER(MATCH($E176,'09 Cost Index'!$A$5:$A$24,0)),"09 Cost Index",IF(ISNUMBER(MATCH($E176,'05 Packaging Master'!$A$5:$A$46,0)),"05 Packaging Master",IF(ISNUMBER(MATCH($E176,'04 SKU Master'!$A$5:$A$165,0)),"04 SKU Master","NOT FOUND")))</f>
        <v/>
      </c>
      <c r="M176" s="178">
        <f>IFERROR(INDEX('12 Final Menu'!$U$5:$U$200,MATCH($A176,'12 Final Menu'!$A$5:$A$200,0)),0)</f>
        <v/>
      </c>
      <c r="N176" s="165">
        <f>$G176*(1+$J176)*$M176*1000</f>
        <v/>
      </c>
    </row>
    <row r="177" ht="15" customHeight="1" s="106">
      <c r="A177" s="138" t="inlineStr">
        <is>
          <t>PP-BYO</t>
        </is>
      </c>
      <c r="B177" s="138" t="inlineStr">
        <is>
          <t>Build Your Own</t>
        </is>
      </c>
      <c r="C177" s="138" t="inlineStr">
        <is>
          <t>Core - Signature</t>
        </is>
      </c>
      <c r="D177" s="139" t="inlineStr">
        <is>
          <t>Packaging</t>
        </is>
      </c>
      <c r="E177" s="134" t="inlineStr">
        <is>
          <t>PP-PACK-NAPKIN</t>
        </is>
      </c>
      <c r="F177" s="113" t="inlineStr">
        <is>
          <t>Branded napkin</t>
        </is>
      </c>
      <c r="G177" s="147" t="n">
        <v>1</v>
      </c>
      <c r="H177" s="164" t="inlineStr">
        <is>
          <t>ea</t>
        </is>
      </c>
      <c r="I177" s="150">
        <f>IFERROR(INDEX('04 SKU Master'!$AM$5:$AM$165,MATCH($E177,'04 SKU Master'!$A$5:$A$165,0)),IFERROR(INDEX('05 Packaging Master'!$AM$5:$AM$50,MATCH($E177,'05 Packaging Master'!$A$5:$A$50,0)),IFERROR(INDEX('09 Cost Index'!$C$5:$C$24,MATCH($E177,'09 Cost Index'!$A$5:$A$24,0)),"")))</f>
        <v/>
      </c>
      <c r="J177" s="153">
        <f>'01 Control'!$C$7</f>
        <v/>
      </c>
      <c r="K177" s="150">
        <f>IF($I177="","",$G177*$I177*(1+$J177))</f>
        <v/>
      </c>
      <c r="L177" s="177">
        <f>IF(ISNUMBER(MATCH($E177,'09 Cost Index'!$A$5:$A$24,0)),"09 Cost Index",IF(ISNUMBER(MATCH($E177,'05 Packaging Master'!$A$5:$A$46,0)),"05 Packaging Master",IF(ISNUMBER(MATCH($E177,'04 SKU Master'!$A$5:$A$165,0)),"04 SKU Master","NOT FOUND")))</f>
        <v/>
      </c>
      <c r="M177" s="178">
        <f>IFERROR(INDEX('12 Final Menu'!$U$5:$U$200,MATCH($A177,'12 Final Menu'!$A$5:$A$200,0)),0)</f>
        <v/>
      </c>
      <c r="N177" s="165">
        <f>$G177*(1+$J177)*$M177*1000</f>
        <v/>
      </c>
    </row>
    <row r="179" ht="15" customHeight="1" s="106">
      <c r="A179" s="179" t="inlineStr">
        <is>
          <t>Rooibos Slushee   |   PP-BEV-SLUSH-ROOIBOS   |   board price R20.00</t>
        </is>
      </c>
      <c r="B179" s="110" t="n"/>
      <c r="C179" s="110" t="n"/>
      <c r="D179" s="110" t="n"/>
      <c r="E179" s="110" t="n"/>
      <c r="F179" s="110" t="n"/>
      <c r="G179" s="110" t="n"/>
      <c r="H179" s="110" t="n"/>
      <c r="I179" s="110" t="n"/>
      <c r="J179" s="110" t="n"/>
      <c r="K179" s="110" t="n"/>
      <c r="L179" s="110" t="n"/>
      <c r="M179" s="110" t="n"/>
      <c r="N179" s="111" t="n"/>
    </row>
    <row r="180" ht="15" customHeight="1" s="106">
      <c r="A180" s="138" t="inlineStr">
        <is>
          <t>PP-BEV-SLUSH-ROOIBOS</t>
        </is>
      </c>
      <c r="B180" s="138" t="inlineStr">
        <is>
          <t>Rooibos Slushee</t>
        </is>
      </c>
      <c r="C180" s="138" t="inlineStr">
        <is>
          <t>Beverage</t>
        </is>
      </c>
      <c r="D180" s="139" t="inlineStr">
        <is>
          <t>Ingredient</t>
        </is>
      </c>
      <c r="E180" s="134" t="inlineStr">
        <is>
          <t>PP-BEV-SYR-ROOIBOS</t>
        </is>
      </c>
      <c r="F180" s="113" t="inlineStr">
        <is>
          <t>Rooibos concentrate</t>
        </is>
      </c>
      <c r="G180" s="147" t="n">
        <v>80</v>
      </c>
      <c r="H180" s="164" t="inlineStr">
        <is>
          <t>ml</t>
        </is>
      </c>
      <c r="I180" s="150">
        <f>IFERROR(INDEX('04 SKU Master'!$AM$5:$AM$165,MATCH($E180,'04 SKU Master'!$A$5:$A$165,0)),IFERROR(INDEX('05 Packaging Master'!$AM$5:$AM$50,MATCH($E180,'05 Packaging Master'!$A$5:$A$50,0)),IFERROR(INDEX('09 Cost Index'!$C$5:$C$24,MATCH($E180,'09 Cost Index'!$A$5:$A$24,0)),"")))</f>
        <v/>
      </c>
      <c r="J180" s="153">
        <f>'01 Control'!$C$7</f>
        <v/>
      </c>
      <c r="K180" s="150">
        <f>IF($I180="","",$G180*$I180*(1+$J180))</f>
        <v/>
      </c>
      <c r="L180" s="177">
        <f>IF(ISNUMBER(MATCH($E180,'09 Cost Index'!$A$5:$A$24,0)),"09 Cost Index",IF(ISNUMBER(MATCH($E180,'05 Packaging Master'!$A$5:$A$46,0)),"05 Packaging Master",IF(ISNUMBER(MATCH($E180,'04 SKU Master'!$A$5:$A$165,0)),"04 SKU Master","NOT FOUND")))</f>
        <v/>
      </c>
      <c r="M180" s="178">
        <f>IFERROR(INDEX('12 Final Menu'!$U$5:$U$200,MATCH($A180,'12 Final Menu'!$A$5:$A$200,0)),0)</f>
        <v/>
      </c>
      <c r="N180" s="165">
        <f>$G180*(1+$J180)*$M180*1000</f>
        <v/>
      </c>
    </row>
    <row r="181" ht="15" customHeight="1" s="106">
      <c r="A181" s="138" t="inlineStr">
        <is>
          <t>PP-BEV-SLUSH-ROOIBOS</t>
        </is>
      </c>
      <c r="B181" s="138" t="inlineStr">
        <is>
          <t>Rooibos Slushee</t>
        </is>
      </c>
      <c r="C181" s="138" t="inlineStr">
        <is>
          <t>Beverage</t>
        </is>
      </c>
      <c r="D181" s="139" t="inlineStr">
        <is>
          <t>Ingredient</t>
        </is>
      </c>
      <c r="E181" s="134" t="inlineStr">
        <is>
          <t>PP-BEV-WATER-FILTERED</t>
        </is>
      </c>
      <c r="F181" s="113" t="inlineStr">
        <is>
          <t>Filtered water</t>
        </is>
      </c>
      <c r="G181" s="147" t="n">
        <v>320</v>
      </c>
      <c r="H181" s="164" t="inlineStr">
        <is>
          <t>ml</t>
        </is>
      </c>
      <c r="I181" s="150">
        <f>IFERROR(INDEX('04 SKU Master'!$AM$5:$AM$165,MATCH($E181,'04 SKU Master'!$A$5:$A$165,0)),IFERROR(INDEX('05 Packaging Master'!$AM$5:$AM$50,MATCH($E181,'05 Packaging Master'!$A$5:$A$50,0)),IFERROR(INDEX('09 Cost Index'!$C$5:$C$24,MATCH($E181,'09 Cost Index'!$A$5:$A$24,0)),"")))</f>
        <v/>
      </c>
      <c r="J181" s="153">
        <f>'01 Control'!$C$7</f>
        <v/>
      </c>
      <c r="K181" s="150">
        <f>IF($I181="","",$G181*$I181*(1+$J181))</f>
        <v/>
      </c>
      <c r="L181" s="177">
        <f>IF(ISNUMBER(MATCH($E181,'09 Cost Index'!$A$5:$A$24,0)),"09 Cost Index",IF(ISNUMBER(MATCH($E181,'05 Packaging Master'!$A$5:$A$46,0)),"05 Packaging Master",IF(ISNUMBER(MATCH($E181,'04 SKU Master'!$A$5:$A$165,0)),"04 SKU Master","NOT FOUND")))</f>
        <v/>
      </c>
      <c r="M181" s="178">
        <f>IFERROR(INDEX('12 Final Menu'!$U$5:$U$200,MATCH($A181,'12 Final Menu'!$A$5:$A$200,0)),0)</f>
        <v/>
      </c>
      <c r="N181" s="165">
        <f>$G181*(1+$J181)*$M181*1000</f>
        <v/>
      </c>
    </row>
    <row r="182" ht="15" customHeight="1" s="106">
      <c r="A182" s="138" t="inlineStr">
        <is>
          <t>PP-BEV-SLUSH-ROOIBOS</t>
        </is>
      </c>
      <c r="B182" s="138" t="inlineStr">
        <is>
          <t>Rooibos Slushee</t>
        </is>
      </c>
      <c r="C182" s="138" t="inlineStr">
        <is>
          <t>Beverage</t>
        </is>
      </c>
      <c r="D182" s="139" t="inlineStr">
        <is>
          <t>Packaging</t>
        </is>
      </c>
      <c r="E182" s="134" t="inlineStr">
        <is>
          <t>PP-PACK-CUP-SLUSH</t>
        </is>
      </c>
      <c r="F182" s="113" t="inlineStr">
        <is>
          <t>Slushee cup</t>
        </is>
      </c>
      <c r="G182" s="147" t="n">
        <v>1</v>
      </c>
      <c r="H182" s="164" t="inlineStr">
        <is>
          <t>ea</t>
        </is>
      </c>
      <c r="I182" s="150">
        <f>IFERROR(INDEX('04 SKU Master'!$AM$5:$AM$165,MATCH($E182,'04 SKU Master'!$A$5:$A$165,0)),IFERROR(INDEX('05 Packaging Master'!$AM$5:$AM$50,MATCH($E182,'05 Packaging Master'!$A$5:$A$50,0)),IFERROR(INDEX('09 Cost Index'!$C$5:$C$24,MATCH($E182,'09 Cost Index'!$A$5:$A$24,0)),"")))</f>
        <v/>
      </c>
      <c r="J182" s="153">
        <f>'01 Control'!$C$7</f>
        <v/>
      </c>
      <c r="K182" s="150">
        <f>IF($I182="","",$G182*$I182*(1+$J182))</f>
        <v/>
      </c>
      <c r="L182" s="177">
        <f>IF(ISNUMBER(MATCH($E182,'09 Cost Index'!$A$5:$A$24,0)),"09 Cost Index",IF(ISNUMBER(MATCH($E182,'05 Packaging Master'!$A$5:$A$46,0)),"05 Packaging Master",IF(ISNUMBER(MATCH($E182,'04 SKU Master'!$A$5:$A$165,0)),"04 SKU Master","NOT FOUND")))</f>
        <v/>
      </c>
      <c r="M182" s="178">
        <f>IFERROR(INDEX('12 Final Menu'!$U$5:$U$200,MATCH($A182,'12 Final Menu'!$A$5:$A$200,0)),0)</f>
        <v/>
      </c>
      <c r="N182" s="165">
        <f>$G182*(1+$J182)*$M182*1000</f>
        <v/>
      </c>
    </row>
    <row r="183" ht="15" customHeight="1" s="106">
      <c r="A183" s="138" t="inlineStr">
        <is>
          <t>PP-BEV-SLUSH-ROOIBOS</t>
        </is>
      </c>
      <c r="B183" s="138" t="inlineStr">
        <is>
          <t>Rooibos Slushee</t>
        </is>
      </c>
      <c r="C183" s="138" t="inlineStr">
        <is>
          <t>Beverage</t>
        </is>
      </c>
      <c r="D183" s="139" t="inlineStr">
        <is>
          <t>Packaging</t>
        </is>
      </c>
      <c r="E183" s="134" t="inlineStr">
        <is>
          <t>PP-PACK-LID-DOME</t>
        </is>
      </c>
      <c r="F183" s="113" t="inlineStr">
        <is>
          <t>Dome lid</t>
        </is>
      </c>
      <c r="G183" s="147" t="n">
        <v>1</v>
      </c>
      <c r="H183" s="164" t="inlineStr">
        <is>
          <t>ea</t>
        </is>
      </c>
      <c r="I183" s="150">
        <f>IFERROR(INDEX('04 SKU Master'!$AM$5:$AM$165,MATCH($E183,'04 SKU Master'!$A$5:$A$165,0)),IFERROR(INDEX('05 Packaging Master'!$AM$5:$AM$50,MATCH($E183,'05 Packaging Master'!$A$5:$A$50,0)),IFERROR(INDEX('09 Cost Index'!$C$5:$C$24,MATCH($E183,'09 Cost Index'!$A$5:$A$24,0)),"")))</f>
        <v/>
      </c>
      <c r="J183" s="153">
        <f>'01 Control'!$C$7</f>
        <v/>
      </c>
      <c r="K183" s="150">
        <f>IF($I183="","",$G183*$I183*(1+$J183))</f>
        <v/>
      </c>
      <c r="L183" s="177">
        <f>IF(ISNUMBER(MATCH($E183,'09 Cost Index'!$A$5:$A$24,0)),"09 Cost Index",IF(ISNUMBER(MATCH($E183,'05 Packaging Master'!$A$5:$A$46,0)),"05 Packaging Master",IF(ISNUMBER(MATCH($E183,'04 SKU Master'!$A$5:$A$165,0)),"04 SKU Master","NOT FOUND")))</f>
        <v/>
      </c>
      <c r="M183" s="178">
        <f>IFERROR(INDEX('12 Final Menu'!$U$5:$U$200,MATCH($A183,'12 Final Menu'!$A$5:$A$200,0)),0)</f>
        <v/>
      </c>
      <c r="N183" s="165">
        <f>$G183*(1+$J183)*$M183*1000</f>
        <v/>
      </c>
    </row>
    <row r="184" ht="15" customHeight="1" s="106">
      <c r="A184" s="138" t="inlineStr">
        <is>
          <t>PP-BEV-SLUSH-ROOIBOS</t>
        </is>
      </c>
      <c r="B184" s="138" t="inlineStr">
        <is>
          <t>Rooibos Slushee</t>
        </is>
      </c>
      <c r="C184" s="138" t="inlineStr">
        <is>
          <t>Beverage</t>
        </is>
      </c>
      <c r="D184" s="139" t="inlineStr">
        <is>
          <t>Packaging</t>
        </is>
      </c>
      <c r="E184" s="134" t="inlineStr">
        <is>
          <t>PP-PACK-STRAW</t>
        </is>
      </c>
      <c r="F184" s="113" t="inlineStr">
        <is>
          <t>Straw</t>
        </is>
      </c>
      <c r="G184" s="147" t="n">
        <v>1</v>
      </c>
      <c r="H184" s="164" t="inlineStr">
        <is>
          <t>ea</t>
        </is>
      </c>
      <c r="I184" s="150">
        <f>IFERROR(INDEX('04 SKU Master'!$AM$5:$AM$165,MATCH($E184,'04 SKU Master'!$A$5:$A$165,0)),IFERROR(INDEX('05 Packaging Master'!$AM$5:$AM$50,MATCH($E184,'05 Packaging Master'!$A$5:$A$50,0)),IFERROR(INDEX('09 Cost Index'!$C$5:$C$24,MATCH($E184,'09 Cost Index'!$A$5:$A$24,0)),"")))</f>
        <v/>
      </c>
      <c r="J184" s="153">
        <f>'01 Control'!$C$7</f>
        <v/>
      </c>
      <c r="K184" s="150">
        <f>IF($I184="","",$G184*$I184*(1+$J184))</f>
        <v/>
      </c>
      <c r="L184" s="177">
        <f>IF(ISNUMBER(MATCH($E184,'09 Cost Index'!$A$5:$A$24,0)),"09 Cost Index",IF(ISNUMBER(MATCH($E184,'05 Packaging Master'!$A$5:$A$46,0)),"05 Packaging Master",IF(ISNUMBER(MATCH($E184,'04 SKU Master'!$A$5:$A$165,0)),"04 SKU Master","NOT FOUND")))</f>
        <v/>
      </c>
      <c r="M184" s="178">
        <f>IFERROR(INDEX('12 Final Menu'!$U$5:$U$200,MATCH($A184,'12 Final Menu'!$A$5:$A$200,0)),0)</f>
        <v/>
      </c>
      <c r="N184" s="165">
        <f>$G184*(1+$J184)*$M184*1000</f>
        <v/>
      </c>
    </row>
    <row r="186" ht="15" customHeight="1" s="106">
      <c r="A186" s="179" t="inlineStr">
        <is>
          <t>Lemonade Slushee   |   PP-BEV-SLUSH-LEMON   |   board price R18.00</t>
        </is>
      </c>
      <c r="B186" s="110" t="n"/>
      <c r="C186" s="110" t="n"/>
      <c r="D186" s="110" t="n"/>
      <c r="E186" s="110" t="n"/>
      <c r="F186" s="110" t="n"/>
      <c r="G186" s="110" t="n"/>
      <c r="H186" s="110" t="n"/>
      <c r="I186" s="110" t="n"/>
      <c r="J186" s="110" t="n"/>
      <c r="K186" s="110" t="n"/>
      <c r="L186" s="110" t="n"/>
      <c r="M186" s="110" t="n"/>
      <c r="N186" s="111" t="n"/>
    </row>
    <row r="187" ht="15" customHeight="1" s="106">
      <c r="A187" s="138" t="inlineStr">
        <is>
          <t>PP-BEV-SLUSH-LEMON</t>
        </is>
      </c>
      <c r="B187" s="138" t="inlineStr">
        <is>
          <t>Lemonade Slushee</t>
        </is>
      </c>
      <c r="C187" s="138" t="inlineStr">
        <is>
          <t>Beverage</t>
        </is>
      </c>
      <c r="D187" s="139" t="inlineStr">
        <is>
          <t>Ingredient</t>
        </is>
      </c>
      <c r="E187" s="134" t="inlineStr">
        <is>
          <t>PP-BEV-SYR-LEMON</t>
        </is>
      </c>
      <c r="F187" s="113" t="inlineStr">
        <is>
          <t>Lemonade concentrate</t>
        </is>
      </c>
      <c r="G187" s="147" t="n">
        <v>80</v>
      </c>
      <c r="H187" s="164" t="inlineStr">
        <is>
          <t>ml</t>
        </is>
      </c>
      <c r="I187" s="150">
        <f>IFERROR(INDEX('04 SKU Master'!$AM$5:$AM$165,MATCH($E187,'04 SKU Master'!$A$5:$A$165,0)),IFERROR(INDEX('05 Packaging Master'!$AM$5:$AM$50,MATCH($E187,'05 Packaging Master'!$A$5:$A$50,0)),IFERROR(INDEX('09 Cost Index'!$C$5:$C$24,MATCH($E187,'09 Cost Index'!$A$5:$A$24,0)),"")))</f>
        <v/>
      </c>
      <c r="J187" s="153">
        <f>'01 Control'!$C$7</f>
        <v/>
      </c>
      <c r="K187" s="150">
        <f>IF($I187="","",$G187*$I187*(1+$J187))</f>
        <v/>
      </c>
      <c r="L187" s="177">
        <f>IF(ISNUMBER(MATCH($E187,'09 Cost Index'!$A$5:$A$24,0)),"09 Cost Index",IF(ISNUMBER(MATCH($E187,'05 Packaging Master'!$A$5:$A$46,0)),"05 Packaging Master",IF(ISNUMBER(MATCH($E187,'04 SKU Master'!$A$5:$A$165,0)),"04 SKU Master","NOT FOUND")))</f>
        <v/>
      </c>
      <c r="M187" s="178">
        <f>IFERROR(INDEX('12 Final Menu'!$U$5:$U$200,MATCH($A187,'12 Final Menu'!$A$5:$A$200,0)),0)</f>
        <v/>
      </c>
      <c r="N187" s="165">
        <f>$G187*(1+$J187)*$M187*1000</f>
        <v/>
      </c>
    </row>
    <row r="188" ht="15" customHeight="1" s="106">
      <c r="A188" s="138" t="inlineStr">
        <is>
          <t>PP-BEV-SLUSH-LEMON</t>
        </is>
      </c>
      <c r="B188" s="138" t="inlineStr">
        <is>
          <t>Lemonade Slushee</t>
        </is>
      </c>
      <c r="C188" s="138" t="inlineStr">
        <is>
          <t>Beverage</t>
        </is>
      </c>
      <c r="D188" s="139" t="inlineStr">
        <is>
          <t>Ingredient</t>
        </is>
      </c>
      <c r="E188" s="134" t="inlineStr">
        <is>
          <t>PP-BEV-WATER-FILTERED</t>
        </is>
      </c>
      <c r="F188" s="113" t="inlineStr">
        <is>
          <t>Filtered water</t>
        </is>
      </c>
      <c r="G188" s="147" t="n">
        <v>320</v>
      </c>
      <c r="H188" s="164" t="inlineStr">
        <is>
          <t>ml</t>
        </is>
      </c>
      <c r="I188" s="150">
        <f>IFERROR(INDEX('04 SKU Master'!$AM$5:$AM$165,MATCH($E188,'04 SKU Master'!$A$5:$A$165,0)),IFERROR(INDEX('05 Packaging Master'!$AM$5:$AM$50,MATCH($E188,'05 Packaging Master'!$A$5:$A$50,0)),IFERROR(INDEX('09 Cost Index'!$C$5:$C$24,MATCH($E188,'09 Cost Index'!$A$5:$A$24,0)),"")))</f>
        <v/>
      </c>
      <c r="J188" s="153">
        <f>'01 Control'!$C$7</f>
        <v/>
      </c>
      <c r="K188" s="150">
        <f>IF($I188="","",$G188*$I188*(1+$J188))</f>
        <v/>
      </c>
      <c r="L188" s="177">
        <f>IF(ISNUMBER(MATCH($E188,'09 Cost Index'!$A$5:$A$24,0)),"09 Cost Index",IF(ISNUMBER(MATCH($E188,'05 Packaging Master'!$A$5:$A$46,0)),"05 Packaging Master",IF(ISNUMBER(MATCH($E188,'04 SKU Master'!$A$5:$A$165,0)),"04 SKU Master","NOT FOUND")))</f>
        <v/>
      </c>
      <c r="M188" s="178">
        <f>IFERROR(INDEX('12 Final Menu'!$U$5:$U$200,MATCH($A188,'12 Final Menu'!$A$5:$A$200,0)),0)</f>
        <v/>
      </c>
      <c r="N188" s="165">
        <f>$G188*(1+$J188)*$M188*1000</f>
        <v/>
      </c>
    </row>
    <row r="189" ht="15" customHeight="1" s="106">
      <c r="A189" s="138" t="inlineStr">
        <is>
          <t>PP-BEV-SLUSH-LEMON</t>
        </is>
      </c>
      <c r="B189" s="138" t="inlineStr">
        <is>
          <t>Lemonade Slushee</t>
        </is>
      </c>
      <c r="C189" s="138" t="inlineStr">
        <is>
          <t>Beverage</t>
        </is>
      </c>
      <c r="D189" s="139" t="inlineStr">
        <is>
          <t>Packaging</t>
        </is>
      </c>
      <c r="E189" s="134" t="inlineStr">
        <is>
          <t>PP-PACK-CUP-SLUSH</t>
        </is>
      </c>
      <c r="F189" s="113" t="inlineStr">
        <is>
          <t>Slushee cup</t>
        </is>
      </c>
      <c r="G189" s="147" t="n">
        <v>1</v>
      </c>
      <c r="H189" s="164" t="inlineStr">
        <is>
          <t>ea</t>
        </is>
      </c>
      <c r="I189" s="150">
        <f>IFERROR(INDEX('04 SKU Master'!$AM$5:$AM$165,MATCH($E189,'04 SKU Master'!$A$5:$A$165,0)),IFERROR(INDEX('05 Packaging Master'!$AM$5:$AM$50,MATCH($E189,'05 Packaging Master'!$A$5:$A$50,0)),IFERROR(INDEX('09 Cost Index'!$C$5:$C$24,MATCH($E189,'09 Cost Index'!$A$5:$A$24,0)),"")))</f>
        <v/>
      </c>
      <c r="J189" s="153">
        <f>'01 Control'!$C$7</f>
        <v/>
      </c>
      <c r="K189" s="150">
        <f>IF($I189="","",$G189*$I189*(1+$J189))</f>
        <v/>
      </c>
      <c r="L189" s="177">
        <f>IF(ISNUMBER(MATCH($E189,'09 Cost Index'!$A$5:$A$24,0)),"09 Cost Index",IF(ISNUMBER(MATCH($E189,'05 Packaging Master'!$A$5:$A$46,0)),"05 Packaging Master",IF(ISNUMBER(MATCH($E189,'04 SKU Master'!$A$5:$A$165,0)),"04 SKU Master","NOT FOUND")))</f>
        <v/>
      </c>
      <c r="M189" s="178">
        <f>IFERROR(INDEX('12 Final Menu'!$U$5:$U$200,MATCH($A189,'12 Final Menu'!$A$5:$A$200,0)),0)</f>
        <v/>
      </c>
      <c r="N189" s="165">
        <f>$G189*(1+$J189)*$M189*1000</f>
        <v/>
      </c>
    </row>
    <row r="190" ht="15" customHeight="1" s="106">
      <c r="A190" s="138" t="inlineStr">
        <is>
          <t>PP-BEV-SLUSH-LEMON</t>
        </is>
      </c>
      <c r="B190" s="138" t="inlineStr">
        <is>
          <t>Lemonade Slushee</t>
        </is>
      </c>
      <c r="C190" s="138" t="inlineStr">
        <is>
          <t>Beverage</t>
        </is>
      </c>
      <c r="D190" s="139" t="inlineStr">
        <is>
          <t>Packaging</t>
        </is>
      </c>
      <c r="E190" s="134" t="inlineStr">
        <is>
          <t>PP-PACK-LID-DOME</t>
        </is>
      </c>
      <c r="F190" s="113" t="inlineStr">
        <is>
          <t>Dome lid</t>
        </is>
      </c>
      <c r="G190" s="147" t="n">
        <v>1</v>
      </c>
      <c r="H190" s="164" t="inlineStr">
        <is>
          <t>ea</t>
        </is>
      </c>
      <c r="I190" s="150">
        <f>IFERROR(INDEX('04 SKU Master'!$AM$5:$AM$165,MATCH($E190,'04 SKU Master'!$A$5:$A$165,0)),IFERROR(INDEX('05 Packaging Master'!$AM$5:$AM$50,MATCH($E190,'05 Packaging Master'!$A$5:$A$50,0)),IFERROR(INDEX('09 Cost Index'!$C$5:$C$24,MATCH($E190,'09 Cost Index'!$A$5:$A$24,0)),"")))</f>
        <v/>
      </c>
      <c r="J190" s="153">
        <f>'01 Control'!$C$7</f>
        <v/>
      </c>
      <c r="K190" s="150">
        <f>IF($I190="","",$G190*$I190*(1+$J190))</f>
        <v/>
      </c>
      <c r="L190" s="177">
        <f>IF(ISNUMBER(MATCH($E190,'09 Cost Index'!$A$5:$A$24,0)),"09 Cost Index",IF(ISNUMBER(MATCH($E190,'05 Packaging Master'!$A$5:$A$46,0)),"05 Packaging Master",IF(ISNUMBER(MATCH($E190,'04 SKU Master'!$A$5:$A$165,0)),"04 SKU Master","NOT FOUND")))</f>
        <v/>
      </c>
      <c r="M190" s="178">
        <f>IFERROR(INDEX('12 Final Menu'!$U$5:$U$200,MATCH($A190,'12 Final Menu'!$A$5:$A$200,0)),0)</f>
        <v/>
      </c>
      <c r="N190" s="165">
        <f>$G190*(1+$J190)*$M190*1000</f>
        <v/>
      </c>
    </row>
    <row r="191" ht="15" customHeight="1" s="106">
      <c r="A191" s="138" t="inlineStr">
        <is>
          <t>PP-BEV-SLUSH-LEMON</t>
        </is>
      </c>
      <c r="B191" s="138" t="inlineStr">
        <is>
          <t>Lemonade Slushee</t>
        </is>
      </c>
      <c r="C191" s="138" t="inlineStr">
        <is>
          <t>Beverage</t>
        </is>
      </c>
      <c r="D191" s="139" t="inlineStr">
        <is>
          <t>Packaging</t>
        </is>
      </c>
      <c r="E191" s="134" t="inlineStr">
        <is>
          <t>PP-PACK-STRAW</t>
        </is>
      </c>
      <c r="F191" s="113" t="inlineStr">
        <is>
          <t>Straw</t>
        </is>
      </c>
      <c r="G191" s="147" t="n">
        <v>1</v>
      </c>
      <c r="H191" s="164" t="inlineStr">
        <is>
          <t>ea</t>
        </is>
      </c>
      <c r="I191" s="150">
        <f>IFERROR(INDEX('04 SKU Master'!$AM$5:$AM$165,MATCH($E191,'04 SKU Master'!$A$5:$A$165,0)),IFERROR(INDEX('05 Packaging Master'!$AM$5:$AM$50,MATCH($E191,'05 Packaging Master'!$A$5:$A$50,0)),IFERROR(INDEX('09 Cost Index'!$C$5:$C$24,MATCH($E191,'09 Cost Index'!$A$5:$A$24,0)),"")))</f>
        <v/>
      </c>
      <c r="J191" s="153">
        <f>'01 Control'!$C$7</f>
        <v/>
      </c>
      <c r="K191" s="150">
        <f>IF($I191="","",$G191*$I191*(1+$J191))</f>
        <v/>
      </c>
      <c r="L191" s="177">
        <f>IF(ISNUMBER(MATCH($E191,'09 Cost Index'!$A$5:$A$24,0)),"09 Cost Index",IF(ISNUMBER(MATCH($E191,'05 Packaging Master'!$A$5:$A$46,0)),"05 Packaging Master",IF(ISNUMBER(MATCH($E191,'04 SKU Master'!$A$5:$A$165,0)),"04 SKU Master","NOT FOUND")))</f>
        <v/>
      </c>
      <c r="M191" s="178">
        <f>IFERROR(INDEX('12 Final Menu'!$U$5:$U$200,MATCH($A191,'12 Final Menu'!$A$5:$A$200,0)),0)</f>
        <v/>
      </c>
      <c r="N191" s="165">
        <f>$G191*(1+$J191)*$M191*1000</f>
        <v/>
      </c>
    </row>
    <row r="193" ht="15" customHeight="1" s="106">
      <c r="A193" s="179" t="inlineStr">
        <is>
          <t>Cream Soda Slushee   |   PP-BEV-SLUSH-CREAM   |   board price R20.00</t>
        </is>
      </c>
      <c r="B193" s="110" t="n"/>
      <c r="C193" s="110" t="n"/>
      <c r="D193" s="110" t="n"/>
      <c r="E193" s="110" t="n"/>
      <c r="F193" s="110" t="n"/>
      <c r="G193" s="110" t="n"/>
      <c r="H193" s="110" t="n"/>
      <c r="I193" s="110" t="n"/>
      <c r="J193" s="110" t="n"/>
      <c r="K193" s="110" t="n"/>
      <c r="L193" s="110" t="n"/>
      <c r="M193" s="110" t="n"/>
      <c r="N193" s="111" t="n"/>
    </row>
    <row r="194" ht="15" customHeight="1" s="106">
      <c r="A194" s="138" t="inlineStr">
        <is>
          <t>PP-BEV-SLUSH-CREAM</t>
        </is>
      </c>
      <c r="B194" s="138" t="inlineStr">
        <is>
          <t>Cream Soda Slushee</t>
        </is>
      </c>
      <c r="C194" s="138" t="inlineStr">
        <is>
          <t>Beverage</t>
        </is>
      </c>
      <c r="D194" s="139" t="inlineStr">
        <is>
          <t>Ingredient</t>
        </is>
      </c>
      <c r="E194" s="134" t="inlineStr">
        <is>
          <t>PP-BEV-SYR-CREAM</t>
        </is>
      </c>
      <c r="F194" s="113" t="inlineStr">
        <is>
          <t>Cream soda concentrate</t>
        </is>
      </c>
      <c r="G194" s="147" t="n">
        <v>80</v>
      </c>
      <c r="H194" s="164" t="inlineStr">
        <is>
          <t>ml</t>
        </is>
      </c>
      <c r="I194" s="150">
        <f>IFERROR(INDEX('04 SKU Master'!$AM$5:$AM$165,MATCH($E194,'04 SKU Master'!$A$5:$A$165,0)),IFERROR(INDEX('05 Packaging Master'!$AM$5:$AM$50,MATCH($E194,'05 Packaging Master'!$A$5:$A$50,0)),IFERROR(INDEX('09 Cost Index'!$C$5:$C$24,MATCH($E194,'09 Cost Index'!$A$5:$A$24,0)),"")))</f>
        <v/>
      </c>
      <c r="J194" s="153">
        <f>'01 Control'!$C$7</f>
        <v/>
      </c>
      <c r="K194" s="150">
        <f>IF($I194="","",$G194*$I194*(1+$J194))</f>
        <v/>
      </c>
      <c r="L194" s="177">
        <f>IF(ISNUMBER(MATCH($E194,'09 Cost Index'!$A$5:$A$24,0)),"09 Cost Index",IF(ISNUMBER(MATCH($E194,'05 Packaging Master'!$A$5:$A$46,0)),"05 Packaging Master",IF(ISNUMBER(MATCH($E194,'04 SKU Master'!$A$5:$A$165,0)),"04 SKU Master","NOT FOUND")))</f>
        <v/>
      </c>
      <c r="M194" s="178">
        <f>IFERROR(INDEX('12 Final Menu'!$U$5:$U$200,MATCH($A194,'12 Final Menu'!$A$5:$A$200,0)),0)</f>
        <v/>
      </c>
      <c r="N194" s="165">
        <f>$G194*(1+$J194)*$M194*1000</f>
        <v/>
      </c>
    </row>
    <row r="195" ht="15" customHeight="1" s="106">
      <c r="A195" s="138" t="inlineStr">
        <is>
          <t>PP-BEV-SLUSH-CREAM</t>
        </is>
      </c>
      <c r="B195" s="138" t="inlineStr">
        <is>
          <t>Cream Soda Slushee</t>
        </is>
      </c>
      <c r="C195" s="138" t="inlineStr">
        <is>
          <t>Beverage</t>
        </is>
      </c>
      <c r="D195" s="139" t="inlineStr">
        <is>
          <t>Ingredient</t>
        </is>
      </c>
      <c r="E195" s="134" t="inlineStr">
        <is>
          <t>PP-BEV-WATER-FILTERED</t>
        </is>
      </c>
      <c r="F195" s="113" t="inlineStr">
        <is>
          <t>Filtered water</t>
        </is>
      </c>
      <c r="G195" s="147" t="n">
        <v>320</v>
      </c>
      <c r="H195" s="164" t="inlineStr">
        <is>
          <t>ml</t>
        </is>
      </c>
      <c r="I195" s="150">
        <f>IFERROR(INDEX('04 SKU Master'!$AM$5:$AM$165,MATCH($E195,'04 SKU Master'!$A$5:$A$165,0)),IFERROR(INDEX('05 Packaging Master'!$AM$5:$AM$50,MATCH($E195,'05 Packaging Master'!$A$5:$A$50,0)),IFERROR(INDEX('09 Cost Index'!$C$5:$C$24,MATCH($E195,'09 Cost Index'!$A$5:$A$24,0)),"")))</f>
        <v/>
      </c>
      <c r="J195" s="153">
        <f>'01 Control'!$C$7</f>
        <v/>
      </c>
      <c r="K195" s="150">
        <f>IF($I195="","",$G195*$I195*(1+$J195))</f>
        <v/>
      </c>
      <c r="L195" s="177">
        <f>IF(ISNUMBER(MATCH($E195,'09 Cost Index'!$A$5:$A$24,0)),"09 Cost Index",IF(ISNUMBER(MATCH($E195,'05 Packaging Master'!$A$5:$A$46,0)),"05 Packaging Master",IF(ISNUMBER(MATCH($E195,'04 SKU Master'!$A$5:$A$165,0)),"04 SKU Master","NOT FOUND")))</f>
        <v/>
      </c>
      <c r="M195" s="178">
        <f>IFERROR(INDEX('12 Final Menu'!$U$5:$U$200,MATCH($A195,'12 Final Menu'!$A$5:$A$200,0)),0)</f>
        <v/>
      </c>
      <c r="N195" s="165">
        <f>$G195*(1+$J195)*$M195*1000</f>
        <v/>
      </c>
    </row>
    <row r="196" ht="15" customHeight="1" s="106">
      <c r="A196" s="138" t="inlineStr">
        <is>
          <t>PP-BEV-SLUSH-CREAM</t>
        </is>
      </c>
      <c r="B196" s="138" t="inlineStr">
        <is>
          <t>Cream Soda Slushee</t>
        </is>
      </c>
      <c r="C196" s="138" t="inlineStr">
        <is>
          <t>Beverage</t>
        </is>
      </c>
      <c r="D196" s="139" t="inlineStr">
        <is>
          <t>Packaging</t>
        </is>
      </c>
      <c r="E196" s="134" t="inlineStr">
        <is>
          <t>PP-PACK-CUP-SLUSH</t>
        </is>
      </c>
      <c r="F196" s="113" t="inlineStr">
        <is>
          <t>Slushee cup</t>
        </is>
      </c>
      <c r="G196" s="147" t="n">
        <v>1</v>
      </c>
      <c r="H196" s="164" t="inlineStr">
        <is>
          <t>ea</t>
        </is>
      </c>
      <c r="I196" s="150">
        <f>IFERROR(INDEX('04 SKU Master'!$AM$5:$AM$165,MATCH($E196,'04 SKU Master'!$A$5:$A$165,0)),IFERROR(INDEX('05 Packaging Master'!$AM$5:$AM$50,MATCH($E196,'05 Packaging Master'!$A$5:$A$50,0)),IFERROR(INDEX('09 Cost Index'!$C$5:$C$24,MATCH($E196,'09 Cost Index'!$A$5:$A$24,0)),"")))</f>
        <v/>
      </c>
      <c r="J196" s="153">
        <f>'01 Control'!$C$7</f>
        <v/>
      </c>
      <c r="K196" s="150">
        <f>IF($I196="","",$G196*$I196*(1+$J196))</f>
        <v/>
      </c>
      <c r="L196" s="177">
        <f>IF(ISNUMBER(MATCH($E196,'09 Cost Index'!$A$5:$A$24,0)),"09 Cost Index",IF(ISNUMBER(MATCH($E196,'05 Packaging Master'!$A$5:$A$46,0)),"05 Packaging Master",IF(ISNUMBER(MATCH($E196,'04 SKU Master'!$A$5:$A$165,0)),"04 SKU Master","NOT FOUND")))</f>
        <v/>
      </c>
      <c r="M196" s="178">
        <f>IFERROR(INDEX('12 Final Menu'!$U$5:$U$200,MATCH($A196,'12 Final Menu'!$A$5:$A$200,0)),0)</f>
        <v/>
      </c>
      <c r="N196" s="165">
        <f>$G196*(1+$J196)*$M196*1000</f>
        <v/>
      </c>
    </row>
    <row r="197" ht="15" customHeight="1" s="106">
      <c r="A197" s="138" t="inlineStr">
        <is>
          <t>PP-BEV-SLUSH-CREAM</t>
        </is>
      </c>
      <c r="B197" s="138" t="inlineStr">
        <is>
          <t>Cream Soda Slushee</t>
        </is>
      </c>
      <c r="C197" s="138" t="inlineStr">
        <is>
          <t>Beverage</t>
        </is>
      </c>
      <c r="D197" s="139" t="inlineStr">
        <is>
          <t>Packaging</t>
        </is>
      </c>
      <c r="E197" s="134" t="inlineStr">
        <is>
          <t>PP-PACK-LID-DOME</t>
        </is>
      </c>
      <c r="F197" s="113" t="inlineStr">
        <is>
          <t>Dome lid</t>
        </is>
      </c>
      <c r="G197" s="147" t="n">
        <v>1</v>
      </c>
      <c r="H197" s="164" t="inlineStr">
        <is>
          <t>ea</t>
        </is>
      </c>
      <c r="I197" s="150">
        <f>IFERROR(INDEX('04 SKU Master'!$AM$5:$AM$165,MATCH($E197,'04 SKU Master'!$A$5:$A$165,0)),IFERROR(INDEX('05 Packaging Master'!$AM$5:$AM$50,MATCH($E197,'05 Packaging Master'!$A$5:$A$50,0)),IFERROR(INDEX('09 Cost Index'!$C$5:$C$24,MATCH($E197,'09 Cost Index'!$A$5:$A$24,0)),"")))</f>
        <v/>
      </c>
      <c r="J197" s="153">
        <f>'01 Control'!$C$7</f>
        <v/>
      </c>
      <c r="K197" s="150">
        <f>IF($I197="","",$G197*$I197*(1+$J197))</f>
        <v/>
      </c>
      <c r="L197" s="177">
        <f>IF(ISNUMBER(MATCH($E197,'09 Cost Index'!$A$5:$A$24,0)),"09 Cost Index",IF(ISNUMBER(MATCH($E197,'05 Packaging Master'!$A$5:$A$46,0)),"05 Packaging Master",IF(ISNUMBER(MATCH($E197,'04 SKU Master'!$A$5:$A$165,0)),"04 SKU Master","NOT FOUND")))</f>
        <v/>
      </c>
      <c r="M197" s="178">
        <f>IFERROR(INDEX('12 Final Menu'!$U$5:$U$200,MATCH($A197,'12 Final Menu'!$A$5:$A$200,0)),0)</f>
        <v/>
      </c>
      <c r="N197" s="165">
        <f>$G197*(1+$J197)*$M197*1000</f>
        <v/>
      </c>
    </row>
    <row r="198" ht="15" customHeight="1" s="106">
      <c r="A198" s="138" t="inlineStr">
        <is>
          <t>PP-BEV-SLUSH-CREAM</t>
        </is>
      </c>
      <c r="B198" s="138" t="inlineStr">
        <is>
          <t>Cream Soda Slushee</t>
        </is>
      </c>
      <c r="C198" s="138" t="inlineStr">
        <is>
          <t>Beverage</t>
        </is>
      </c>
      <c r="D198" s="139" t="inlineStr">
        <is>
          <t>Packaging</t>
        </is>
      </c>
      <c r="E198" s="134" t="inlineStr">
        <is>
          <t>PP-PACK-STRAW</t>
        </is>
      </c>
      <c r="F198" s="113" t="inlineStr">
        <is>
          <t>Straw</t>
        </is>
      </c>
      <c r="G198" s="147" t="n">
        <v>1</v>
      </c>
      <c r="H198" s="164" t="inlineStr">
        <is>
          <t>ea</t>
        </is>
      </c>
      <c r="I198" s="150">
        <f>IFERROR(INDEX('04 SKU Master'!$AM$5:$AM$165,MATCH($E198,'04 SKU Master'!$A$5:$A$165,0)),IFERROR(INDEX('05 Packaging Master'!$AM$5:$AM$50,MATCH($E198,'05 Packaging Master'!$A$5:$A$50,0)),IFERROR(INDEX('09 Cost Index'!$C$5:$C$24,MATCH($E198,'09 Cost Index'!$A$5:$A$24,0)),"")))</f>
        <v/>
      </c>
      <c r="J198" s="153">
        <f>'01 Control'!$C$7</f>
        <v/>
      </c>
      <c r="K198" s="150">
        <f>IF($I198="","",$G198*$I198*(1+$J198))</f>
        <v/>
      </c>
      <c r="L198" s="177">
        <f>IF(ISNUMBER(MATCH($E198,'09 Cost Index'!$A$5:$A$24,0)),"09 Cost Index",IF(ISNUMBER(MATCH($E198,'05 Packaging Master'!$A$5:$A$46,0)),"05 Packaging Master",IF(ISNUMBER(MATCH($E198,'04 SKU Master'!$A$5:$A$165,0)),"04 SKU Master","NOT FOUND")))</f>
        <v/>
      </c>
      <c r="M198" s="178">
        <f>IFERROR(INDEX('12 Final Menu'!$U$5:$U$200,MATCH($A198,'12 Final Menu'!$A$5:$A$200,0)),0)</f>
        <v/>
      </c>
      <c r="N198" s="165">
        <f>$G198*(1+$J198)*$M198*1000</f>
        <v/>
      </c>
    </row>
    <row r="200" ht="15" customHeight="1" s="106">
      <c r="A200" s="179" t="inlineStr">
        <is>
          <t>Rotating Slushee (seasonal)   |   PP-BEV-SLUSH-ROTATING   |   board price R22.00</t>
        </is>
      </c>
      <c r="B200" s="110" t="n"/>
      <c r="C200" s="110" t="n"/>
      <c r="D200" s="110" t="n"/>
      <c r="E200" s="110" t="n"/>
      <c r="F200" s="110" t="n"/>
      <c r="G200" s="110" t="n"/>
      <c r="H200" s="110" t="n"/>
      <c r="I200" s="110" t="n"/>
      <c r="J200" s="110" t="n"/>
      <c r="K200" s="110" t="n"/>
      <c r="L200" s="110" t="n"/>
      <c r="M200" s="110" t="n"/>
      <c r="N200" s="111" t="n"/>
    </row>
    <row r="201" ht="15" customHeight="1" s="106">
      <c r="A201" s="138" t="inlineStr">
        <is>
          <t>PP-BEV-SLUSH-ROTATING</t>
        </is>
      </c>
      <c r="B201" s="138" t="inlineStr">
        <is>
          <t>Rotating Slushee (seasonal)</t>
        </is>
      </c>
      <c r="C201" s="138" t="inlineStr">
        <is>
          <t>Beverage</t>
        </is>
      </c>
      <c r="D201" s="139" t="inlineStr">
        <is>
          <t>Ingredient</t>
        </is>
      </c>
      <c r="E201" s="134" t="inlineStr">
        <is>
          <t>PP-BEV-SYR-ROTATING</t>
        </is>
      </c>
      <c r="F201" s="113" t="inlineStr">
        <is>
          <t>Rotating concentrate</t>
        </is>
      </c>
      <c r="G201" s="147" t="n">
        <v>80</v>
      </c>
      <c r="H201" s="164" t="inlineStr">
        <is>
          <t>ml</t>
        </is>
      </c>
      <c r="I201" s="150">
        <f>IFERROR(INDEX('04 SKU Master'!$AM$5:$AM$165,MATCH($E201,'04 SKU Master'!$A$5:$A$165,0)),IFERROR(INDEX('05 Packaging Master'!$AM$5:$AM$50,MATCH($E201,'05 Packaging Master'!$A$5:$A$50,0)),IFERROR(INDEX('09 Cost Index'!$C$5:$C$24,MATCH($E201,'09 Cost Index'!$A$5:$A$24,0)),"")))</f>
        <v/>
      </c>
      <c r="J201" s="153">
        <f>'01 Control'!$C$7</f>
        <v/>
      </c>
      <c r="K201" s="150">
        <f>IF($I201="","",$G201*$I201*(1+$J201))</f>
        <v/>
      </c>
      <c r="L201" s="177">
        <f>IF(ISNUMBER(MATCH($E201,'09 Cost Index'!$A$5:$A$24,0)),"09 Cost Index",IF(ISNUMBER(MATCH($E201,'05 Packaging Master'!$A$5:$A$46,0)),"05 Packaging Master",IF(ISNUMBER(MATCH($E201,'04 SKU Master'!$A$5:$A$165,0)),"04 SKU Master","NOT FOUND")))</f>
        <v/>
      </c>
      <c r="M201" s="178">
        <f>IFERROR(INDEX('12 Final Menu'!$U$5:$U$200,MATCH($A201,'12 Final Menu'!$A$5:$A$200,0)),0)</f>
        <v/>
      </c>
      <c r="N201" s="165">
        <f>$G201*(1+$J201)*$M201*1000</f>
        <v/>
      </c>
    </row>
    <row r="202" ht="15" customHeight="1" s="106">
      <c r="A202" s="138" t="inlineStr">
        <is>
          <t>PP-BEV-SLUSH-ROTATING</t>
        </is>
      </c>
      <c r="B202" s="138" t="inlineStr">
        <is>
          <t>Rotating Slushee (seasonal)</t>
        </is>
      </c>
      <c r="C202" s="138" t="inlineStr">
        <is>
          <t>Beverage</t>
        </is>
      </c>
      <c r="D202" s="139" t="inlineStr">
        <is>
          <t>Ingredient</t>
        </is>
      </c>
      <c r="E202" s="134" t="inlineStr">
        <is>
          <t>PP-BEV-WATER-FILTERED</t>
        </is>
      </c>
      <c r="F202" s="113" t="inlineStr">
        <is>
          <t>Filtered water</t>
        </is>
      </c>
      <c r="G202" s="147" t="n">
        <v>320</v>
      </c>
      <c r="H202" s="164" t="inlineStr">
        <is>
          <t>ml</t>
        </is>
      </c>
      <c r="I202" s="150">
        <f>IFERROR(INDEX('04 SKU Master'!$AM$5:$AM$165,MATCH($E202,'04 SKU Master'!$A$5:$A$165,0)),IFERROR(INDEX('05 Packaging Master'!$AM$5:$AM$50,MATCH($E202,'05 Packaging Master'!$A$5:$A$50,0)),IFERROR(INDEX('09 Cost Index'!$C$5:$C$24,MATCH($E202,'09 Cost Index'!$A$5:$A$24,0)),"")))</f>
        <v/>
      </c>
      <c r="J202" s="153">
        <f>'01 Control'!$C$7</f>
        <v/>
      </c>
      <c r="K202" s="150">
        <f>IF($I202="","",$G202*$I202*(1+$J202))</f>
        <v/>
      </c>
      <c r="L202" s="177">
        <f>IF(ISNUMBER(MATCH($E202,'09 Cost Index'!$A$5:$A$24,0)),"09 Cost Index",IF(ISNUMBER(MATCH($E202,'05 Packaging Master'!$A$5:$A$46,0)),"05 Packaging Master",IF(ISNUMBER(MATCH($E202,'04 SKU Master'!$A$5:$A$165,0)),"04 SKU Master","NOT FOUND")))</f>
        <v/>
      </c>
      <c r="M202" s="178">
        <f>IFERROR(INDEX('12 Final Menu'!$U$5:$U$200,MATCH($A202,'12 Final Menu'!$A$5:$A$200,0)),0)</f>
        <v/>
      </c>
      <c r="N202" s="165">
        <f>$G202*(1+$J202)*$M202*1000</f>
        <v/>
      </c>
    </row>
    <row r="203" ht="15" customHeight="1" s="106">
      <c r="A203" s="138" t="inlineStr">
        <is>
          <t>PP-BEV-SLUSH-ROTATING</t>
        </is>
      </c>
      <c r="B203" s="138" t="inlineStr">
        <is>
          <t>Rotating Slushee (seasonal)</t>
        </is>
      </c>
      <c r="C203" s="138" t="inlineStr">
        <is>
          <t>Beverage</t>
        </is>
      </c>
      <c r="D203" s="139" t="inlineStr">
        <is>
          <t>Packaging</t>
        </is>
      </c>
      <c r="E203" s="134" t="inlineStr">
        <is>
          <t>PP-PACK-CUP-SLUSH</t>
        </is>
      </c>
      <c r="F203" s="113" t="inlineStr">
        <is>
          <t>Slushee cup</t>
        </is>
      </c>
      <c r="G203" s="147" t="n">
        <v>1</v>
      </c>
      <c r="H203" s="164" t="inlineStr">
        <is>
          <t>ea</t>
        </is>
      </c>
      <c r="I203" s="150">
        <f>IFERROR(INDEX('04 SKU Master'!$AM$5:$AM$165,MATCH($E203,'04 SKU Master'!$A$5:$A$165,0)),IFERROR(INDEX('05 Packaging Master'!$AM$5:$AM$50,MATCH($E203,'05 Packaging Master'!$A$5:$A$50,0)),IFERROR(INDEX('09 Cost Index'!$C$5:$C$24,MATCH($E203,'09 Cost Index'!$A$5:$A$24,0)),"")))</f>
        <v/>
      </c>
      <c r="J203" s="153">
        <f>'01 Control'!$C$7</f>
        <v/>
      </c>
      <c r="K203" s="150">
        <f>IF($I203="","",$G203*$I203*(1+$J203))</f>
        <v/>
      </c>
      <c r="L203" s="177">
        <f>IF(ISNUMBER(MATCH($E203,'09 Cost Index'!$A$5:$A$24,0)),"09 Cost Index",IF(ISNUMBER(MATCH($E203,'05 Packaging Master'!$A$5:$A$46,0)),"05 Packaging Master",IF(ISNUMBER(MATCH($E203,'04 SKU Master'!$A$5:$A$165,0)),"04 SKU Master","NOT FOUND")))</f>
        <v/>
      </c>
      <c r="M203" s="178">
        <f>IFERROR(INDEX('12 Final Menu'!$U$5:$U$200,MATCH($A203,'12 Final Menu'!$A$5:$A$200,0)),0)</f>
        <v/>
      </c>
      <c r="N203" s="165">
        <f>$G203*(1+$J203)*$M203*1000</f>
        <v/>
      </c>
    </row>
    <row r="204" ht="15" customHeight="1" s="106">
      <c r="A204" s="138" t="inlineStr">
        <is>
          <t>PP-BEV-SLUSH-ROTATING</t>
        </is>
      </c>
      <c r="B204" s="138" t="inlineStr">
        <is>
          <t>Rotating Slushee (seasonal)</t>
        </is>
      </c>
      <c r="C204" s="138" t="inlineStr">
        <is>
          <t>Beverage</t>
        </is>
      </c>
      <c r="D204" s="139" t="inlineStr">
        <is>
          <t>Packaging</t>
        </is>
      </c>
      <c r="E204" s="134" t="inlineStr">
        <is>
          <t>PP-PACK-LID-DOME</t>
        </is>
      </c>
      <c r="F204" s="113" t="inlineStr">
        <is>
          <t>Dome lid</t>
        </is>
      </c>
      <c r="G204" s="147" t="n">
        <v>1</v>
      </c>
      <c r="H204" s="164" t="inlineStr">
        <is>
          <t>ea</t>
        </is>
      </c>
      <c r="I204" s="150">
        <f>IFERROR(INDEX('04 SKU Master'!$AM$5:$AM$165,MATCH($E204,'04 SKU Master'!$A$5:$A$165,0)),IFERROR(INDEX('05 Packaging Master'!$AM$5:$AM$50,MATCH($E204,'05 Packaging Master'!$A$5:$A$50,0)),IFERROR(INDEX('09 Cost Index'!$C$5:$C$24,MATCH($E204,'09 Cost Index'!$A$5:$A$24,0)),"")))</f>
        <v/>
      </c>
      <c r="J204" s="153">
        <f>'01 Control'!$C$7</f>
        <v/>
      </c>
      <c r="K204" s="150">
        <f>IF($I204="","",$G204*$I204*(1+$J204))</f>
        <v/>
      </c>
      <c r="L204" s="177">
        <f>IF(ISNUMBER(MATCH($E204,'09 Cost Index'!$A$5:$A$24,0)),"09 Cost Index",IF(ISNUMBER(MATCH($E204,'05 Packaging Master'!$A$5:$A$46,0)),"05 Packaging Master",IF(ISNUMBER(MATCH($E204,'04 SKU Master'!$A$5:$A$165,0)),"04 SKU Master","NOT FOUND")))</f>
        <v/>
      </c>
      <c r="M204" s="178">
        <f>IFERROR(INDEX('12 Final Menu'!$U$5:$U$200,MATCH($A204,'12 Final Menu'!$A$5:$A$200,0)),0)</f>
        <v/>
      </c>
      <c r="N204" s="165">
        <f>$G204*(1+$J204)*$M204*1000</f>
        <v/>
      </c>
    </row>
    <row r="205" ht="15" customHeight="1" s="106">
      <c r="A205" s="138" t="inlineStr">
        <is>
          <t>PP-BEV-SLUSH-ROTATING</t>
        </is>
      </c>
      <c r="B205" s="138" t="inlineStr">
        <is>
          <t>Rotating Slushee (seasonal)</t>
        </is>
      </c>
      <c r="C205" s="138" t="inlineStr">
        <is>
          <t>Beverage</t>
        </is>
      </c>
      <c r="D205" s="139" t="inlineStr">
        <is>
          <t>Packaging</t>
        </is>
      </c>
      <c r="E205" s="134" t="inlineStr">
        <is>
          <t>PP-PACK-STRAW</t>
        </is>
      </c>
      <c r="F205" s="113" t="inlineStr">
        <is>
          <t>Straw</t>
        </is>
      </c>
      <c r="G205" s="147" t="n">
        <v>1</v>
      </c>
      <c r="H205" s="164" t="inlineStr">
        <is>
          <t>ea</t>
        </is>
      </c>
      <c r="I205" s="150">
        <f>IFERROR(INDEX('04 SKU Master'!$AM$5:$AM$165,MATCH($E205,'04 SKU Master'!$A$5:$A$165,0)),IFERROR(INDEX('05 Packaging Master'!$AM$5:$AM$50,MATCH($E205,'05 Packaging Master'!$A$5:$A$50,0)),IFERROR(INDEX('09 Cost Index'!$C$5:$C$24,MATCH($E205,'09 Cost Index'!$A$5:$A$24,0)),"")))</f>
        <v/>
      </c>
      <c r="J205" s="153">
        <f>'01 Control'!$C$7</f>
        <v/>
      </c>
      <c r="K205" s="150">
        <f>IF($I205="","",$G205*$I205*(1+$J205))</f>
        <v/>
      </c>
      <c r="L205" s="177">
        <f>IF(ISNUMBER(MATCH($E205,'09 Cost Index'!$A$5:$A$24,0)),"09 Cost Index",IF(ISNUMBER(MATCH($E205,'05 Packaging Master'!$A$5:$A$46,0)),"05 Packaging Master",IF(ISNUMBER(MATCH($E205,'04 SKU Master'!$A$5:$A$165,0)),"04 SKU Master","NOT FOUND")))</f>
        <v/>
      </c>
      <c r="M205" s="178">
        <f>IFERROR(INDEX('12 Final Menu'!$U$5:$U$200,MATCH($A205,'12 Final Menu'!$A$5:$A$200,0)),0)</f>
        <v/>
      </c>
      <c r="N205" s="165">
        <f>$G205*(1+$J205)*$M205*1000</f>
        <v/>
      </c>
    </row>
    <row r="207" ht="15" customHeight="1" s="106">
      <c r="A207" s="179" t="inlineStr">
        <is>
          <t>Naartjie Slushee   |   PP-BEV-SLUSH-NAARTJIE   |   board price R20.00</t>
        </is>
      </c>
      <c r="B207" s="110" t="n"/>
      <c r="C207" s="110" t="n"/>
      <c r="D207" s="110" t="n"/>
      <c r="E207" s="110" t="n"/>
      <c r="F207" s="110" t="n"/>
      <c r="G207" s="110" t="n"/>
      <c r="H207" s="110" t="n"/>
      <c r="I207" s="110" t="n"/>
      <c r="J207" s="110" t="n"/>
      <c r="K207" s="110" t="n"/>
      <c r="L207" s="110" t="n"/>
      <c r="M207" s="110" t="n"/>
      <c r="N207" s="111" t="n"/>
    </row>
    <row r="208" ht="15" customHeight="1" s="106">
      <c r="A208" s="138" t="inlineStr">
        <is>
          <t>PP-BEV-SLUSH-NAARTJIE</t>
        </is>
      </c>
      <c r="B208" s="138" t="inlineStr">
        <is>
          <t>Naartjie Slushee</t>
        </is>
      </c>
      <c r="C208" s="138" t="inlineStr">
        <is>
          <t>Beverage</t>
        </is>
      </c>
      <c r="D208" s="139" t="inlineStr">
        <is>
          <t>Ingredient</t>
        </is>
      </c>
      <c r="E208" s="134" t="inlineStr">
        <is>
          <t>PP-BEV-SYR-NAARTJIE</t>
        </is>
      </c>
      <c r="F208" s="113" t="inlineStr">
        <is>
          <t>Naartjie concentrate</t>
        </is>
      </c>
      <c r="G208" s="147" t="n">
        <v>80</v>
      </c>
      <c r="H208" s="164" t="inlineStr">
        <is>
          <t>ml</t>
        </is>
      </c>
      <c r="I208" s="150">
        <f>IFERROR(INDEX('04 SKU Master'!$AM$5:$AM$165,MATCH($E208,'04 SKU Master'!$A$5:$A$165,0)),IFERROR(INDEX('05 Packaging Master'!$AM$5:$AM$50,MATCH($E208,'05 Packaging Master'!$A$5:$A$50,0)),IFERROR(INDEX('09 Cost Index'!$C$5:$C$24,MATCH($E208,'09 Cost Index'!$A$5:$A$24,0)),"")))</f>
        <v/>
      </c>
      <c r="J208" s="153">
        <f>'01 Control'!$C$7</f>
        <v/>
      </c>
      <c r="K208" s="150">
        <f>IF($I208="","",$G208*$I208*(1+$J208))</f>
        <v/>
      </c>
      <c r="L208" s="177">
        <f>IF(ISNUMBER(MATCH($E208,'09 Cost Index'!$A$5:$A$24,0)),"09 Cost Index",IF(ISNUMBER(MATCH($E208,'05 Packaging Master'!$A$5:$A$46,0)),"05 Packaging Master",IF(ISNUMBER(MATCH($E208,'04 SKU Master'!$A$5:$A$165,0)),"04 SKU Master","NOT FOUND")))</f>
        <v/>
      </c>
      <c r="M208" s="178">
        <f>IFERROR(INDEX('12 Final Menu'!$U$5:$U$200,MATCH($A208,'12 Final Menu'!$A$5:$A$200,0)),0)</f>
        <v/>
      </c>
      <c r="N208" s="165">
        <f>$G208*(1+$J208)*$M208*1000</f>
        <v/>
      </c>
    </row>
    <row r="209" ht="15" customHeight="1" s="106">
      <c r="A209" s="138" t="inlineStr">
        <is>
          <t>PP-BEV-SLUSH-NAARTJIE</t>
        </is>
      </c>
      <c r="B209" s="138" t="inlineStr">
        <is>
          <t>Naartjie Slushee</t>
        </is>
      </c>
      <c r="C209" s="138" t="inlineStr">
        <is>
          <t>Beverage</t>
        </is>
      </c>
      <c r="D209" s="139" t="inlineStr">
        <is>
          <t>Ingredient</t>
        </is>
      </c>
      <c r="E209" s="134" t="inlineStr">
        <is>
          <t>PP-BEV-WATER-FILTERED</t>
        </is>
      </c>
      <c r="F209" s="113" t="inlineStr">
        <is>
          <t>Filtered water</t>
        </is>
      </c>
      <c r="G209" s="147" t="n">
        <v>320</v>
      </c>
      <c r="H209" s="164" t="inlineStr">
        <is>
          <t>ml</t>
        </is>
      </c>
      <c r="I209" s="150">
        <f>IFERROR(INDEX('04 SKU Master'!$AM$5:$AM$165,MATCH($E209,'04 SKU Master'!$A$5:$A$165,0)),IFERROR(INDEX('05 Packaging Master'!$AM$5:$AM$50,MATCH($E209,'05 Packaging Master'!$A$5:$A$50,0)),IFERROR(INDEX('09 Cost Index'!$C$5:$C$24,MATCH($E209,'09 Cost Index'!$A$5:$A$24,0)),"")))</f>
        <v/>
      </c>
      <c r="J209" s="153">
        <f>'01 Control'!$C$7</f>
        <v/>
      </c>
      <c r="K209" s="150">
        <f>IF($I209="","",$G209*$I209*(1+$J209))</f>
        <v/>
      </c>
      <c r="L209" s="177">
        <f>IF(ISNUMBER(MATCH($E209,'09 Cost Index'!$A$5:$A$24,0)),"09 Cost Index",IF(ISNUMBER(MATCH($E209,'05 Packaging Master'!$A$5:$A$46,0)),"05 Packaging Master",IF(ISNUMBER(MATCH($E209,'04 SKU Master'!$A$5:$A$165,0)),"04 SKU Master","NOT FOUND")))</f>
        <v/>
      </c>
      <c r="M209" s="178">
        <f>IFERROR(INDEX('12 Final Menu'!$U$5:$U$200,MATCH($A209,'12 Final Menu'!$A$5:$A$200,0)),0)</f>
        <v/>
      </c>
      <c r="N209" s="165">
        <f>$G209*(1+$J209)*$M209*1000</f>
        <v/>
      </c>
    </row>
    <row r="210" ht="15" customHeight="1" s="106">
      <c r="A210" s="138" t="inlineStr">
        <is>
          <t>PP-BEV-SLUSH-NAARTJIE</t>
        </is>
      </c>
      <c r="B210" s="138" t="inlineStr">
        <is>
          <t>Naartjie Slushee</t>
        </is>
      </c>
      <c r="C210" s="138" t="inlineStr">
        <is>
          <t>Beverage</t>
        </is>
      </c>
      <c r="D210" s="139" t="inlineStr">
        <is>
          <t>Packaging</t>
        </is>
      </c>
      <c r="E210" s="134" t="inlineStr">
        <is>
          <t>PP-PACK-CUP-SLUSH</t>
        </is>
      </c>
      <c r="F210" s="113" t="inlineStr">
        <is>
          <t>Slushee cup</t>
        </is>
      </c>
      <c r="G210" s="147" t="n">
        <v>1</v>
      </c>
      <c r="H210" s="164" t="inlineStr">
        <is>
          <t>ea</t>
        </is>
      </c>
      <c r="I210" s="150">
        <f>IFERROR(INDEX('04 SKU Master'!$AM$5:$AM$165,MATCH($E210,'04 SKU Master'!$A$5:$A$165,0)),IFERROR(INDEX('05 Packaging Master'!$AM$5:$AM$50,MATCH($E210,'05 Packaging Master'!$A$5:$A$50,0)),IFERROR(INDEX('09 Cost Index'!$C$5:$C$24,MATCH($E210,'09 Cost Index'!$A$5:$A$24,0)),"")))</f>
        <v/>
      </c>
      <c r="J210" s="153">
        <f>'01 Control'!$C$7</f>
        <v/>
      </c>
      <c r="K210" s="150">
        <f>IF($I210="","",$G210*$I210*(1+$J210))</f>
        <v/>
      </c>
      <c r="L210" s="177">
        <f>IF(ISNUMBER(MATCH($E210,'09 Cost Index'!$A$5:$A$24,0)),"09 Cost Index",IF(ISNUMBER(MATCH($E210,'05 Packaging Master'!$A$5:$A$46,0)),"05 Packaging Master",IF(ISNUMBER(MATCH($E210,'04 SKU Master'!$A$5:$A$165,0)),"04 SKU Master","NOT FOUND")))</f>
        <v/>
      </c>
      <c r="M210" s="178">
        <f>IFERROR(INDEX('12 Final Menu'!$U$5:$U$200,MATCH($A210,'12 Final Menu'!$A$5:$A$200,0)),0)</f>
        <v/>
      </c>
      <c r="N210" s="165">
        <f>$G210*(1+$J210)*$M210*1000</f>
        <v/>
      </c>
    </row>
    <row r="211" ht="15" customHeight="1" s="106">
      <c r="A211" s="138" t="inlineStr">
        <is>
          <t>PP-BEV-SLUSH-NAARTJIE</t>
        </is>
      </c>
      <c r="B211" s="138" t="inlineStr">
        <is>
          <t>Naartjie Slushee</t>
        </is>
      </c>
      <c r="C211" s="138" t="inlineStr">
        <is>
          <t>Beverage</t>
        </is>
      </c>
      <c r="D211" s="139" t="inlineStr">
        <is>
          <t>Packaging</t>
        </is>
      </c>
      <c r="E211" s="134" t="inlineStr">
        <is>
          <t>PP-PACK-LID-DOME</t>
        </is>
      </c>
      <c r="F211" s="113" t="inlineStr">
        <is>
          <t>Dome lid</t>
        </is>
      </c>
      <c r="G211" s="147" t="n">
        <v>1</v>
      </c>
      <c r="H211" s="164" t="inlineStr">
        <is>
          <t>ea</t>
        </is>
      </c>
      <c r="I211" s="150">
        <f>IFERROR(INDEX('04 SKU Master'!$AM$5:$AM$165,MATCH($E211,'04 SKU Master'!$A$5:$A$165,0)),IFERROR(INDEX('05 Packaging Master'!$AM$5:$AM$50,MATCH($E211,'05 Packaging Master'!$A$5:$A$50,0)),IFERROR(INDEX('09 Cost Index'!$C$5:$C$24,MATCH($E211,'09 Cost Index'!$A$5:$A$24,0)),"")))</f>
        <v/>
      </c>
      <c r="J211" s="153">
        <f>'01 Control'!$C$7</f>
        <v/>
      </c>
      <c r="K211" s="150">
        <f>IF($I211="","",$G211*$I211*(1+$J211))</f>
        <v/>
      </c>
      <c r="L211" s="177">
        <f>IF(ISNUMBER(MATCH($E211,'09 Cost Index'!$A$5:$A$24,0)),"09 Cost Index",IF(ISNUMBER(MATCH($E211,'05 Packaging Master'!$A$5:$A$46,0)),"05 Packaging Master",IF(ISNUMBER(MATCH($E211,'04 SKU Master'!$A$5:$A$165,0)),"04 SKU Master","NOT FOUND")))</f>
        <v/>
      </c>
      <c r="M211" s="178">
        <f>IFERROR(INDEX('12 Final Menu'!$U$5:$U$200,MATCH($A211,'12 Final Menu'!$A$5:$A$200,0)),0)</f>
        <v/>
      </c>
      <c r="N211" s="165">
        <f>$G211*(1+$J211)*$M211*1000</f>
        <v/>
      </c>
    </row>
    <row r="212" ht="15" customHeight="1" s="106">
      <c r="A212" s="138" t="inlineStr">
        <is>
          <t>PP-BEV-SLUSH-NAARTJIE</t>
        </is>
      </c>
      <c r="B212" s="138" t="inlineStr">
        <is>
          <t>Naartjie Slushee</t>
        </is>
      </c>
      <c r="C212" s="138" t="inlineStr">
        <is>
          <t>Beverage</t>
        </is>
      </c>
      <c r="D212" s="139" t="inlineStr">
        <is>
          <t>Packaging</t>
        </is>
      </c>
      <c r="E212" s="134" t="inlineStr">
        <is>
          <t>PP-PACK-STRAW</t>
        </is>
      </c>
      <c r="F212" s="113" t="inlineStr">
        <is>
          <t>Straw</t>
        </is>
      </c>
      <c r="G212" s="147" t="n">
        <v>1</v>
      </c>
      <c r="H212" s="164" t="inlineStr">
        <is>
          <t>ea</t>
        </is>
      </c>
      <c r="I212" s="150">
        <f>IFERROR(INDEX('04 SKU Master'!$AM$5:$AM$165,MATCH($E212,'04 SKU Master'!$A$5:$A$165,0)),IFERROR(INDEX('05 Packaging Master'!$AM$5:$AM$50,MATCH($E212,'05 Packaging Master'!$A$5:$A$50,0)),IFERROR(INDEX('09 Cost Index'!$C$5:$C$24,MATCH($E212,'09 Cost Index'!$A$5:$A$24,0)),"")))</f>
        <v/>
      </c>
      <c r="J212" s="153">
        <f>'01 Control'!$C$7</f>
        <v/>
      </c>
      <c r="K212" s="150">
        <f>IF($I212="","",$G212*$I212*(1+$J212))</f>
        <v/>
      </c>
      <c r="L212" s="177">
        <f>IF(ISNUMBER(MATCH($E212,'09 Cost Index'!$A$5:$A$24,0)),"09 Cost Index",IF(ISNUMBER(MATCH($E212,'05 Packaging Master'!$A$5:$A$46,0)),"05 Packaging Master",IF(ISNUMBER(MATCH($E212,'04 SKU Master'!$A$5:$A$165,0)),"04 SKU Master","NOT FOUND")))</f>
        <v/>
      </c>
      <c r="M212" s="178">
        <f>IFERROR(INDEX('12 Final Menu'!$U$5:$U$200,MATCH($A212,'12 Final Menu'!$A$5:$A$200,0)),0)</f>
        <v/>
      </c>
      <c r="N212" s="165">
        <f>$G212*(1+$J212)*$M212*1000</f>
        <v/>
      </c>
    </row>
    <row r="214" ht="15" customHeight="1" s="106">
      <c r="A214" s="179" t="inlineStr">
        <is>
          <t>Granadilla Slushee   |   PP-BEV-SLUSH-GRANADILLA   |   board price R22.00</t>
        </is>
      </c>
      <c r="B214" s="110" t="n"/>
      <c r="C214" s="110" t="n"/>
      <c r="D214" s="110" t="n"/>
      <c r="E214" s="110" t="n"/>
      <c r="F214" s="110" t="n"/>
      <c r="G214" s="110" t="n"/>
      <c r="H214" s="110" t="n"/>
      <c r="I214" s="110" t="n"/>
      <c r="J214" s="110" t="n"/>
      <c r="K214" s="110" t="n"/>
      <c r="L214" s="110" t="n"/>
      <c r="M214" s="110" t="n"/>
      <c r="N214" s="111" t="n"/>
    </row>
    <row r="215" ht="15" customHeight="1" s="106">
      <c r="A215" s="138" t="inlineStr">
        <is>
          <t>PP-BEV-SLUSH-GRANADILLA</t>
        </is>
      </c>
      <c r="B215" s="138" t="inlineStr">
        <is>
          <t>Granadilla Slushee</t>
        </is>
      </c>
      <c r="C215" s="138" t="inlineStr">
        <is>
          <t>Beverage</t>
        </is>
      </c>
      <c r="D215" s="139" t="inlineStr">
        <is>
          <t>Ingredient</t>
        </is>
      </c>
      <c r="E215" s="134" t="inlineStr">
        <is>
          <t>PP-BEV-SYR-GRANADILLA</t>
        </is>
      </c>
      <c r="F215" s="113" t="inlineStr">
        <is>
          <t>Granadilla concentrate</t>
        </is>
      </c>
      <c r="G215" s="147" t="n">
        <v>80</v>
      </c>
      <c r="H215" s="164" t="inlineStr">
        <is>
          <t>ml</t>
        </is>
      </c>
      <c r="I215" s="150">
        <f>IFERROR(INDEX('04 SKU Master'!$AM$5:$AM$165,MATCH($E215,'04 SKU Master'!$A$5:$A$165,0)),IFERROR(INDEX('05 Packaging Master'!$AM$5:$AM$50,MATCH($E215,'05 Packaging Master'!$A$5:$A$50,0)),IFERROR(INDEX('09 Cost Index'!$C$5:$C$24,MATCH($E215,'09 Cost Index'!$A$5:$A$24,0)),"")))</f>
        <v/>
      </c>
      <c r="J215" s="153">
        <f>'01 Control'!$C$7</f>
        <v/>
      </c>
      <c r="K215" s="150">
        <f>IF($I215="","",$G215*$I215*(1+$J215))</f>
        <v/>
      </c>
      <c r="L215" s="177">
        <f>IF(ISNUMBER(MATCH($E215,'09 Cost Index'!$A$5:$A$24,0)),"09 Cost Index",IF(ISNUMBER(MATCH($E215,'05 Packaging Master'!$A$5:$A$46,0)),"05 Packaging Master",IF(ISNUMBER(MATCH($E215,'04 SKU Master'!$A$5:$A$165,0)),"04 SKU Master","NOT FOUND")))</f>
        <v/>
      </c>
      <c r="M215" s="178">
        <f>IFERROR(INDEX('12 Final Menu'!$U$5:$U$200,MATCH($A215,'12 Final Menu'!$A$5:$A$200,0)),0)</f>
        <v/>
      </c>
      <c r="N215" s="165">
        <f>$G215*(1+$J215)*$M215*1000</f>
        <v/>
      </c>
    </row>
    <row r="216" ht="15" customHeight="1" s="106">
      <c r="A216" s="138" t="inlineStr">
        <is>
          <t>PP-BEV-SLUSH-GRANADILLA</t>
        </is>
      </c>
      <c r="B216" s="138" t="inlineStr">
        <is>
          <t>Granadilla Slushee</t>
        </is>
      </c>
      <c r="C216" s="138" t="inlineStr">
        <is>
          <t>Beverage</t>
        </is>
      </c>
      <c r="D216" s="139" t="inlineStr">
        <is>
          <t>Ingredient</t>
        </is>
      </c>
      <c r="E216" s="134" t="inlineStr">
        <is>
          <t>PP-BEV-WATER-FILTERED</t>
        </is>
      </c>
      <c r="F216" s="113" t="inlineStr">
        <is>
          <t>Filtered water</t>
        </is>
      </c>
      <c r="G216" s="147" t="n">
        <v>320</v>
      </c>
      <c r="H216" s="164" t="inlineStr">
        <is>
          <t>ml</t>
        </is>
      </c>
      <c r="I216" s="150">
        <f>IFERROR(INDEX('04 SKU Master'!$AM$5:$AM$165,MATCH($E216,'04 SKU Master'!$A$5:$A$165,0)),IFERROR(INDEX('05 Packaging Master'!$AM$5:$AM$50,MATCH($E216,'05 Packaging Master'!$A$5:$A$50,0)),IFERROR(INDEX('09 Cost Index'!$C$5:$C$24,MATCH($E216,'09 Cost Index'!$A$5:$A$24,0)),"")))</f>
        <v/>
      </c>
      <c r="J216" s="153">
        <f>'01 Control'!$C$7</f>
        <v/>
      </c>
      <c r="K216" s="150">
        <f>IF($I216="","",$G216*$I216*(1+$J216))</f>
        <v/>
      </c>
      <c r="L216" s="177">
        <f>IF(ISNUMBER(MATCH($E216,'09 Cost Index'!$A$5:$A$24,0)),"09 Cost Index",IF(ISNUMBER(MATCH($E216,'05 Packaging Master'!$A$5:$A$46,0)),"05 Packaging Master",IF(ISNUMBER(MATCH($E216,'04 SKU Master'!$A$5:$A$165,0)),"04 SKU Master","NOT FOUND")))</f>
        <v/>
      </c>
      <c r="M216" s="178">
        <f>IFERROR(INDEX('12 Final Menu'!$U$5:$U$200,MATCH($A216,'12 Final Menu'!$A$5:$A$200,0)),0)</f>
        <v/>
      </c>
      <c r="N216" s="165">
        <f>$G216*(1+$J216)*$M216*1000</f>
        <v/>
      </c>
    </row>
    <row r="217" ht="15" customHeight="1" s="106">
      <c r="A217" s="138" t="inlineStr">
        <is>
          <t>PP-BEV-SLUSH-GRANADILLA</t>
        </is>
      </c>
      <c r="B217" s="138" t="inlineStr">
        <is>
          <t>Granadilla Slushee</t>
        </is>
      </c>
      <c r="C217" s="138" t="inlineStr">
        <is>
          <t>Beverage</t>
        </is>
      </c>
      <c r="D217" s="139" t="inlineStr">
        <is>
          <t>Packaging</t>
        </is>
      </c>
      <c r="E217" s="134" t="inlineStr">
        <is>
          <t>PP-PACK-CUP-SLUSH</t>
        </is>
      </c>
      <c r="F217" s="113" t="inlineStr">
        <is>
          <t>Slushee cup</t>
        </is>
      </c>
      <c r="G217" s="147" t="n">
        <v>1</v>
      </c>
      <c r="H217" s="164" t="inlineStr">
        <is>
          <t>ea</t>
        </is>
      </c>
      <c r="I217" s="150">
        <f>IFERROR(INDEX('04 SKU Master'!$AM$5:$AM$165,MATCH($E217,'04 SKU Master'!$A$5:$A$165,0)),IFERROR(INDEX('05 Packaging Master'!$AM$5:$AM$50,MATCH($E217,'05 Packaging Master'!$A$5:$A$50,0)),IFERROR(INDEX('09 Cost Index'!$C$5:$C$24,MATCH($E217,'09 Cost Index'!$A$5:$A$24,0)),"")))</f>
        <v/>
      </c>
      <c r="J217" s="153">
        <f>'01 Control'!$C$7</f>
        <v/>
      </c>
      <c r="K217" s="150">
        <f>IF($I217="","",$G217*$I217*(1+$J217))</f>
        <v/>
      </c>
      <c r="L217" s="177">
        <f>IF(ISNUMBER(MATCH($E217,'09 Cost Index'!$A$5:$A$24,0)),"09 Cost Index",IF(ISNUMBER(MATCH($E217,'05 Packaging Master'!$A$5:$A$46,0)),"05 Packaging Master",IF(ISNUMBER(MATCH($E217,'04 SKU Master'!$A$5:$A$165,0)),"04 SKU Master","NOT FOUND")))</f>
        <v/>
      </c>
      <c r="M217" s="178">
        <f>IFERROR(INDEX('12 Final Menu'!$U$5:$U$200,MATCH($A217,'12 Final Menu'!$A$5:$A$200,0)),0)</f>
        <v/>
      </c>
      <c r="N217" s="165">
        <f>$G217*(1+$J217)*$M217*1000</f>
        <v/>
      </c>
    </row>
    <row r="218" ht="15" customHeight="1" s="106">
      <c r="A218" s="138" t="inlineStr">
        <is>
          <t>PP-BEV-SLUSH-GRANADILLA</t>
        </is>
      </c>
      <c r="B218" s="138" t="inlineStr">
        <is>
          <t>Granadilla Slushee</t>
        </is>
      </c>
      <c r="C218" s="138" t="inlineStr">
        <is>
          <t>Beverage</t>
        </is>
      </c>
      <c r="D218" s="139" t="inlineStr">
        <is>
          <t>Packaging</t>
        </is>
      </c>
      <c r="E218" s="134" t="inlineStr">
        <is>
          <t>PP-PACK-LID-DOME</t>
        </is>
      </c>
      <c r="F218" s="113" t="inlineStr">
        <is>
          <t>Dome lid</t>
        </is>
      </c>
      <c r="G218" s="147" t="n">
        <v>1</v>
      </c>
      <c r="H218" s="164" t="inlineStr">
        <is>
          <t>ea</t>
        </is>
      </c>
      <c r="I218" s="150">
        <f>IFERROR(INDEX('04 SKU Master'!$AM$5:$AM$165,MATCH($E218,'04 SKU Master'!$A$5:$A$165,0)),IFERROR(INDEX('05 Packaging Master'!$AM$5:$AM$50,MATCH($E218,'05 Packaging Master'!$A$5:$A$50,0)),IFERROR(INDEX('09 Cost Index'!$C$5:$C$24,MATCH($E218,'09 Cost Index'!$A$5:$A$24,0)),"")))</f>
        <v/>
      </c>
      <c r="J218" s="153">
        <f>'01 Control'!$C$7</f>
        <v/>
      </c>
      <c r="K218" s="150">
        <f>IF($I218="","",$G218*$I218*(1+$J218))</f>
        <v/>
      </c>
      <c r="L218" s="177">
        <f>IF(ISNUMBER(MATCH($E218,'09 Cost Index'!$A$5:$A$24,0)),"09 Cost Index",IF(ISNUMBER(MATCH($E218,'05 Packaging Master'!$A$5:$A$46,0)),"05 Packaging Master",IF(ISNUMBER(MATCH($E218,'04 SKU Master'!$A$5:$A$165,0)),"04 SKU Master","NOT FOUND")))</f>
        <v/>
      </c>
      <c r="M218" s="178">
        <f>IFERROR(INDEX('12 Final Menu'!$U$5:$U$200,MATCH($A218,'12 Final Menu'!$A$5:$A$200,0)),0)</f>
        <v/>
      </c>
      <c r="N218" s="165">
        <f>$G218*(1+$J218)*$M218*1000</f>
        <v/>
      </c>
    </row>
    <row r="219" ht="15" customHeight="1" s="106">
      <c r="A219" s="138" t="inlineStr">
        <is>
          <t>PP-BEV-SLUSH-GRANADILLA</t>
        </is>
      </c>
      <c r="B219" s="138" t="inlineStr">
        <is>
          <t>Granadilla Slushee</t>
        </is>
      </c>
      <c r="C219" s="138" t="inlineStr">
        <is>
          <t>Beverage</t>
        </is>
      </c>
      <c r="D219" s="139" t="inlineStr">
        <is>
          <t>Packaging</t>
        </is>
      </c>
      <c r="E219" s="134" t="inlineStr">
        <is>
          <t>PP-PACK-STRAW</t>
        </is>
      </c>
      <c r="F219" s="113" t="inlineStr">
        <is>
          <t>Straw</t>
        </is>
      </c>
      <c r="G219" s="147" t="n">
        <v>1</v>
      </c>
      <c r="H219" s="164" t="inlineStr">
        <is>
          <t>ea</t>
        </is>
      </c>
      <c r="I219" s="150">
        <f>IFERROR(INDEX('04 SKU Master'!$AM$5:$AM$165,MATCH($E219,'04 SKU Master'!$A$5:$A$165,0)),IFERROR(INDEX('05 Packaging Master'!$AM$5:$AM$50,MATCH($E219,'05 Packaging Master'!$A$5:$A$50,0)),IFERROR(INDEX('09 Cost Index'!$C$5:$C$24,MATCH($E219,'09 Cost Index'!$A$5:$A$24,0)),"")))</f>
        <v/>
      </c>
      <c r="J219" s="153">
        <f>'01 Control'!$C$7</f>
        <v/>
      </c>
      <c r="K219" s="150">
        <f>IF($I219="","",$G219*$I219*(1+$J219))</f>
        <v/>
      </c>
      <c r="L219" s="177">
        <f>IF(ISNUMBER(MATCH($E219,'09 Cost Index'!$A$5:$A$24,0)),"09 Cost Index",IF(ISNUMBER(MATCH($E219,'05 Packaging Master'!$A$5:$A$46,0)),"05 Packaging Master",IF(ISNUMBER(MATCH($E219,'04 SKU Master'!$A$5:$A$165,0)),"04 SKU Master","NOT FOUND")))</f>
        <v/>
      </c>
      <c r="M219" s="178">
        <f>IFERROR(INDEX('12 Final Menu'!$U$5:$U$200,MATCH($A219,'12 Final Menu'!$A$5:$A$200,0)),0)</f>
        <v/>
      </c>
      <c r="N219" s="165">
        <f>$G219*(1+$J219)*$M219*1000</f>
        <v/>
      </c>
    </row>
    <row r="221" ht="15" customHeight="1" s="106">
      <c r="A221" s="179" t="inlineStr">
        <is>
          <t>Strawberry Slushee   |   PP-BEV-SLUSH-STRAWBERRY   |   board price R18.00</t>
        </is>
      </c>
      <c r="B221" s="110" t="n"/>
      <c r="C221" s="110" t="n"/>
      <c r="D221" s="110" t="n"/>
      <c r="E221" s="110" t="n"/>
      <c r="F221" s="110" t="n"/>
      <c r="G221" s="110" t="n"/>
      <c r="H221" s="110" t="n"/>
      <c r="I221" s="110" t="n"/>
      <c r="J221" s="110" t="n"/>
      <c r="K221" s="110" t="n"/>
      <c r="L221" s="110" t="n"/>
      <c r="M221" s="110" t="n"/>
      <c r="N221" s="111" t="n"/>
    </row>
    <row r="222" ht="15" customHeight="1" s="106">
      <c r="A222" s="138" t="inlineStr">
        <is>
          <t>PP-BEV-SLUSH-STRAWBERRY</t>
        </is>
      </c>
      <c r="B222" s="138" t="inlineStr">
        <is>
          <t>Strawberry Slushee</t>
        </is>
      </c>
      <c r="C222" s="138" t="inlineStr">
        <is>
          <t>Beverage</t>
        </is>
      </c>
      <c r="D222" s="139" t="inlineStr">
        <is>
          <t>Ingredient</t>
        </is>
      </c>
      <c r="E222" s="134" t="inlineStr">
        <is>
          <t>PP-BEV-SYR-STRAWBERRY</t>
        </is>
      </c>
      <c r="F222" s="113" t="inlineStr">
        <is>
          <t>Strawberry concentrate</t>
        </is>
      </c>
      <c r="G222" s="147" t="n">
        <v>80</v>
      </c>
      <c r="H222" s="164" t="inlineStr">
        <is>
          <t>ml</t>
        </is>
      </c>
      <c r="I222" s="150">
        <f>IFERROR(INDEX('04 SKU Master'!$AM$5:$AM$165,MATCH($E222,'04 SKU Master'!$A$5:$A$165,0)),IFERROR(INDEX('05 Packaging Master'!$AM$5:$AM$50,MATCH($E222,'05 Packaging Master'!$A$5:$A$50,0)),IFERROR(INDEX('09 Cost Index'!$C$5:$C$24,MATCH($E222,'09 Cost Index'!$A$5:$A$24,0)),"")))</f>
        <v/>
      </c>
      <c r="J222" s="153">
        <f>'01 Control'!$C$7</f>
        <v/>
      </c>
      <c r="K222" s="150">
        <f>IF($I222="","",$G222*$I222*(1+$J222))</f>
        <v/>
      </c>
      <c r="L222" s="177">
        <f>IF(ISNUMBER(MATCH($E222,'09 Cost Index'!$A$5:$A$24,0)),"09 Cost Index",IF(ISNUMBER(MATCH($E222,'05 Packaging Master'!$A$5:$A$46,0)),"05 Packaging Master",IF(ISNUMBER(MATCH($E222,'04 SKU Master'!$A$5:$A$165,0)),"04 SKU Master","NOT FOUND")))</f>
        <v/>
      </c>
      <c r="M222" s="178">
        <f>IFERROR(INDEX('12 Final Menu'!$U$5:$U$200,MATCH($A222,'12 Final Menu'!$A$5:$A$200,0)),0)</f>
        <v/>
      </c>
      <c r="N222" s="165">
        <f>$G222*(1+$J222)*$M222*1000</f>
        <v/>
      </c>
    </row>
    <row r="223" ht="15" customHeight="1" s="106">
      <c r="A223" s="138" t="inlineStr">
        <is>
          <t>PP-BEV-SLUSH-STRAWBERRY</t>
        </is>
      </c>
      <c r="B223" s="138" t="inlineStr">
        <is>
          <t>Strawberry Slushee</t>
        </is>
      </c>
      <c r="C223" s="138" t="inlineStr">
        <is>
          <t>Beverage</t>
        </is>
      </c>
      <c r="D223" s="139" t="inlineStr">
        <is>
          <t>Ingredient</t>
        </is>
      </c>
      <c r="E223" s="134" t="inlineStr">
        <is>
          <t>PP-BEV-WATER-FILTERED</t>
        </is>
      </c>
      <c r="F223" s="113" t="inlineStr">
        <is>
          <t>Filtered water</t>
        </is>
      </c>
      <c r="G223" s="147" t="n">
        <v>320</v>
      </c>
      <c r="H223" s="164" t="inlineStr">
        <is>
          <t>ml</t>
        </is>
      </c>
      <c r="I223" s="150">
        <f>IFERROR(INDEX('04 SKU Master'!$AM$5:$AM$165,MATCH($E223,'04 SKU Master'!$A$5:$A$165,0)),IFERROR(INDEX('05 Packaging Master'!$AM$5:$AM$50,MATCH($E223,'05 Packaging Master'!$A$5:$A$50,0)),IFERROR(INDEX('09 Cost Index'!$C$5:$C$24,MATCH($E223,'09 Cost Index'!$A$5:$A$24,0)),"")))</f>
        <v/>
      </c>
      <c r="J223" s="153">
        <f>'01 Control'!$C$7</f>
        <v/>
      </c>
      <c r="K223" s="150">
        <f>IF($I223="","",$G223*$I223*(1+$J223))</f>
        <v/>
      </c>
      <c r="L223" s="177">
        <f>IF(ISNUMBER(MATCH($E223,'09 Cost Index'!$A$5:$A$24,0)),"09 Cost Index",IF(ISNUMBER(MATCH($E223,'05 Packaging Master'!$A$5:$A$46,0)),"05 Packaging Master",IF(ISNUMBER(MATCH($E223,'04 SKU Master'!$A$5:$A$165,0)),"04 SKU Master","NOT FOUND")))</f>
        <v/>
      </c>
      <c r="M223" s="178">
        <f>IFERROR(INDEX('12 Final Menu'!$U$5:$U$200,MATCH($A223,'12 Final Menu'!$A$5:$A$200,0)),0)</f>
        <v/>
      </c>
      <c r="N223" s="165">
        <f>$G223*(1+$J223)*$M223*1000</f>
        <v/>
      </c>
    </row>
    <row r="224" ht="15" customHeight="1" s="106">
      <c r="A224" s="138" t="inlineStr">
        <is>
          <t>PP-BEV-SLUSH-STRAWBERRY</t>
        </is>
      </c>
      <c r="B224" s="138" t="inlineStr">
        <is>
          <t>Strawberry Slushee</t>
        </is>
      </c>
      <c r="C224" s="138" t="inlineStr">
        <is>
          <t>Beverage</t>
        </is>
      </c>
      <c r="D224" s="139" t="inlineStr">
        <is>
          <t>Packaging</t>
        </is>
      </c>
      <c r="E224" s="134" t="inlineStr">
        <is>
          <t>PP-PACK-CUP-SLUSH</t>
        </is>
      </c>
      <c r="F224" s="113" t="inlineStr">
        <is>
          <t>Slushee cup</t>
        </is>
      </c>
      <c r="G224" s="147" t="n">
        <v>1</v>
      </c>
      <c r="H224" s="164" t="inlineStr">
        <is>
          <t>ea</t>
        </is>
      </c>
      <c r="I224" s="150">
        <f>IFERROR(INDEX('04 SKU Master'!$AM$5:$AM$165,MATCH($E224,'04 SKU Master'!$A$5:$A$165,0)),IFERROR(INDEX('05 Packaging Master'!$AM$5:$AM$50,MATCH($E224,'05 Packaging Master'!$A$5:$A$50,0)),IFERROR(INDEX('09 Cost Index'!$C$5:$C$24,MATCH($E224,'09 Cost Index'!$A$5:$A$24,0)),"")))</f>
        <v/>
      </c>
      <c r="J224" s="153">
        <f>'01 Control'!$C$7</f>
        <v/>
      </c>
      <c r="K224" s="150">
        <f>IF($I224="","",$G224*$I224*(1+$J224))</f>
        <v/>
      </c>
      <c r="L224" s="177">
        <f>IF(ISNUMBER(MATCH($E224,'09 Cost Index'!$A$5:$A$24,0)),"09 Cost Index",IF(ISNUMBER(MATCH($E224,'05 Packaging Master'!$A$5:$A$46,0)),"05 Packaging Master",IF(ISNUMBER(MATCH($E224,'04 SKU Master'!$A$5:$A$165,0)),"04 SKU Master","NOT FOUND")))</f>
        <v/>
      </c>
      <c r="M224" s="178">
        <f>IFERROR(INDEX('12 Final Menu'!$U$5:$U$200,MATCH($A224,'12 Final Menu'!$A$5:$A$200,0)),0)</f>
        <v/>
      </c>
      <c r="N224" s="165">
        <f>$G224*(1+$J224)*$M224*1000</f>
        <v/>
      </c>
    </row>
    <row r="225" ht="15" customHeight="1" s="106">
      <c r="A225" s="138" t="inlineStr">
        <is>
          <t>PP-BEV-SLUSH-STRAWBERRY</t>
        </is>
      </c>
      <c r="B225" s="138" t="inlineStr">
        <is>
          <t>Strawberry Slushee</t>
        </is>
      </c>
      <c r="C225" s="138" t="inlineStr">
        <is>
          <t>Beverage</t>
        </is>
      </c>
      <c r="D225" s="139" t="inlineStr">
        <is>
          <t>Packaging</t>
        </is>
      </c>
      <c r="E225" s="134" t="inlineStr">
        <is>
          <t>PP-PACK-LID-DOME</t>
        </is>
      </c>
      <c r="F225" s="113" t="inlineStr">
        <is>
          <t>Dome lid</t>
        </is>
      </c>
      <c r="G225" s="147" t="n">
        <v>1</v>
      </c>
      <c r="H225" s="164" t="inlineStr">
        <is>
          <t>ea</t>
        </is>
      </c>
      <c r="I225" s="150">
        <f>IFERROR(INDEX('04 SKU Master'!$AM$5:$AM$165,MATCH($E225,'04 SKU Master'!$A$5:$A$165,0)),IFERROR(INDEX('05 Packaging Master'!$AM$5:$AM$50,MATCH($E225,'05 Packaging Master'!$A$5:$A$50,0)),IFERROR(INDEX('09 Cost Index'!$C$5:$C$24,MATCH($E225,'09 Cost Index'!$A$5:$A$24,0)),"")))</f>
        <v/>
      </c>
      <c r="J225" s="153">
        <f>'01 Control'!$C$7</f>
        <v/>
      </c>
      <c r="K225" s="150">
        <f>IF($I225="","",$G225*$I225*(1+$J225))</f>
        <v/>
      </c>
      <c r="L225" s="177">
        <f>IF(ISNUMBER(MATCH($E225,'09 Cost Index'!$A$5:$A$24,0)),"09 Cost Index",IF(ISNUMBER(MATCH($E225,'05 Packaging Master'!$A$5:$A$46,0)),"05 Packaging Master",IF(ISNUMBER(MATCH($E225,'04 SKU Master'!$A$5:$A$165,0)),"04 SKU Master","NOT FOUND")))</f>
        <v/>
      </c>
      <c r="M225" s="178">
        <f>IFERROR(INDEX('12 Final Menu'!$U$5:$U$200,MATCH($A225,'12 Final Menu'!$A$5:$A$200,0)),0)</f>
        <v/>
      </c>
      <c r="N225" s="165">
        <f>$G225*(1+$J225)*$M225*1000</f>
        <v/>
      </c>
    </row>
    <row r="226" ht="15" customHeight="1" s="106">
      <c r="A226" s="138" t="inlineStr">
        <is>
          <t>PP-BEV-SLUSH-STRAWBERRY</t>
        </is>
      </c>
      <c r="B226" s="138" t="inlineStr">
        <is>
          <t>Strawberry Slushee</t>
        </is>
      </c>
      <c r="C226" s="138" t="inlineStr">
        <is>
          <t>Beverage</t>
        </is>
      </c>
      <c r="D226" s="139" t="inlineStr">
        <is>
          <t>Packaging</t>
        </is>
      </c>
      <c r="E226" s="134" t="inlineStr">
        <is>
          <t>PP-PACK-STRAW</t>
        </is>
      </c>
      <c r="F226" s="113" t="inlineStr">
        <is>
          <t>Straw</t>
        </is>
      </c>
      <c r="G226" s="147" t="n">
        <v>1</v>
      </c>
      <c r="H226" s="164" t="inlineStr">
        <is>
          <t>ea</t>
        </is>
      </c>
      <c r="I226" s="150">
        <f>IFERROR(INDEX('04 SKU Master'!$AM$5:$AM$165,MATCH($E226,'04 SKU Master'!$A$5:$A$165,0)),IFERROR(INDEX('05 Packaging Master'!$AM$5:$AM$50,MATCH($E226,'05 Packaging Master'!$A$5:$A$50,0)),IFERROR(INDEX('09 Cost Index'!$C$5:$C$24,MATCH($E226,'09 Cost Index'!$A$5:$A$24,0)),"")))</f>
        <v/>
      </c>
      <c r="J226" s="153">
        <f>'01 Control'!$C$7</f>
        <v/>
      </c>
      <c r="K226" s="150">
        <f>IF($I226="","",$G226*$I226*(1+$J226))</f>
        <v/>
      </c>
      <c r="L226" s="177">
        <f>IF(ISNUMBER(MATCH($E226,'09 Cost Index'!$A$5:$A$24,0)),"09 Cost Index",IF(ISNUMBER(MATCH($E226,'05 Packaging Master'!$A$5:$A$46,0)),"05 Packaging Master",IF(ISNUMBER(MATCH($E226,'04 SKU Master'!$A$5:$A$165,0)),"04 SKU Master","NOT FOUND")))</f>
        <v/>
      </c>
      <c r="M226" s="178">
        <f>IFERROR(INDEX('12 Final Menu'!$U$5:$U$200,MATCH($A226,'12 Final Menu'!$A$5:$A$200,0)),0)</f>
        <v/>
      </c>
      <c r="N226" s="165">
        <f>$G226*(1+$J226)*$M226*1000</f>
        <v/>
      </c>
    </row>
    <row r="228" ht="15" customHeight="1" s="106">
      <c r="A228" s="179" t="inlineStr">
        <is>
          <t>Blue Bubblegum Slushee   |   PP-BEV-SLUSH-BUBBLEGUM   |   board price R18.00</t>
        </is>
      </c>
      <c r="B228" s="110" t="n"/>
      <c r="C228" s="110" t="n"/>
      <c r="D228" s="110" t="n"/>
      <c r="E228" s="110" t="n"/>
      <c r="F228" s="110" t="n"/>
      <c r="G228" s="110" t="n"/>
      <c r="H228" s="110" t="n"/>
      <c r="I228" s="110" t="n"/>
      <c r="J228" s="110" t="n"/>
      <c r="K228" s="110" t="n"/>
      <c r="L228" s="110" t="n"/>
      <c r="M228" s="110" t="n"/>
      <c r="N228" s="111" t="n"/>
    </row>
    <row r="229" ht="15" customHeight="1" s="106">
      <c r="A229" s="138" t="inlineStr">
        <is>
          <t>PP-BEV-SLUSH-BUBBLEGUM</t>
        </is>
      </c>
      <c r="B229" s="138" t="inlineStr">
        <is>
          <t>Blue Bubblegum Slushee</t>
        </is>
      </c>
      <c r="C229" s="138" t="inlineStr">
        <is>
          <t>Beverage</t>
        </is>
      </c>
      <c r="D229" s="139" t="inlineStr">
        <is>
          <t>Ingredient</t>
        </is>
      </c>
      <c r="E229" s="134" t="inlineStr">
        <is>
          <t>PP-BEV-SYR-BUBBLEGUM</t>
        </is>
      </c>
      <c r="F229" s="113" t="inlineStr">
        <is>
          <t>Blue bubblegum concentrate</t>
        </is>
      </c>
      <c r="G229" s="147" t="n">
        <v>80</v>
      </c>
      <c r="H229" s="164" t="inlineStr">
        <is>
          <t>ml</t>
        </is>
      </c>
      <c r="I229" s="150">
        <f>IFERROR(INDEX('04 SKU Master'!$AM$5:$AM$165,MATCH($E229,'04 SKU Master'!$A$5:$A$165,0)),IFERROR(INDEX('05 Packaging Master'!$AM$5:$AM$50,MATCH($E229,'05 Packaging Master'!$A$5:$A$50,0)),IFERROR(INDEX('09 Cost Index'!$C$5:$C$24,MATCH($E229,'09 Cost Index'!$A$5:$A$24,0)),"")))</f>
        <v/>
      </c>
      <c r="J229" s="153">
        <f>'01 Control'!$C$7</f>
        <v/>
      </c>
      <c r="K229" s="150">
        <f>IF($I229="","",$G229*$I229*(1+$J229))</f>
        <v/>
      </c>
      <c r="L229" s="177">
        <f>IF(ISNUMBER(MATCH($E229,'09 Cost Index'!$A$5:$A$24,0)),"09 Cost Index",IF(ISNUMBER(MATCH($E229,'05 Packaging Master'!$A$5:$A$46,0)),"05 Packaging Master",IF(ISNUMBER(MATCH($E229,'04 SKU Master'!$A$5:$A$165,0)),"04 SKU Master","NOT FOUND")))</f>
        <v/>
      </c>
      <c r="M229" s="178">
        <f>IFERROR(INDEX('12 Final Menu'!$U$5:$U$200,MATCH($A229,'12 Final Menu'!$A$5:$A$200,0)),0)</f>
        <v/>
      </c>
      <c r="N229" s="165">
        <f>$G229*(1+$J229)*$M229*1000</f>
        <v/>
      </c>
    </row>
    <row r="230" ht="15" customHeight="1" s="106">
      <c r="A230" s="138" t="inlineStr">
        <is>
          <t>PP-BEV-SLUSH-BUBBLEGUM</t>
        </is>
      </c>
      <c r="B230" s="138" t="inlineStr">
        <is>
          <t>Blue Bubblegum Slushee</t>
        </is>
      </c>
      <c r="C230" s="138" t="inlineStr">
        <is>
          <t>Beverage</t>
        </is>
      </c>
      <c r="D230" s="139" t="inlineStr">
        <is>
          <t>Ingredient</t>
        </is>
      </c>
      <c r="E230" s="134" t="inlineStr">
        <is>
          <t>PP-BEV-WATER-FILTERED</t>
        </is>
      </c>
      <c r="F230" s="113" t="inlineStr">
        <is>
          <t>Filtered water</t>
        </is>
      </c>
      <c r="G230" s="147" t="n">
        <v>320</v>
      </c>
      <c r="H230" s="164" t="inlineStr">
        <is>
          <t>ml</t>
        </is>
      </c>
      <c r="I230" s="150">
        <f>IFERROR(INDEX('04 SKU Master'!$AM$5:$AM$165,MATCH($E230,'04 SKU Master'!$A$5:$A$165,0)),IFERROR(INDEX('05 Packaging Master'!$AM$5:$AM$50,MATCH($E230,'05 Packaging Master'!$A$5:$A$50,0)),IFERROR(INDEX('09 Cost Index'!$C$5:$C$24,MATCH($E230,'09 Cost Index'!$A$5:$A$24,0)),"")))</f>
        <v/>
      </c>
      <c r="J230" s="153">
        <f>'01 Control'!$C$7</f>
        <v/>
      </c>
      <c r="K230" s="150">
        <f>IF($I230="","",$G230*$I230*(1+$J230))</f>
        <v/>
      </c>
      <c r="L230" s="177">
        <f>IF(ISNUMBER(MATCH($E230,'09 Cost Index'!$A$5:$A$24,0)),"09 Cost Index",IF(ISNUMBER(MATCH($E230,'05 Packaging Master'!$A$5:$A$46,0)),"05 Packaging Master",IF(ISNUMBER(MATCH($E230,'04 SKU Master'!$A$5:$A$165,0)),"04 SKU Master","NOT FOUND")))</f>
        <v/>
      </c>
      <c r="M230" s="178">
        <f>IFERROR(INDEX('12 Final Menu'!$U$5:$U$200,MATCH($A230,'12 Final Menu'!$A$5:$A$200,0)),0)</f>
        <v/>
      </c>
      <c r="N230" s="165">
        <f>$G230*(1+$J230)*$M230*1000</f>
        <v/>
      </c>
    </row>
    <row r="231" ht="15" customHeight="1" s="106">
      <c r="A231" s="138" t="inlineStr">
        <is>
          <t>PP-BEV-SLUSH-BUBBLEGUM</t>
        </is>
      </c>
      <c r="B231" s="138" t="inlineStr">
        <is>
          <t>Blue Bubblegum Slushee</t>
        </is>
      </c>
      <c r="C231" s="138" t="inlineStr">
        <is>
          <t>Beverage</t>
        </is>
      </c>
      <c r="D231" s="139" t="inlineStr">
        <is>
          <t>Packaging</t>
        </is>
      </c>
      <c r="E231" s="134" t="inlineStr">
        <is>
          <t>PP-PACK-CUP-SLUSH</t>
        </is>
      </c>
      <c r="F231" s="113" t="inlineStr">
        <is>
          <t>Slushee cup</t>
        </is>
      </c>
      <c r="G231" s="147" t="n">
        <v>1</v>
      </c>
      <c r="H231" s="164" t="inlineStr">
        <is>
          <t>ea</t>
        </is>
      </c>
      <c r="I231" s="150">
        <f>IFERROR(INDEX('04 SKU Master'!$AM$5:$AM$165,MATCH($E231,'04 SKU Master'!$A$5:$A$165,0)),IFERROR(INDEX('05 Packaging Master'!$AM$5:$AM$50,MATCH($E231,'05 Packaging Master'!$A$5:$A$50,0)),IFERROR(INDEX('09 Cost Index'!$C$5:$C$24,MATCH($E231,'09 Cost Index'!$A$5:$A$24,0)),"")))</f>
        <v/>
      </c>
      <c r="J231" s="153">
        <f>'01 Control'!$C$7</f>
        <v/>
      </c>
      <c r="K231" s="150">
        <f>IF($I231="","",$G231*$I231*(1+$J231))</f>
        <v/>
      </c>
      <c r="L231" s="177">
        <f>IF(ISNUMBER(MATCH($E231,'09 Cost Index'!$A$5:$A$24,0)),"09 Cost Index",IF(ISNUMBER(MATCH($E231,'05 Packaging Master'!$A$5:$A$46,0)),"05 Packaging Master",IF(ISNUMBER(MATCH($E231,'04 SKU Master'!$A$5:$A$165,0)),"04 SKU Master","NOT FOUND")))</f>
        <v/>
      </c>
      <c r="M231" s="178">
        <f>IFERROR(INDEX('12 Final Menu'!$U$5:$U$200,MATCH($A231,'12 Final Menu'!$A$5:$A$200,0)),0)</f>
        <v/>
      </c>
      <c r="N231" s="165">
        <f>$G231*(1+$J231)*$M231*1000</f>
        <v/>
      </c>
    </row>
    <row r="232" ht="15" customHeight="1" s="106">
      <c r="A232" s="138" t="inlineStr">
        <is>
          <t>PP-BEV-SLUSH-BUBBLEGUM</t>
        </is>
      </c>
      <c r="B232" s="138" t="inlineStr">
        <is>
          <t>Blue Bubblegum Slushee</t>
        </is>
      </c>
      <c r="C232" s="138" t="inlineStr">
        <is>
          <t>Beverage</t>
        </is>
      </c>
      <c r="D232" s="139" t="inlineStr">
        <is>
          <t>Packaging</t>
        </is>
      </c>
      <c r="E232" s="134" t="inlineStr">
        <is>
          <t>PP-PACK-LID-DOME</t>
        </is>
      </c>
      <c r="F232" s="113" t="inlineStr">
        <is>
          <t>Dome lid</t>
        </is>
      </c>
      <c r="G232" s="147" t="n">
        <v>1</v>
      </c>
      <c r="H232" s="164" t="inlineStr">
        <is>
          <t>ea</t>
        </is>
      </c>
      <c r="I232" s="150">
        <f>IFERROR(INDEX('04 SKU Master'!$AM$5:$AM$165,MATCH($E232,'04 SKU Master'!$A$5:$A$165,0)),IFERROR(INDEX('05 Packaging Master'!$AM$5:$AM$50,MATCH($E232,'05 Packaging Master'!$A$5:$A$50,0)),IFERROR(INDEX('09 Cost Index'!$C$5:$C$24,MATCH($E232,'09 Cost Index'!$A$5:$A$24,0)),"")))</f>
        <v/>
      </c>
      <c r="J232" s="153">
        <f>'01 Control'!$C$7</f>
        <v/>
      </c>
      <c r="K232" s="150">
        <f>IF($I232="","",$G232*$I232*(1+$J232))</f>
        <v/>
      </c>
      <c r="L232" s="177">
        <f>IF(ISNUMBER(MATCH($E232,'09 Cost Index'!$A$5:$A$24,0)),"09 Cost Index",IF(ISNUMBER(MATCH($E232,'05 Packaging Master'!$A$5:$A$46,0)),"05 Packaging Master",IF(ISNUMBER(MATCH($E232,'04 SKU Master'!$A$5:$A$165,0)),"04 SKU Master","NOT FOUND")))</f>
        <v/>
      </c>
      <c r="M232" s="178">
        <f>IFERROR(INDEX('12 Final Menu'!$U$5:$U$200,MATCH($A232,'12 Final Menu'!$A$5:$A$200,0)),0)</f>
        <v/>
      </c>
      <c r="N232" s="165">
        <f>$G232*(1+$J232)*$M232*1000</f>
        <v/>
      </c>
    </row>
    <row r="233" ht="15" customHeight="1" s="106">
      <c r="A233" s="138" t="inlineStr">
        <is>
          <t>PP-BEV-SLUSH-BUBBLEGUM</t>
        </is>
      </c>
      <c r="B233" s="138" t="inlineStr">
        <is>
          <t>Blue Bubblegum Slushee</t>
        </is>
      </c>
      <c r="C233" s="138" t="inlineStr">
        <is>
          <t>Beverage</t>
        </is>
      </c>
      <c r="D233" s="139" t="inlineStr">
        <is>
          <t>Packaging</t>
        </is>
      </c>
      <c r="E233" s="134" t="inlineStr">
        <is>
          <t>PP-PACK-STRAW</t>
        </is>
      </c>
      <c r="F233" s="113" t="inlineStr">
        <is>
          <t>Straw</t>
        </is>
      </c>
      <c r="G233" s="147" t="n">
        <v>1</v>
      </c>
      <c r="H233" s="164" t="inlineStr">
        <is>
          <t>ea</t>
        </is>
      </c>
      <c r="I233" s="150">
        <f>IFERROR(INDEX('04 SKU Master'!$AM$5:$AM$165,MATCH($E233,'04 SKU Master'!$A$5:$A$165,0)),IFERROR(INDEX('05 Packaging Master'!$AM$5:$AM$50,MATCH($E233,'05 Packaging Master'!$A$5:$A$50,0)),IFERROR(INDEX('09 Cost Index'!$C$5:$C$24,MATCH($E233,'09 Cost Index'!$A$5:$A$24,0)),"")))</f>
        <v/>
      </c>
      <c r="J233" s="153">
        <f>'01 Control'!$C$7</f>
        <v/>
      </c>
      <c r="K233" s="150">
        <f>IF($I233="","",$G233*$I233*(1+$J233))</f>
        <v/>
      </c>
      <c r="L233" s="177">
        <f>IF(ISNUMBER(MATCH($E233,'09 Cost Index'!$A$5:$A$24,0)),"09 Cost Index",IF(ISNUMBER(MATCH($E233,'05 Packaging Master'!$A$5:$A$46,0)),"05 Packaging Master",IF(ISNUMBER(MATCH($E233,'04 SKU Master'!$A$5:$A$165,0)),"04 SKU Master","NOT FOUND")))</f>
        <v/>
      </c>
      <c r="M233" s="178">
        <f>IFERROR(INDEX('12 Final Menu'!$U$5:$U$200,MATCH($A233,'12 Final Menu'!$A$5:$A$200,0)),0)</f>
        <v/>
      </c>
      <c r="N233" s="165">
        <f>$G233*(1+$J233)*$M233*1000</f>
        <v/>
      </c>
    </row>
    <row r="235" ht="15" customHeight="1" s="106">
      <c r="A235" s="179" t="inlineStr">
        <is>
          <t>Ginger-Lime Slushee   |   PP-BEV-SLUSH-GINGERLIME   |   board price R22.00</t>
        </is>
      </c>
      <c r="B235" s="110" t="n"/>
      <c r="C235" s="110" t="n"/>
      <c r="D235" s="110" t="n"/>
      <c r="E235" s="110" t="n"/>
      <c r="F235" s="110" t="n"/>
      <c r="G235" s="110" t="n"/>
      <c r="H235" s="110" t="n"/>
      <c r="I235" s="110" t="n"/>
      <c r="J235" s="110" t="n"/>
      <c r="K235" s="110" t="n"/>
      <c r="L235" s="110" t="n"/>
      <c r="M235" s="110" t="n"/>
      <c r="N235" s="111" t="n"/>
    </row>
    <row r="236" ht="15" customHeight="1" s="106">
      <c r="A236" s="138" t="inlineStr">
        <is>
          <t>PP-BEV-SLUSH-GINGERLIME</t>
        </is>
      </c>
      <c r="B236" s="138" t="inlineStr">
        <is>
          <t>Ginger-Lime Slushee</t>
        </is>
      </c>
      <c r="C236" s="138" t="inlineStr">
        <is>
          <t>Beverage</t>
        </is>
      </c>
      <c r="D236" s="139" t="inlineStr">
        <is>
          <t>Ingredient</t>
        </is>
      </c>
      <c r="E236" s="134" t="inlineStr">
        <is>
          <t>PP-BEV-SYR-GINGERLIME</t>
        </is>
      </c>
      <c r="F236" s="113" t="inlineStr">
        <is>
          <t>Ginger-lime concentrate</t>
        </is>
      </c>
      <c r="G236" s="147" t="n">
        <v>80</v>
      </c>
      <c r="H236" s="164" t="inlineStr">
        <is>
          <t>ml</t>
        </is>
      </c>
      <c r="I236" s="150">
        <f>IFERROR(INDEX('04 SKU Master'!$AM$5:$AM$165,MATCH($E236,'04 SKU Master'!$A$5:$A$165,0)),IFERROR(INDEX('05 Packaging Master'!$AM$5:$AM$50,MATCH($E236,'05 Packaging Master'!$A$5:$A$50,0)),IFERROR(INDEX('09 Cost Index'!$C$5:$C$24,MATCH($E236,'09 Cost Index'!$A$5:$A$24,0)),"")))</f>
        <v/>
      </c>
      <c r="J236" s="153">
        <f>'01 Control'!$C$7</f>
        <v/>
      </c>
      <c r="K236" s="150">
        <f>IF($I236="","",$G236*$I236*(1+$J236))</f>
        <v/>
      </c>
      <c r="L236" s="177">
        <f>IF(ISNUMBER(MATCH($E236,'09 Cost Index'!$A$5:$A$24,0)),"09 Cost Index",IF(ISNUMBER(MATCH($E236,'05 Packaging Master'!$A$5:$A$46,0)),"05 Packaging Master",IF(ISNUMBER(MATCH($E236,'04 SKU Master'!$A$5:$A$165,0)),"04 SKU Master","NOT FOUND")))</f>
        <v/>
      </c>
      <c r="M236" s="178">
        <f>IFERROR(INDEX('12 Final Menu'!$U$5:$U$200,MATCH($A236,'12 Final Menu'!$A$5:$A$200,0)),0)</f>
        <v/>
      </c>
      <c r="N236" s="165">
        <f>$G236*(1+$J236)*$M236*1000</f>
        <v/>
      </c>
    </row>
    <row r="237" ht="15" customHeight="1" s="106">
      <c r="A237" s="138" t="inlineStr">
        <is>
          <t>PP-BEV-SLUSH-GINGERLIME</t>
        </is>
      </c>
      <c r="B237" s="138" t="inlineStr">
        <is>
          <t>Ginger-Lime Slushee</t>
        </is>
      </c>
      <c r="C237" s="138" t="inlineStr">
        <is>
          <t>Beverage</t>
        </is>
      </c>
      <c r="D237" s="139" t="inlineStr">
        <is>
          <t>Ingredient</t>
        </is>
      </c>
      <c r="E237" s="134" t="inlineStr">
        <is>
          <t>PP-BEV-WATER-FILTERED</t>
        </is>
      </c>
      <c r="F237" s="113" t="inlineStr">
        <is>
          <t>Filtered water</t>
        </is>
      </c>
      <c r="G237" s="147" t="n">
        <v>320</v>
      </c>
      <c r="H237" s="164" t="inlineStr">
        <is>
          <t>ml</t>
        </is>
      </c>
      <c r="I237" s="150">
        <f>IFERROR(INDEX('04 SKU Master'!$AM$5:$AM$165,MATCH($E237,'04 SKU Master'!$A$5:$A$165,0)),IFERROR(INDEX('05 Packaging Master'!$AM$5:$AM$50,MATCH($E237,'05 Packaging Master'!$A$5:$A$50,0)),IFERROR(INDEX('09 Cost Index'!$C$5:$C$24,MATCH($E237,'09 Cost Index'!$A$5:$A$24,0)),"")))</f>
        <v/>
      </c>
      <c r="J237" s="153">
        <f>'01 Control'!$C$7</f>
        <v/>
      </c>
      <c r="K237" s="150">
        <f>IF($I237="","",$G237*$I237*(1+$J237))</f>
        <v/>
      </c>
      <c r="L237" s="177">
        <f>IF(ISNUMBER(MATCH($E237,'09 Cost Index'!$A$5:$A$24,0)),"09 Cost Index",IF(ISNUMBER(MATCH($E237,'05 Packaging Master'!$A$5:$A$46,0)),"05 Packaging Master",IF(ISNUMBER(MATCH($E237,'04 SKU Master'!$A$5:$A$165,0)),"04 SKU Master","NOT FOUND")))</f>
        <v/>
      </c>
      <c r="M237" s="178">
        <f>IFERROR(INDEX('12 Final Menu'!$U$5:$U$200,MATCH($A237,'12 Final Menu'!$A$5:$A$200,0)),0)</f>
        <v/>
      </c>
      <c r="N237" s="165">
        <f>$G237*(1+$J237)*$M237*1000</f>
        <v/>
      </c>
    </row>
    <row r="238" ht="15" customHeight="1" s="106">
      <c r="A238" s="138" t="inlineStr">
        <is>
          <t>PP-BEV-SLUSH-GINGERLIME</t>
        </is>
      </c>
      <c r="B238" s="138" t="inlineStr">
        <is>
          <t>Ginger-Lime Slushee</t>
        </is>
      </c>
      <c r="C238" s="138" t="inlineStr">
        <is>
          <t>Beverage</t>
        </is>
      </c>
      <c r="D238" s="139" t="inlineStr">
        <is>
          <t>Packaging</t>
        </is>
      </c>
      <c r="E238" s="134" t="inlineStr">
        <is>
          <t>PP-PACK-CUP-SLUSH</t>
        </is>
      </c>
      <c r="F238" s="113" t="inlineStr">
        <is>
          <t>Slushee cup</t>
        </is>
      </c>
      <c r="G238" s="147" t="n">
        <v>1</v>
      </c>
      <c r="H238" s="164" t="inlineStr">
        <is>
          <t>ea</t>
        </is>
      </c>
      <c r="I238" s="150">
        <f>IFERROR(INDEX('04 SKU Master'!$AM$5:$AM$165,MATCH($E238,'04 SKU Master'!$A$5:$A$165,0)),IFERROR(INDEX('05 Packaging Master'!$AM$5:$AM$50,MATCH($E238,'05 Packaging Master'!$A$5:$A$50,0)),IFERROR(INDEX('09 Cost Index'!$C$5:$C$24,MATCH($E238,'09 Cost Index'!$A$5:$A$24,0)),"")))</f>
        <v/>
      </c>
      <c r="J238" s="153">
        <f>'01 Control'!$C$7</f>
        <v/>
      </c>
      <c r="K238" s="150">
        <f>IF($I238="","",$G238*$I238*(1+$J238))</f>
        <v/>
      </c>
      <c r="L238" s="177">
        <f>IF(ISNUMBER(MATCH($E238,'09 Cost Index'!$A$5:$A$24,0)),"09 Cost Index",IF(ISNUMBER(MATCH($E238,'05 Packaging Master'!$A$5:$A$46,0)),"05 Packaging Master",IF(ISNUMBER(MATCH($E238,'04 SKU Master'!$A$5:$A$165,0)),"04 SKU Master","NOT FOUND")))</f>
        <v/>
      </c>
      <c r="M238" s="178">
        <f>IFERROR(INDEX('12 Final Menu'!$U$5:$U$200,MATCH($A238,'12 Final Menu'!$A$5:$A$200,0)),0)</f>
        <v/>
      </c>
      <c r="N238" s="165">
        <f>$G238*(1+$J238)*$M238*1000</f>
        <v/>
      </c>
    </row>
    <row r="239" ht="15" customHeight="1" s="106">
      <c r="A239" s="138" t="inlineStr">
        <is>
          <t>PP-BEV-SLUSH-GINGERLIME</t>
        </is>
      </c>
      <c r="B239" s="138" t="inlineStr">
        <is>
          <t>Ginger-Lime Slushee</t>
        </is>
      </c>
      <c r="C239" s="138" t="inlineStr">
        <is>
          <t>Beverage</t>
        </is>
      </c>
      <c r="D239" s="139" t="inlineStr">
        <is>
          <t>Packaging</t>
        </is>
      </c>
      <c r="E239" s="134" t="inlineStr">
        <is>
          <t>PP-PACK-LID-DOME</t>
        </is>
      </c>
      <c r="F239" s="113" t="inlineStr">
        <is>
          <t>Dome lid</t>
        </is>
      </c>
      <c r="G239" s="147" t="n">
        <v>1</v>
      </c>
      <c r="H239" s="164" t="inlineStr">
        <is>
          <t>ea</t>
        </is>
      </c>
      <c r="I239" s="150">
        <f>IFERROR(INDEX('04 SKU Master'!$AM$5:$AM$165,MATCH($E239,'04 SKU Master'!$A$5:$A$165,0)),IFERROR(INDEX('05 Packaging Master'!$AM$5:$AM$50,MATCH($E239,'05 Packaging Master'!$A$5:$A$50,0)),IFERROR(INDEX('09 Cost Index'!$C$5:$C$24,MATCH($E239,'09 Cost Index'!$A$5:$A$24,0)),"")))</f>
        <v/>
      </c>
      <c r="J239" s="153">
        <f>'01 Control'!$C$7</f>
        <v/>
      </c>
      <c r="K239" s="150">
        <f>IF($I239="","",$G239*$I239*(1+$J239))</f>
        <v/>
      </c>
      <c r="L239" s="177">
        <f>IF(ISNUMBER(MATCH($E239,'09 Cost Index'!$A$5:$A$24,0)),"09 Cost Index",IF(ISNUMBER(MATCH($E239,'05 Packaging Master'!$A$5:$A$46,0)),"05 Packaging Master",IF(ISNUMBER(MATCH($E239,'04 SKU Master'!$A$5:$A$165,0)),"04 SKU Master","NOT FOUND")))</f>
        <v/>
      </c>
      <c r="M239" s="178">
        <f>IFERROR(INDEX('12 Final Menu'!$U$5:$U$200,MATCH($A239,'12 Final Menu'!$A$5:$A$200,0)),0)</f>
        <v/>
      </c>
      <c r="N239" s="165">
        <f>$G239*(1+$J239)*$M239*1000</f>
        <v/>
      </c>
    </row>
    <row r="240" ht="15" customHeight="1" s="106">
      <c r="A240" s="138" t="inlineStr">
        <is>
          <t>PP-BEV-SLUSH-GINGERLIME</t>
        </is>
      </c>
      <c r="B240" s="138" t="inlineStr">
        <is>
          <t>Ginger-Lime Slushee</t>
        </is>
      </c>
      <c r="C240" s="138" t="inlineStr">
        <is>
          <t>Beverage</t>
        </is>
      </c>
      <c r="D240" s="139" t="inlineStr">
        <is>
          <t>Packaging</t>
        </is>
      </c>
      <c r="E240" s="134" t="inlineStr">
        <is>
          <t>PP-PACK-STRAW</t>
        </is>
      </c>
      <c r="F240" s="113" t="inlineStr">
        <is>
          <t>Straw</t>
        </is>
      </c>
      <c r="G240" s="147" t="n">
        <v>1</v>
      </c>
      <c r="H240" s="164" t="inlineStr">
        <is>
          <t>ea</t>
        </is>
      </c>
      <c r="I240" s="150">
        <f>IFERROR(INDEX('04 SKU Master'!$AM$5:$AM$165,MATCH($E240,'04 SKU Master'!$A$5:$A$165,0)),IFERROR(INDEX('05 Packaging Master'!$AM$5:$AM$50,MATCH($E240,'05 Packaging Master'!$A$5:$A$50,0)),IFERROR(INDEX('09 Cost Index'!$C$5:$C$24,MATCH($E240,'09 Cost Index'!$A$5:$A$24,0)),"")))</f>
        <v/>
      </c>
      <c r="J240" s="153">
        <f>'01 Control'!$C$7</f>
        <v/>
      </c>
      <c r="K240" s="150">
        <f>IF($I240="","",$G240*$I240*(1+$J240))</f>
        <v/>
      </c>
      <c r="L240" s="177">
        <f>IF(ISNUMBER(MATCH($E240,'09 Cost Index'!$A$5:$A$24,0)),"09 Cost Index",IF(ISNUMBER(MATCH($E240,'05 Packaging Master'!$A$5:$A$46,0)),"05 Packaging Master",IF(ISNUMBER(MATCH($E240,'04 SKU Master'!$A$5:$A$165,0)),"04 SKU Master","NOT FOUND")))</f>
        <v/>
      </c>
      <c r="M240" s="178">
        <f>IFERROR(INDEX('12 Final Menu'!$U$5:$U$200,MATCH($A240,'12 Final Menu'!$A$5:$A$200,0)),0)</f>
        <v/>
      </c>
      <c r="N240" s="165">
        <f>$G240*(1+$J240)*$M240*1000</f>
        <v/>
      </c>
    </row>
    <row r="242" ht="15" customHeight="1" s="106">
      <c r="A242" s="179" t="inlineStr">
        <is>
          <t>Papa's Red (mixed berry)   |   PP-BEV-SLUSH-BERRY   |   board price R22.00</t>
        </is>
      </c>
      <c r="B242" s="110" t="n"/>
      <c r="C242" s="110" t="n"/>
      <c r="D242" s="110" t="n"/>
      <c r="E242" s="110" t="n"/>
      <c r="F242" s="110" t="n"/>
      <c r="G242" s="110" t="n"/>
      <c r="H242" s="110" t="n"/>
      <c r="I242" s="110" t="n"/>
      <c r="J242" s="110" t="n"/>
      <c r="K242" s="110" t="n"/>
      <c r="L242" s="110" t="n"/>
      <c r="M242" s="110" t="n"/>
      <c r="N242" s="111" t="n"/>
    </row>
    <row r="243" ht="15" customHeight="1" s="106">
      <c r="A243" s="138" t="inlineStr">
        <is>
          <t>PP-BEV-SLUSH-BERRY</t>
        </is>
      </c>
      <c r="B243" s="138" t="inlineStr">
        <is>
          <t>Papa's Red (mixed berry)</t>
        </is>
      </c>
      <c r="C243" s="138" t="inlineStr">
        <is>
          <t>Beverage</t>
        </is>
      </c>
      <c r="D243" s="139" t="inlineStr">
        <is>
          <t>Ingredient</t>
        </is>
      </c>
      <c r="E243" s="134" t="inlineStr">
        <is>
          <t>PP-BEV-SYR-BERRY</t>
        </is>
      </c>
      <c r="F243" s="113" t="inlineStr">
        <is>
          <t>Mixed berry concentrate</t>
        </is>
      </c>
      <c r="G243" s="147" t="n">
        <v>80</v>
      </c>
      <c r="H243" s="164" t="inlineStr">
        <is>
          <t>ml</t>
        </is>
      </c>
      <c r="I243" s="150">
        <f>IFERROR(INDEX('04 SKU Master'!$AM$5:$AM$165,MATCH($E243,'04 SKU Master'!$A$5:$A$165,0)),IFERROR(INDEX('05 Packaging Master'!$AM$5:$AM$50,MATCH($E243,'05 Packaging Master'!$A$5:$A$50,0)),IFERROR(INDEX('09 Cost Index'!$C$5:$C$24,MATCH($E243,'09 Cost Index'!$A$5:$A$24,0)),"")))</f>
        <v/>
      </c>
      <c r="J243" s="153">
        <f>'01 Control'!$C$7</f>
        <v/>
      </c>
      <c r="K243" s="150">
        <f>IF($I243="","",$G243*$I243*(1+$J243))</f>
        <v/>
      </c>
      <c r="L243" s="177">
        <f>IF(ISNUMBER(MATCH($E243,'09 Cost Index'!$A$5:$A$24,0)),"09 Cost Index",IF(ISNUMBER(MATCH($E243,'05 Packaging Master'!$A$5:$A$46,0)),"05 Packaging Master",IF(ISNUMBER(MATCH($E243,'04 SKU Master'!$A$5:$A$165,0)),"04 SKU Master","NOT FOUND")))</f>
        <v/>
      </c>
      <c r="M243" s="178">
        <f>IFERROR(INDEX('12 Final Menu'!$U$5:$U$200,MATCH($A243,'12 Final Menu'!$A$5:$A$200,0)),0)</f>
        <v/>
      </c>
      <c r="N243" s="165">
        <f>$G243*(1+$J243)*$M243*1000</f>
        <v/>
      </c>
    </row>
    <row r="244" ht="15" customHeight="1" s="106">
      <c r="A244" s="138" t="inlineStr">
        <is>
          <t>PP-BEV-SLUSH-BERRY</t>
        </is>
      </c>
      <c r="B244" s="138" t="inlineStr">
        <is>
          <t>Papa's Red (mixed berry)</t>
        </is>
      </c>
      <c r="C244" s="138" t="inlineStr">
        <is>
          <t>Beverage</t>
        </is>
      </c>
      <c r="D244" s="139" t="inlineStr">
        <is>
          <t>Ingredient</t>
        </is>
      </c>
      <c r="E244" s="134" t="inlineStr">
        <is>
          <t>PP-BEV-WATER-FILTERED</t>
        </is>
      </c>
      <c r="F244" s="113" t="inlineStr">
        <is>
          <t>Filtered water</t>
        </is>
      </c>
      <c r="G244" s="147" t="n">
        <v>320</v>
      </c>
      <c r="H244" s="164" t="inlineStr">
        <is>
          <t>ml</t>
        </is>
      </c>
      <c r="I244" s="150">
        <f>IFERROR(INDEX('04 SKU Master'!$AM$5:$AM$165,MATCH($E244,'04 SKU Master'!$A$5:$A$165,0)),IFERROR(INDEX('05 Packaging Master'!$AM$5:$AM$50,MATCH($E244,'05 Packaging Master'!$A$5:$A$50,0)),IFERROR(INDEX('09 Cost Index'!$C$5:$C$24,MATCH($E244,'09 Cost Index'!$A$5:$A$24,0)),"")))</f>
        <v/>
      </c>
      <c r="J244" s="153">
        <f>'01 Control'!$C$7</f>
        <v/>
      </c>
      <c r="K244" s="150">
        <f>IF($I244="","",$G244*$I244*(1+$J244))</f>
        <v/>
      </c>
      <c r="L244" s="177">
        <f>IF(ISNUMBER(MATCH($E244,'09 Cost Index'!$A$5:$A$24,0)),"09 Cost Index",IF(ISNUMBER(MATCH($E244,'05 Packaging Master'!$A$5:$A$46,0)),"05 Packaging Master",IF(ISNUMBER(MATCH($E244,'04 SKU Master'!$A$5:$A$165,0)),"04 SKU Master","NOT FOUND")))</f>
        <v/>
      </c>
      <c r="M244" s="178">
        <f>IFERROR(INDEX('12 Final Menu'!$U$5:$U$200,MATCH($A244,'12 Final Menu'!$A$5:$A$200,0)),0)</f>
        <v/>
      </c>
      <c r="N244" s="165">
        <f>$G244*(1+$J244)*$M244*1000</f>
        <v/>
      </c>
    </row>
    <row r="245" ht="15" customHeight="1" s="106">
      <c r="A245" s="138" t="inlineStr">
        <is>
          <t>PP-BEV-SLUSH-BERRY</t>
        </is>
      </c>
      <c r="B245" s="138" t="inlineStr">
        <is>
          <t>Papa's Red (mixed berry)</t>
        </is>
      </c>
      <c r="C245" s="138" t="inlineStr">
        <is>
          <t>Beverage</t>
        </is>
      </c>
      <c r="D245" s="139" t="inlineStr">
        <is>
          <t>Packaging</t>
        </is>
      </c>
      <c r="E245" s="134" t="inlineStr">
        <is>
          <t>PP-PACK-CUP-SLUSH</t>
        </is>
      </c>
      <c r="F245" s="113" t="inlineStr">
        <is>
          <t>Slushee cup</t>
        </is>
      </c>
      <c r="G245" s="147" t="n">
        <v>1</v>
      </c>
      <c r="H245" s="164" t="inlineStr">
        <is>
          <t>ea</t>
        </is>
      </c>
      <c r="I245" s="150">
        <f>IFERROR(INDEX('04 SKU Master'!$AM$5:$AM$165,MATCH($E245,'04 SKU Master'!$A$5:$A$165,0)),IFERROR(INDEX('05 Packaging Master'!$AM$5:$AM$50,MATCH($E245,'05 Packaging Master'!$A$5:$A$50,0)),IFERROR(INDEX('09 Cost Index'!$C$5:$C$24,MATCH($E245,'09 Cost Index'!$A$5:$A$24,0)),"")))</f>
        <v/>
      </c>
      <c r="J245" s="153">
        <f>'01 Control'!$C$7</f>
        <v/>
      </c>
      <c r="K245" s="150">
        <f>IF($I245="","",$G245*$I245*(1+$J245))</f>
        <v/>
      </c>
      <c r="L245" s="177">
        <f>IF(ISNUMBER(MATCH($E245,'09 Cost Index'!$A$5:$A$24,0)),"09 Cost Index",IF(ISNUMBER(MATCH($E245,'05 Packaging Master'!$A$5:$A$46,0)),"05 Packaging Master",IF(ISNUMBER(MATCH($E245,'04 SKU Master'!$A$5:$A$165,0)),"04 SKU Master","NOT FOUND")))</f>
        <v/>
      </c>
      <c r="M245" s="178">
        <f>IFERROR(INDEX('12 Final Menu'!$U$5:$U$200,MATCH($A245,'12 Final Menu'!$A$5:$A$200,0)),0)</f>
        <v/>
      </c>
      <c r="N245" s="165">
        <f>$G245*(1+$J245)*$M245*1000</f>
        <v/>
      </c>
    </row>
    <row r="246" ht="15" customHeight="1" s="106">
      <c r="A246" s="138" t="inlineStr">
        <is>
          <t>PP-BEV-SLUSH-BERRY</t>
        </is>
      </c>
      <c r="B246" s="138" t="inlineStr">
        <is>
          <t>Papa's Red (mixed berry)</t>
        </is>
      </c>
      <c r="C246" s="138" t="inlineStr">
        <is>
          <t>Beverage</t>
        </is>
      </c>
      <c r="D246" s="139" t="inlineStr">
        <is>
          <t>Packaging</t>
        </is>
      </c>
      <c r="E246" s="134" t="inlineStr">
        <is>
          <t>PP-PACK-LID-DOME</t>
        </is>
      </c>
      <c r="F246" s="113" t="inlineStr">
        <is>
          <t>Dome lid</t>
        </is>
      </c>
      <c r="G246" s="147" t="n">
        <v>1</v>
      </c>
      <c r="H246" s="164" t="inlineStr">
        <is>
          <t>ea</t>
        </is>
      </c>
      <c r="I246" s="150">
        <f>IFERROR(INDEX('04 SKU Master'!$AM$5:$AM$165,MATCH($E246,'04 SKU Master'!$A$5:$A$165,0)),IFERROR(INDEX('05 Packaging Master'!$AM$5:$AM$50,MATCH($E246,'05 Packaging Master'!$A$5:$A$50,0)),IFERROR(INDEX('09 Cost Index'!$C$5:$C$24,MATCH($E246,'09 Cost Index'!$A$5:$A$24,0)),"")))</f>
        <v/>
      </c>
      <c r="J246" s="153">
        <f>'01 Control'!$C$7</f>
        <v/>
      </c>
      <c r="K246" s="150">
        <f>IF($I246="","",$G246*$I246*(1+$J246))</f>
        <v/>
      </c>
      <c r="L246" s="177">
        <f>IF(ISNUMBER(MATCH($E246,'09 Cost Index'!$A$5:$A$24,0)),"09 Cost Index",IF(ISNUMBER(MATCH($E246,'05 Packaging Master'!$A$5:$A$46,0)),"05 Packaging Master",IF(ISNUMBER(MATCH($E246,'04 SKU Master'!$A$5:$A$165,0)),"04 SKU Master","NOT FOUND")))</f>
        <v/>
      </c>
      <c r="M246" s="178">
        <f>IFERROR(INDEX('12 Final Menu'!$U$5:$U$200,MATCH($A246,'12 Final Menu'!$A$5:$A$200,0)),0)</f>
        <v/>
      </c>
      <c r="N246" s="165">
        <f>$G246*(1+$J246)*$M246*1000</f>
        <v/>
      </c>
    </row>
    <row r="247" ht="15" customHeight="1" s="106">
      <c r="A247" s="138" t="inlineStr">
        <is>
          <t>PP-BEV-SLUSH-BERRY</t>
        </is>
      </c>
      <c r="B247" s="138" t="inlineStr">
        <is>
          <t>Papa's Red (mixed berry)</t>
        </is>
      </c>
      <c r="C247" s="138" t="inlineStr">
        <is>
          <t>Beverage</t>
        </is>
      </c>
      <c r="D247" s="139" t="inlineStr">
        <is>
          <t>Packaging</t>
        </is>
      </c>
      <c r="E247" s="134" t="inlineStr">
        <is>
          <t>PP-PACK-STRAW</t>
        </is>
      </c>
      <c r="F247" s="113" t="inlineStr">
        <is>
          <t>Straw</t>
        </is>
      </c>
      <c r="G247" s="147" t="n">
        <v>1</v>
      </c>
      <c r="H247" s="164" t="inlineStr">
        <is>
          <t>ea</t>
        </is>
      </c>
      <c r="I247" s="150">
        <f>IFERROR(INDEX('04 SKU Master'!$AM$5:$AM$165,MATCH($E247,'04 SKU Master'!$A$5:$A$165,0)),IFERROR(INDEX('05 Packaging Master'!$AM$5:$AM$50,MATCH($E247,'05 Packaging Master'!$A$5:$A$50,0)),IFERROR(INDEX('09 Cost Index'!$C$5:$C$24,MATCH($E247,'09 Cost Index'!$A$5:$A$24,0)),"")))</f>
        <v/>
      </c>
      <c r="J247" s="153">
        <f>'01 Control'!$C$7</f>
        <v/>
      </c>
      <c r="K247" s="150">
        <f>IF($I247="","",$G247*$I247*(1+$J247))</f>
        <v/>
      </c>
      <c r="L247" s="177">
        <f>IF(ISNUMBER(MATCH($E247,'09 Cost Index'!$A$5:$A$24,0)),"09 Cost Index",IF(ISNUMBER(MATCH($E247,'05 Packaging Master'!$A$5:$A$46,0)),"05 Packaging Master",IF(ISNUMBER(MATCH($E247,'04 SKU Master'!$A$5:$A$165,0)),"04 SKU Master","NOT FOUND")))</f>
        <v/>
      </c>
      <c r="M247" s="178">
        <f>IFERROR(INDEX('12 Final Menu'!$U$5:$U$200,MATCH($A247,'12 Final Menu'!$A$5:$A$200,0)),0)</f>
        <v/>
      </c>
      <c r="N247" s="165">
        <f>$G247*(1+$J247)*$M247*1000</f>
        <v/>
      </c>
    </row>
    <row r="249" ht="15" customHeight="1" s="106">
      <c r="A249" s="179" t="inlineStr">
        <is>
          <t>Post-Mix Soda   |   PP-BEV-SODA   |   board price R15.00</t>
        </is>
      </c>
      <c r="B249" s="110" t="n"/>
      <c r="C249" s="110" t="n"/>
      <c r="D249" s="110" t="n"/>
      <c r="E249" s="110" t="n"/>
      <c r="F249" s="110" t="n"/>
      <c r="G249" s="110" t="n"/>
      <c r="H249" s="110" t="n"/>
      <c r="I249" s="110" t="n"/>
      <c r="J249" s="110" t="n"/>
      <c r="K249" s="110" t="n"/>
      <c r="L249" s="110" t="n"/>
      <c r="M249" s="110" t="n"/>
      <c r="N249" s="111" t="n"/>
    </row>
    <row r="250" ht="15" customHeight="1" s="106">
      <c r="A250" s="138" t="inlineStr">
        <is>
          <t>PP-BEV-SODA</t>
        </is>
      </c>
      <c r="B250" s="138" t="inlineStr">
        <is>
          <t>Post-Mix Soda</t>
        </is>
      </c>
      <c r="C250" s="138" t="inlineStr">
        <is>
          <t>Beverage</t>
        </is>
      </c>
      <c r="D250" s="139" t="inlineStr">
        <is>
          <t>Ingredient</t>
        </is>
      </c>
      <c r="E250" s="134" t="inlineStr">
        <is>
          <t>PP-BEV-SYR-POSTMIX</t>
        </is>
      </c>
      <c r="F250" s="113" t="inlineStr">
        <is>
          <t>Post-mix syrup</t>
        </is>
      </c>
      <c r="G250" s="147" t="n">
        <v>60</v>
      </c>
      <c r="H250" s="164" t="inlineStr">
        <is>
          <t>ml</t>
        </is>
      </c>
      <c r="I250" s="150">
        <f>IFERROR(INDEX('04 SKU Master'!$AM$5:$AM$165,MATCH($E250,'04 SKU Master'!$A$5:$A$165,0)),IFERROR(INDEX('05 Packaging Master'!$AM$5:$AM$50,MATCH($E250,'05 Packaging Master'!$A$5:$A$50,0)),IFERROR(INDEX('09 Cost Index'!$C$5:$C$24,MATCH($E250,'09 Cost Index'!$A$5:$A$24,0)),"")))</f>
        <v/>
      </c>
      <c r="J250" s="153">
        <f>'01 Control'!$C$7</f>
        <v/>
      </c>
      <c r="K250" s="150">
        <f>IF($I250="","",$G250*$I250*(1+$J250))</f>
        <v/>
      </c>
      <c r="L250" s="177">
        <f>IF(ISNUMBER(MATCH($E250,'09 Cost Index'!$A$5:$A$24,0)),"09 Cost Index",IF(ISNUMBER(MATCH($E250,'05 Packaging Master'!$A$5:$A$46,0)),"05 Packaging Master",IF(ISNUMBER(MATCH($E250,'04 SKU Master'!$A$5:$A$165,0)),"04 SKU Master","NOT FOUND")))</f>
        <v/>
      </c>
      <c r="M250" s="178">
        <f>IFERROR(INDEX('12 Final Menu'!$U$5:$U$200,MATCH($A250,'12 Final Menu'!$A$5:$A$200,0)),0)</f>
        <v/>
      </c>
      <c r="N250" s="165">
        <f>$G250*(1+$J250)*$M250*1000</f>
        <v/>
      </c>
    </row>
    <row r="251" ht="15" customHeight="1" s="106">
      <c r="A251" s="138" t="inlineStr">
        <is>
          <t>PP-BEV-SODA</t>
        </is>
      </c>
      <c r="B251" s="138" t="inlineStr">
        <is>
          <t>Post-Mix Soda</t>
        </is>
      </c>
      <c r="C251" s="138" t="inlineStr">
        <is>
          <t>Beverage</t>
        </is>
      </c>
      <c r="D251" s="139" t="inlineStr">
        <is>
          <t>Ingredient</t>
        </is>
      </c>
      <c r="E251" s="134" t="inlineStr">
        <is>
          <t>PP-BEV-WATER-FILTERED</t>
        </is>
      </c>
      <c r="F251" s="113" t="inlineStr">
        <is>
          <t>Filtered water</t>
        </is>
      </c>
      <c r="G251" s="147" t="n">
        <v>340</v>
      </c>
      <c r="H251" s="164" t="inlineStr">
        <is>
          <t>ml</t>
        </is>
      </c>
      <c r="I251" s="150">
        <f>IFERROR(INDEX('04 SKU Master'!$AM$5:$AM$165,MATCH($E251,'04 SKU Master'!$A$5:$A$165,0)),IFERROR(INDEX('05 Packaging Master'!$AM$5:$AM$50,MATCH($E251,'05 Packaging Master'!$A$5:$A$50,0)),IFERROR(INDEX('09 Cost Index'!$C$5:$C$24,MATCH($E251,'09 Cost Index'!$A$5:$A$24,0)),"")))</f>
        <v/>
      </c>
      <c r="J251" s="153">
        <f>'01 Control'!$C$7</f>
        <v/>
      </c>
      <c r="K251" s="150">
        <f>IF($I251="","",$G251*$I251*(1+$J251))</f>
        <v/>
      </c>
      <c r="L251" s="177">
        <f>IF(ISNUMBER(MATCH($E251,'09 Cost Index'!$A$5:$A$24,0)),"09 Cost Index",IF(ISNUMBER(MATCH($E251,'05 Packaging Master'!$A$5:$A$46,0)),"05 Packaging Master",IF(ISNUMBER(MATCH($E251,'04 SKU Master'!$A$5:$A$165,0)),"04 SKU Master","NOT FOUND")))</f>
        <v/>
      </c>
      <c r="M251" s="178">
        <f>IFERROR(INDEX('12 Final Menu'!$U$5:$U$200,MATCH($A251,'12 Final Menu'!$A$5:$A$200,0)),0)</f>
        <v/>
      </c>
      <c r="N251" s="165">
        <f>$G251*(1+$J251)*$M251*1000</f>
        <v/>
      </c>
    </row>
    <row r="252" ht="15" customHeight="1" s="106">
      <c r="A252" s="138" t="inlineStr">
        <is>
          <t>PP-BEV-SODA</t>
        </is>
      </c>
      <c r="B252" s="138" t="inlineStr">
        <is>
          <t>Post-Mix Soda</t>
        </is>
      </c>
      <c r="C252" s="138" t="inlineStr">
        <is>
          <t>Beverage</t>
        </is>
      </c>
      <c r="D252" s="139" t="inlineStr">
        <is>
          <t>Ingredient</t>
        </is>
      </c>
      <c r="E252" s="134" t="inlineStr">
        <is>
          <t>PP-BEV-CO2</t>
        </is>
      </c>
      <c r="F252" s="113" t="inlineStr">
        <is>
          <t>CO2</t>
        </is>
      </c>
      <c r="G252" s="147" t="n">
        <v>3</v>
      </c>
      <c r="H252" s="164" t="inlineStr">
        <is>
          <t>g</t>
        </is>
      </c>
      <c r="I252" s="150">
        <f>IFERROR(INDEX('04 SKU Master'!$AM$5:$AM$165,MATCH($E252,'04 SKU Master'!$A$5:$A$165,0)),IFERROR(INDEX('05 Packaging Master'!$AM$5:$AM$50,MATCH($E252,'05 Packaging Master'!$A$5:$A$50,0)),IFERROR(INDEX('09 Cost Index'!$C$5:$C$24,MATCH($E252,'09 Cost Index'!$A$5:$A$24,0)),"")))</f>
        <v/>
      </c>
      <c r="J252" s="153">
        <f>'01 Control'!$C$7</f>
        <v/>
      </c>
      <c r="K252" s="150">
        <f>IF($I252="","",$G252*$I252*(1+$J252))</f>
        <v/>
      </c>
      <c r="L252" s="177">
        <f>IF(ISNUMBER(MATCH($E252,'09 Cost Index'!$A$5:$A$24,0)),"09 Cost Index",IF(ISNUMBER(MATCH($E252,'05 Packaging Master'!$A$5:$A$46,0)),"05 Packaging Master",IF(ISNUMBER(MATCH($E252,'04 SKU Master'!$A$5:$A$165,0)),"04 SKU Master","NOT FOUND")))</f>
        <v/>
      </c>
      <c r="M252" s="178">
        <f>IFERROR(INDEX('12 Final Menu'!$U$5:$U$200,MATCH($A252,'12 Final Menu'!$A$5:$A$200,0)),0)</f>
        <v/>
      </c>
      <c r="N252" s="165">
        <f>$G252*(1+$J252)*$M252*1000</f>
        <v/>
      </c>
    </row>
    <row r="253" ht="15" customHeight="1" s="106">
      <c r="A253" s="138" t="inlineStr">
        <is>
          <t>PP-BEV-SODA</t>
        </is>
      </c>
      <c r="B253" s="138" t="inlineStr">
        <is>
          <t>Post-Mix Soda</t>
        </is>
      </c>
      <c r="C253" s="138" t="inlineStr">
        <is>
          <t>Beverage</t>
        </is>
      </c>
      <c r="D253" s="139" t="inlineStr">
        <is>
          <t>Packaging</t>
        </is>
      </c>
      <c r="E253" s="134" t="inlineStr">
        <is>
          <t>PP-PACK-CUP-SODA</t>
        </is>
      </c>
      <c r="F253" s="113" t="inlineStr">
        <is>
          <t>Soda cup + lid</t>
        </is>
      </c>
      <c r="G253" s="147" t="n">
        <v>1</v>
      </c>
      <c r="H253" s="164" t="inlineStr">
        <is>
          <t>ea</t>
        </is>
      </c>
      <c r="I253" s="150">
        <f>IFERROR(INDEX('04 SKU Master'!$AM$5:$AM$165,MATCH($E253,'04 SKU Master'!$A$5:$A$165,0)),IFERROR(INDEX('05 Packaging Master'!$AM$5:$AM$50,MATCH($E253,'05 Packaging Master'!$A$5:$A$50,0)),IFERROR(INDEX('09 Cost Index'!$C$5:$C$24,MATCH($E253,'09 Cost Index'!$A$5:$A$24,0)),"")))</f>
        <v/>
      </c>
      <c r="J253" s="153">
        <f>'01 Control'!$C$7</f>
        <v/>
      </c>
      <c r="K253" s="150">
        <f>IF($I253="","",$G253*$I253*(1+$J253))</f>
        <v/>
      </c>
      <c r="L253" s="177">
        <f>IF(ISNUMBER(MATCH($E253,'09 Cost Index'!$A$5:$A$24,0)),"09 Cost Index",IF(ISNUMBER(MATCH($E253,'05 Packaging Master'!$A$5:$A$46,0)),"05 Packaging Master",IF(ISNUMBER(MATCH($E253,'04 SKU Master'!$A$5:$A$165,0)),"04 SKU Master","NOT FOUND")))</f>
        <v/>
      </c>
      <c r="M253" s="178">
        <f>IFERROR(INDEX('12 Final Menu'!$U$5:$U$200,MATCH($A253,'12 Final Menu'!$A$5:$A$200,0)),0)</f>
        <v/>
      </c>
      <c r="N253" s="165">
        <f>$G253*(1+$J253)*$M253*1000</f>
        <v/>
      </c>
    </row>
    <row r="254" ht="15" customHeight="1" s="106">
      <c r="A254" s="138" t="inlineStr">
        <is>
          <t>PP-BEV-SODA</t>
        </is>
      </c>
      <c r="B254" s="138" t="inlineStr">
        <is>
          <t>Post-Mix Soda</t>
        </is>
      </c>
      <c r="C254" s="138" t="inlineStr">
        <is>
          <t>Beverage</t>
        </is>
      </c>
      <c r="D254" s="139" t="inlineStr">
        <is>
          <t>Packaging</t>
        </is>
      </c>
      <c r="E254" s="134" t="inlineStr">
        <is>
          <t>PP-PACK-STRAW</t>
        </is>
      </c>
      <c r="F254" s="113" t="inlineStr">
        <is>
          <t>Straw</t>
        </is>
      </c>
      <c r="G254" s="147" t="n">
        <v>1</v>
      </c>
      <c r="H254" s="164" t="inlineStr">
        <is>
          <t>ea</t>
        </is>
      </c>
      <c r="I254" s="150">
        <f>IFERROR(INDEX('04 SKU Master'!$AM$5:$AM$165,MATCH($E254,'04 SKU Master'!$A$5:$A$165,0)),IFERROR(INDEX('05 Packaging Master'!$AM$5:$AM$50,MATCH($E254,'05 Packaging Master'!$A$5:$A$50,0)),IFERROR(INDEX('09 Cost Index'!$C$5:$C$24,MATCH($E254,'09 Cost Index'!$A$5:$A$24,0)),"")))</f>
        <v/>
      </c>
      <c r="J254" s="153">
        <f>'01 Control'!$C$7</f>
        <v/>
      </c>
      <c r="K254" s="150">
        <f>IF($I254="","",$G254*$I254*(1+$J254))</f>
        <v/>
      </c>
      <c r="L254" s="177">
        <f>IF(ISNUMBER(MATCH($E254,'09 Cost Index'!$A$5:$A$24,0)),"09 Cost Index",IF(ISNUMBER(MATCH($E254,'05 Packaging Master'!$A$5:$A$46,0)),"05 Packaging Master",IF(ISNUMBER(MATCH($E254,'04 SKU Master'!$A$5:$A$165,0)),"04 SKU Master","NOT FOUND")))</f>
        <v/>
      </c>
      <c r="M254" s="178">
        <f>IFERROR(INDEX('12 Final Menu'!$U$5:$U$200,MATCH($A254,'12 Final Menu'!$A$5:$A$200,0)),0)</f>
        <v/>
      </c>
      <c r="N254" s="165">
        <f>$G254*(1+$J254)*$M254*1000</f>
        <v/>
      </c>
    </row>
    <row r="256" ht="15" customHeight="1" s="106">
      <c r="A256" s="179" t="inlineStr">
        <is>
          <t>Still / Sparkling Water 500 ml   |   PP-BEV-WATER   |   board price R20.00</t>
        </is>
      </c>
      <c r="B256" s="110" t="n"/>
      <c r="C256" s="110" t="n"/>
      <c r="D256" s="110" t="n"/>
      <c r="E256" s="110" t="n"/>
      <c r="F256" s="110" t="n"/>
      <c r="G256" s="110" t="n"/>
      <c r="H256" s="110" t="n"/>
      <c r="I256" s="110" t="n"/>
      <c r="J256" s="110" t="n"/>
      <c r="K256" s="110" t="n"/>
      <c r="L256" s="110" t="n"/>
      <c r="M256" s="110" t="n"/>
      <c r="N256" s="111" t="n"/>
    </row>
    <row r="257" ht="15" customHeight="1" s="106">
      <c r="A257" s="138" t="inlineStr">
        <is>
          <t>PP-BEV-WATER</t>
        </is>
      </c>
      <c r="B257" s="138" t="inlineStr">
        <is>
          <t>Still / Sparkling Water 500 ml</t>
        </is>
      </c>
      <c r="C257" s="138" t="inlineStr">
        <is>
          <t>Beverage</t>
        </is>
      </c>
      <c r="D257" s="139" t="inlineStr">
        <is>
          <t>Ingredient</t>
        </is>
      </c>
      <c r="E257" s="134" t="inlineStr">
        <is>
          <t>PP-BEV-WATER-500</t>
        </is>
      </c>
      <c r="F257" s="113" t="inlineStr">
        <is>
          <t>Bottled water 500 ml</t>
        </is>
      </c>
      <c r="G257" s="147" t="n">
        <v>1</v>
      </c>
      <c r="H257" s="164" t="inlineStr">
        <is>
          <t>ea</t>
        </is>
      </c>
      <c r="I257" s="150">
        <f>IFERROR(INDEX('04 SKU Master'!$AM$5:$AM$165,MATCH($E257,'04 SKU Master'!$A$5:$A$165,0)),IFERROR(INDEX('05 Packaging Master'!$AM$5:$AM$50,MATCH($E257,'05 Packaging Master'!$A$5:$A$50,0)),IFERROR(INDEX('09 Cost Index'!$C$5:$C$24,MATCH($E257,'09 Cost Index'!$A$5:$A$24,0)),"")))</f>
        <v/>
      </c>
      <c r="J257" s="153">
        <f>'01 Control'!$C$7</f>
        <v/>
      </c>
      <c r="K257" s="150">
        <f>IF($I257="","",$G257*$I257*(1+$J257))</f>
        <v/>
      </c>
      <c r="L257" s="177">
        <f>IF(ISNUMBER(MATCH($E257,'09 Cost Index'!$A$5:$A$24,0)),"09 Cost Index",IF(ISNUMBER(MATCH($E257,'05 Packaging Master'!$A$5:$A$46,0)),"05 Packaging Master",IF(ISNUMBER(MATCH($E257,'04 SKU Master'!$A$5:$A$165,0)),"04 SKU Master","NOT FOUND")))</f>
        <v/>
      </c>
      <c r="M257" s="178">
        <f>IFERROR(INDEX('12 Final Menu'!$U$5:$U$200,MATCH($A257,'12 Final Menu'!$A$5:$A$200,0)),0)</f>
        <v/>
      </c>
      <c r="N257" s="165">
        <f>$G257*(1+$J257)*$M257*1000</f>
        <v/>
      </c>
    </row>
    <row r="259" ht="15" customHeight="1" s="106">
      <c r="A259" s="179" t="inlineStr">
        <is>
          <t>Acqua Panna 250 ml   |   PP-BEV-PANNA   |   board price R22.00</t>
        </is>
      </c>
      <c r="B259" s="110" t="n"/>
      <c r="C259" s="110" t="n"/>
      <c r="D259" s="110" t="n"/>
      <c r="E259" s="110" t="n"/>
      <c r="F259" s="110" t="n"/>
      <c r="G259" s="110" t="n"/>
      <c r="H259" s="110" t="n"/>
      <c r="I259" s="110" t="n"/>
      <c r="J259" s="110" t="n"/>
      <c r="K259" s="110" t="n"/>
      <c r="L259" s="110" t="n"/>
      <c r="M259" s="110" t="n"/>
      <c r="N259" s="111" t="n"/>
    </row>
    <row r="260" ht="15" customHeight="1" s="106">
      <c r="A260" s="138" t="inlineStr">
        <is>
          <t>PP-BEV-PANNA</t>
        </is>
      </c>
      <c r="B260" s="138" t="inlineStr">
        <is>
          <t>Acqua Panna 250 ml</t>
        </is>
      </c>
      <c r="C260" s="138" t="inlineStr">
        <is>
          <t>Beverage</t>
        </is>
      </c>
      <c r="D260" s="139" t="inlineStr">
        <is>
          <t>Ingredient</t>
        </is>
      </c>
      <c r="E260" s="134" t="inlineStr">
        <is>
          <t>PP-BEV-WATER-PANNA</t>
        </is>
      </c>
      <c r="F260" s="113" t="inlineStr">
        <is>
          <t>Acqua Panna</t>
        </is>
      </c>
      <c r="G260" s="147" t="n">
        <v>1</v>
      </c>
      <c r="H260" s="164" t="inlineStr">
        <is>
          <t>ea</t>
        </is>
      </c>
      <c r="I260" s="150">
        <f>IFERROR(INDEX('04 SKU Master'!$AM$5:$AM$165,MATCH($E260,'04 SKU Master'!$A$5:$A$165,0)),IFERROR(INDEX('05 Packaging Master'!$AM$5:$AM$50,MATCH($E260,'05 Packaging Master'!$A$5:$A$50,0)),IFERROR(INDEX('09 Cost Index'!$C$5:$C$24,MATCH($E260,'09 Cost Index'!$A$5:$A$24,0)),"")))</f>
        <v/>
      </c>
      <c r="J260" s="153">
        <f>'01 Control'!$C$7</f>
        <v/>
      </c>
      <c r="K260" s="150">
        <f>IF($I260="","",$G260*$I260*(1+$J260))</f>
        <v/>
      </c>
      <c r="L260" s="177">
        <f>IF(ISNUMBER(MATCH($E260,'09 Cost Index'!$A$5:$A$24,0)),"09 Cost Index",IF(ISNUMBER(MATCH($E260,'05 Packaging Master'!$A$5:$A$46,0)),"05 Packaging Master",IF(ISNUMBER(MATCH($E260,'04 SKU Master'!$A$5:$A$165,0)),"04 SKU Master","NOT FOUND")))</f>
        <v/>
      </c>
      <c r="M260" s="178">
        <f>IFERROR(INDEX('12 Final Menu'!$U$5:$U$200,MATCH($A260,'12 Final Menu'!$A$5:$A$200,0)),0)</f>
        <v/>
      </c>
      <c r="N260" s="165">
        <f>$G260*(1+$J260)*$M260*1000</f>
        <v/>
      </c>
    </row>
  </sheetData>
  <sheetProtection selectLockedCells="0" selectUnlockedCells="0" sheet="1" objects="0" insertRows="1" insertHyperlinks="1" autoFilter="0" scenarios="0" formatColumns="0" deleteColumns="1" insertColumns="1" pivotTables="1" deleteRows="1" formatCells="0" formatRows="0" sort="0"/>
  <autoFilter ref="A4:N262"/>
  <mergeCells count="36">
    <mergeCell ref="A249:N249"/>
    <mergeCell ref="A67:N67"/>
    <mergeCell ref="A186:N186"/>
    <mergeCell ref="A157:N157"/>
    <mergeCell ref="A15:N15"/>
    <mergeCell ref="A207:N207"/>
    <mergeCell ref="A36:N36"/>
    <mergeCell ref="A1:N1"/>
    <mergeCell ref="A228:N228"/>
    <mergeCell ref="A87:N87"/>
    <mergeCell ref="A78:N78"/>
    <mergeCell ref="A153:N153"/>
    <mergeCell ref="A256:N256"/>
    <mergeCell ref="A221:N221"/>
    <mergeCell ref="A164:N164"/>
    <mergeCell ref="A46:N46"/>
    <mergeCell ref="A193:N193"/>
    <mergeCell ref="A214:N214"/>
    <mergeCell ref="A26:N26"/>
    <mergeCell ref="A2:N2"/>
    <mergeCell ref="A179:N179"/>
    <mergeCell ref="A57:N57"/>
    <mergeCell ref="A235:N235"/>
    <mergeCell ref="A242:N242"/>
    <mergeCell ref="A5:N5"/>
    <mergeCell ref="A141:N141"/>
    <mergeCell ref="A97:N97"/>
    <mergeCell ref="A150:N150"/>
    <mergeCell ref="A126:N126"/>
    <mergeCell ref="A144:N144"/>
    <mergeCell ref="A259:N259"/>
    <mergeCell ref="A200:N200"/>
    <mergeCell ref="A147:N147"/>
    <mergeCell ref="A161:N161"/>
    <mergeCell ref="A170:N170"/>
    <mergeCell ref="A111:N11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N361"/>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4" customWidth="1" style="105" min="1" max="1"/>
    <col width="34" customWidth="1" style="105" min="2" max="2"/>
    <col width="22" customWidth="1" style="105" min="3" max="3"/>
    <col width="15" customWidth="1" style="105" min="4" max="4"/>
    <col width="24" customWidth="1" style="105" min="5" max="5"/>
    <col width="40" customWidth="1" style="105" min="6" max="6"/>
    <col width="9" customWidth="1" style="105" min="7" max="7"/>
    <col width="7" customWidth="1" style="105" min="8" max="8"/>
    <col width="15" customWidth="1" style="105" min="9" max="9"/>
    <col width="9" customWidth="1" style="105" min="10" max="10"/>
    <col width="14" customWidth="1" style="105" min="11" max="11"/>
    <col width="20" customWidth="1" style="105" min="12" max="12"/>
    <col width="11" customWidth="1" style="105" min="13" max="13"/>
    <col width="15" customWidth="1" style="105" min="14" max="14"/>
  </cols>
  <sheetData>
    <row r="1" ht="30" customHeight="1" s="106">
      <c r="A1" s="107" t="inlineStr">
        <is>
          <t>SEASONAL MENU BOM  -  TIER 2  (the 3-year rotation, 12 drops, 36 dishes)</t>
        </is>
      </c>
    </row>
    <row r="2" ht="18" customHeight="1" s="106">
      <c r="A2" s="108" t="inlineStr">
        <is>
          <t>Every seasonal dish is built on an existing sauce base plus no more than two special SKUs - the guardrail from 02.02.1. Cost the whole rotation now, lock each drop a quarter ahead. Menu Mix % is pulled from 12 Final Menu and drives the volume maths on 13 Network Economics.</t>
        </is>
      </c>
    </row>
    <row r="4" ht="37.5" customHeight="1" s="106">
      <c r="A4" s="112" t="inlineStr">
        <is>
          <t>Menu SKU</t>
        </is>
      </c>
      <c r="B4" s="112" t="inlineStr">
        <is>
          <t>Menu Item</t>
        </is>
      </c>
      <c r="C4" s="112" t="inlineStr">
        <is>
          <t>Tier / Group</t>
        </is>
      </c>
      <c r="D4" s="112" t="inlineStr">
        <is>
          <t>Component Type</t>
        </is>
      </c>
      <c r="E4" s="112" t="inlineStr">
        <is>
          <t>Component SKU</t>
        </is>
      </c>
      <c r="F4" s="112" t="inlineStr">
        <is>
          <t>Component Description</t>
        </is>
      </c>
      <c r="G4" s="112" t="inlineStr">
        <is>
          <t>Qty</t>
        </is>
      </c>
      <c r="H4" s="112" t="inlineStr">
        <is>
          <t>Unit</t>
        </is>
      </c>
      <c r="I4" s="112" t="inlineStr">
        <is>
          <t>Unit Cost
(per base unit)</t>
        </is>
      </c>
      <c r="J4" s="112" t="inlineStr">
        <is>
          <t>Waste %</t>
        </is>
      </c>
      <c r="K4" s="112" t="inlineStr">
        <is>
          <t>Line Cost</t>
        </is>
      </c>
      <c r="L4" s="112" t="inlineStr">
        <is>
          <t>Cost Source</t>
        </is>
      </c>
      <c r="M4" s="112" t="inlineStr">
        <is>
          <t>Menu Mix %</t>
        </is>
      </c>
      <c r="N4" s="112" t="inlineStr">
        <is>
          <t>Units per
1,000 Servings</t>
        </is>
      </c>
    </row>
    <row r="5" ht="15" customHeight="1" s="106">
      <c r="A5" s="144" t="inlineStr">
        <is>
          <t>YEAR 1  |  Summer (Dec-Feb)  |  Braai &amp; Basil   -&gt;   Boerewors Beef Ragu   |   Rigatoni   |   PP-SEA-Y1S-BOER</t>
        </is>
      </c>
      <c r="B5" s="110" t="n"/>
      <c r="C5" s="110" t="n"/>
      <c r="D5" s="110" t="n"/>
      <c r="E5" s="110" t="n"/>
      <c r="F5" s="110" t="n"/>
      <c r="G5" s="110" t="n"/>
      <c r="H5" s="110" t="n"/>
      <c r="I5" s="110" t="n"/>
      <c r="J5" s="110" t="n"/>
      <c r="K5" s="110" t="n"/>
      <c r="L5" s="110" t="n"/>
      <c r="M5" s="110" t="n"/>
      <c r="N5" s="111" t="n"/>
    </row>
    <row r="6" ht="15" customHeight="1" s="106">
      <c r="A6" s="138" t="inlineStr">
        <is>
          <t>PP-SEA-Y1S-BOER</t>
        </is>
      </c>
      <c r="B6" s="138" t="inlineStr">
        <is>
          <t>Boerewors Beef Ragu</t>
        </is>
      </c>
      <c r="C6" s="138" t="inlineStr">
        <is>
          <t>Y1 Summer - Braai &amp; Basil</t>
        </is>
      </c>
      <c r="D6" s="139" t="inlineStr">
        <is>
          <t>Pasta</t>
        </is>
      </c>
      <c r="E6" s="134" t="inlineStr">
        <is>
          <t>PP-DOUGH-BOKGAT</t>
        </is>
      </c>
      <c r="F6" s="113" t="inlineStr">
        <is>
          <t>Bokgat Base, Rigatoni - dried weight</t>
        </is>
      </c>
      <c r="G6" s="147" t="n">
        <v>111</v>
      </c>
      <c r="H6" s="164" t="inlineStr">
        <is>
          <t>g</t>
        </is>
      </c>
      <c r="I6" s="150">
        <f>IFERROR(INDEX('04 SKU Master'!$AM$5:$AM$165,MATCH($E6,'04 SKU Master'!$A$5:$A$165,0)),IFERROR(INDEX('05 Packaging Master'!$AM$5:$AM$50,MATCH($E6,'05 Packaging Master'!$A$5:$A$50,0)),IFERROR(INDEX('09 Cost Index'!$C$5:$C$24,MATCH($E6,'09 Cost Index'!$A$5:$A$24,0)),"")))</f>
        <v/>
      </c>
      <c r="J6" s="153">
        <f>'01 Control'!$C$7</f>
        <v/>
      </c>
      <c r="K6" s="150">
        <f>IF($I6="","",$G6*$I6*(1+$J6))</f>
        <v/>
      </c>
      <c r="L6" s="177">
        <f>IF(ISNUMBER(MATCH($E6,'09 Cost Index'!$A$5:$A$24,0)),"09 Cost Index",IF(ISNUMBER(MATCH($E6,'05 Packaging Master'!$A$5:$A$46,0)),"05 Packaging Master",IF(ISNUMBER(MATCH($E6,'04 SKU Master'!$A$5:$A$165,0)),"04 SKU Master","NOT FOUND")))</f>
        <v/>
      </c>
      <c r="M6" s="178">
        <f>IFERROR(INDEX('12 Final Menu'!$U$5:$U$200,MATCH($A6,'12 Final Menu'!$A$5:$A$200,0)),0)</f>
        <v/>
      </c>
      <c r="N6" s="165">
        <f>$G6*(1+$J6)*$M6*1000</f>
        <v/>
      </c>
    </row>
    <row r="7" ht="15" customHeight="1" s="106">
      <c r="A7" s="138" t="inlineStr">
        <is>
          <t>PP-SEA-Y1S-BOER</t>
        </is>
      </c>
      <c r="B7" s="138" t="inlineStr">
        <is>
          <t>Boerewors Beef Ragu</t>
        </is>
      </c>
      <c r="C7" s="138" t="inlineStr">
        <is>
          <t>Y1 Summer - Braai &amp; Basil</t>
        </is>
      </c>
      <c r="D7" s="139" t="inlineStr">
        <is>
          <t>Sauce</t>
        </is>
      </c>
      <c r="E7" s="134" t="inlineStr">
        <is>
          <t>PP-SAUCE-BOL</t>
        </is>
      </c>
      <c r="F7" s="113" t="inlineStr">
        <is>
          <t>Papa's Bolognese base (CK - core)</t>
        </is>
      </c>
      <c r="G7" s="147" t="n">
        <v>150</v>
      </c>
      <c r="H7" s="164" t="inlineStr">
        <is>
          <t>g</t>
        </is>
      </c>
      <c r="I7" s="150">
        <f>IFERROR(INDEX('04 SKU Master'!$AM$5:$AM$165,MATCH($E7,'04 SKU Master'!$A$5:$A$165,0)),IFERROR(INDEX('05 Packaging Master'!$AM$5:$AM$50,MATCH($E7,'05 Packaging Master'!$A$5:$A$50,0)),IFERROR(INDEX('09 Cost Index'!$C$5:$C$24,MATCH($E7,'09 Cost Index'!$A$5:$A$24,0)),"")))</f>
        <v/>
      </c>
      <c r="J7" s="153">
        <f>'01 Control'!$C$7</f>
        <v/>
      </c>
      <c r="K7" s="150">
        <f>IF($I7="","",$G7*$I7*(1+$J7))</f>
        <v/>
      </c>
      <c r="L7" s="177">
        <f>IF(ISNUMBER(MATCH($E7,'09 Cost Index'!$A$5:$A$24,0)),"09 Cost Index",IF(ISNUMBER(MATCH($E7,'05 Packaging Master'!$A$5:$A$46,0)),"05 Packaging Master",IF(ISNUMBER(MATCH($E7,'04 SKU Master'!$A$5:$A$165,0)),"04 SKU Master","NOT FOUND")))</f>
        <v/>
      </c>
      <c r="M7" s="178">
        <f>IFERROR(INDEX('12 Final Menu'!$U$5:$U$200,MATCH($A7,'12 Final Menu'!$A$5:$A$200,0)),0)</f>
        <v/>
      </c>
      <c r="N7" s="165">
        <f>$G7*(1+$J7)*$M7*1000</f>
        <v/>
      </c>
    </row>
    <row r="8" ht="15" customHeight="1" s="106">
      <c r="A8" s="138" t="inlineStr">
        <is>
          <t>PP-SEA-Y1S-BOER</t>
        </is>
      </c>
      <c r="B8" s="138" t="inlineStr">
        <is>
          <t>Boerewors Beef Ragu</t>
        </is>
      </c>
      <c r="C8" s="138" t="inlineStr">
        <is>
          <t>Y1 Summer - Braai &amp; Basil</t>
        </is>
      </c>
      <c r="D8" s="139" t="inlineStr">
        <is>
          <t>Protein</t>
        </is>
      </c>
      <c r="E8" s="134" t="inlineStr">
        <is>
          <t>PP-BEEF-MINCE</t>
        </is>
      </c>
      <c r="F8" s="113" t="inlineStr">
        <is>
          <t>Boerewors-spiced beef</t>
        </is>
      </c>
      <c r="G8" s="147" t="n">
        <v>70</v>
      </c>
      <c r="H8" s="164" t="inlineStr">
        <is>
          <t>g</t>
        </is>
      </c>
      <c r="I8" s="150">
        <f>IFERROR(INDEX('04 SKU Master'!$AM$5:$AM$165,MATCH($E8,'04 SKU Master'!$A$5:$A$165,0)),IFERROR(INDEX('05 Packaging Master'!$AM$5:$AM$50,MATCH($E8,'05 Packaging Master'!$A$5:$A$50,0)),IFERROR(INDEX('09 Cost Index'!$C$5:$C$24,MATCH($E8,'09 Cost Index'!$A$5:$A$24,0)),"")))</f>
        <v/>
      </c>
      <c r="J8" s="153">
        <f>'01 Control'!$C$7</f>
        <v/>
      </c>
      <c r="K8" s="150">
        <f>IF($I8="","",$G8*$I8*(1+$J8))</f>
        <v/>
      </c>
      <c r="L8" s="177">
        <f>IF(ISNUMBER(MATCH($E8,'09 Cost Index'!$A$5:$A$24,0)),"09 Cost Index",IF(ISNUMBER(MATCH($E8,'05 Packaging Master'!$A$5:$A$46,0)),"05 Packaging Master",IF(ISNUMBER(MATCH($E8,'04 SKU Master'!$A$5:$A$165,0)),"04 SKU Master","NOT FOUND")))</f>
        <v/>
      </c>
      <c r="M8" s="178">
        <f>IFERROR(INDEX('12 Final Menu'!$U$5:$U$200,MATCH($A8,'12 Final Menu'!$A$5:$A$200,0)),0)</f>
        <v/>
      </c>
      <c r="N8" s="165">
        <f>$G8*(1+$J8)*$M8*1000</f>
        <v/>
      </c>
    </row>
    <row r="9" ht="15" customHeight="1" s="106">
      <c r="A9" s="138" t="inlineStr">
        <is>
          <t>PP-SEA-Y1S-BOER</t>
        </is>
      </c>
      <c r="B9" s="138" t="inlineStr">
        <is>
          <t>Boerewors Beef Ragu</t>
        </is>
      </c>
      <c r="C9" s="138" t="inlineStr">
        <is>
          <t>Y1 Summer - Braai &amp; Basil</t>
        </is>
      </c>
      <c r="D9" s="139" t="inlineStr">
        <is>
          <t>Ingredient</t>
        </is>
      </c>
      <c r="E9" s="134" t="inlineStr">
        <is>
          <t>PP-SPICE-BOEREWORS</t>
        </is>
      </c>
      <c r="F9" s="113" t="inlineStr">
        <is>
          <t>Boerewors spice</t>
        </is>
      </c>
      <c r="G9" s="147" t="n">
        <v>6</v>
      </c>
      <c r="H9" s="164" t="inlineStr">
        <is>
          <t>g</t>
        </is>
      </c>
      <c r="I9" s="150">
        <f>IFERROR(INDEX('04 SKU Master'!$AM$5:$AM$165,MATCH($E9,'04 SKU Master'!$A$5:$A$165,0)),IFERROR(INDEX('05 Packaging Master'!$AM$5:$AM$50,MATCH($E9,'05 Packaging Master'!$A$5:$A$50,0)),IFERROR(INDEX('09 Cost Index'!$C$5:$C$24,MATCH($E9,'09 Cost Index'!$A$5:$A$24,0)),"")))</f>
        <v/>
      </c>
      <c r="J9" s="153">
        <f>'01 Control'!$C$7</f>
        <v/>
      </c>
      <c r="K9" s="150">
        <f>IF($I9="","",$G9*$I9*(1+$J9))</f>
        <v/>
      </c>
      <c r="L9" s="177">
        <f>IF(ISNUMBER(MATCH($E9,'09 Cost Index'!$A$5:$A$24,0)),"09 Cost Index",IF(ISNUMBER(MATCH($E9,'05 Packaging Master'!$A$5:$A$46,0)),"05 Packaging Master",IF(ISNUMBER(MATCH($E9,'04 SKU Master'!$A$5:$A$165,0)),"04 SKU Master","NOT FOUND")))</f>
        <v/>
      </c>
      <c r="M9" s="178">
        <f>IFERROR(INDEX('12 Final Menu'!$U$5:$U$200,MATCH($A9,'12 Final Menu'!$A$5:$A$200,0)),0)</f>
        <v/>
      </c>
      <c r="N9" s="165">
        <f>$G9*(1+$J9)*$M9*1000</f>
        <v/>
      </c>
    </row>
    <row r="10" ht="15" customHeight="1" s="106">
      <c r="A10" s="138" t="inlineStr">
        <is>
          <t>PP-SEA-Y1S-BOER</t>
        </is>
      </c>
      <c r="B10" s="138" t="inlineStr">
        <is>
          <t>Boerewors Beef Ragu</t>
        </is>
      </c>
      <c r="C10" s="138" t="inlineStr">
        <is>
          <t>Y1 Summer - Braai &amp; Basil</t>
        </is>
      </c>
      <c r="D10" s="139" t="inlineStr">
        <is>
          <t>Packaging</t>
        </is>
      </c>
      <c r="E10" s="134" t="inlineStr">
        <is>
          <t>PP-PACK-TUB</t>
        </is>
      </c>
      <c r="F10" s="113" t="inlineStr">
        <is>
          <t>Takeaway pasta tub</t>
        </is>
      </c>
      <c r="G10" s="147" t="n">
        <v>1</v>
      </c>
      <c r="H10" s="164" t="inlineStr">
        <is>
          <t>ea</t>
        </is>
      </c>
      <c r="I10" s="150">
        <f>IFERROR(INDEX('04 SKU Master'!$AM$5:$AM$165,MATCH($E10,'04 SKU Master'!$A$5:$A$165,0)),IFERROR(INDEX('05 Packaging Master'!$AM$5:$AM$50,MATCH($E10,'05 Packaging Master'!$A$5:$A$50,0)),IFERROR(INDEX('09 Cost Index'!$C$5:$C$24,MATCH($E10,'09 Cost Index'!$A$5:$A$24,0)),"")))</f>
        <v/>
      </c>
      <c r="J10" s="153">
        <f>'01 Control'!$C$7</f>
        <v/>
      </c>
      <c r="K10" s="150">
        <f>IF($I10="","",$G10*$I10*(1+$J10))</f>
        <v/>
      </c>
      <c r="L10" s="177">
        <f>IF(ISNUMBER(MATCH($E10,'09 Cost Index'!$A$5:$A$24,0)),"09 Cost Index",IF(ISNUMBER(MATCH($E10,'05 Packaging Master'!$A$5:$A$46,0)),"05 Packaging Master",IF(ISNUMBER(MATCH($E10,'04 SKU Master'!$A$5:$A$165,0)),"04 SKU Master","NOT FOUND")))</f>
        <v/>
      </c>
      <c r="M10" s="178">
        <f>IFERROR(INDEX('12 Final Menu'!$U$5:$U$200,MATCH($A10,'12 Final Menu'!$A$5:$A$200,0)),0)</f>
        <v/>
      </c>
      <c r="N10" s="165">
        <f>$G10*(1+$J10)*$M10*1000</f>
        <v/>
      </c>
    </row>
    <row r="11" ht="15" customHeight="1" s="106">
      <c r="A11" s="138" t="inlineStr">
        <is>
          <t>PP-SEA-Y1S-BOER</t>
        </is>
      </c>
      <c r="B11" s="138" t="inlineStr">
        <is>
          <t>Boerewors Beef Ragu</t>
        </is>
      </c>
      <c r="C11" s="138" t="inlineStr">
        <is>
          <t>Y1 Summer - Braai &amp; Basil</t>
        </is>
      </c>
      <c r="D11" s="139" t="inlineStr">
        <is>
          <t>Packaging</t>
        </is>
      </c>
      <c r="E11" s="134" t="inlineStr">
        <is>
          <t>PP-PACK-LID</t>
        </is>
      </c>
      <c r="F11" s="113" t="inlineStr">
        <is>
          <t>Bowl lid</t>
        </is>
      </c>
      <c r="G11" s="147" t="n">
        <v>1</v>
      </c>
      <c r="H11" s="164" t="inlineStr">
        <is>
          <t>ea</t>
        </is>
      </c>
      <c r="I11" s="150">
        <f>IFERROR(INDEX('04 SKU Master'!$AM$5:$AM$165,MATCH($E11,'04 SKU Master'!$A$5:$A$165,0)),IFERROR(INDEX('05 Packaging Master'!$AM$5:$AM$50,MATCH($E11,'05 Packaging Master'!$A$5:$A$50,0)),IFERROR(INDEX('09 Cost Index'!$C$5:$C$24,MATCH($E11,'09 Cost Index'!$A$5:$A$24,0)),"")))</f>
        <v/>
      </c>
      <c r="J11" s="153">
        <f>'01 Control'!$C$7</f>
        <v/>
      </c>
      <c r="K11" s="150">
        <f>IF($I11="","",$G11*$I11*(1+$J11))</f>
        <v/>
      </c>
      <c r="L11" s="177">
        <f>IF(ISNUMBER(MATCH($E11,'09 Cost Index'!$A$5:$A$24,0)),"09 Cost Index",IF(ISNUMBER(MATCH($E11,'05 Packaging Master'!$A$5:$A$46,0)),"05 Packaging Master",IF(ISNUMBER(MATCH($E11,'04 SKU Master'!$A$5:$A$165,0)),"04 SKU Master","NOT FOUND")))</f>
        <v/>
      </c>
      <c r="M11" s="178">
        <f>IFERROR(INDEX('12 Final Menu'!$U$5:$U$200,MATCH($A11,'12 Final Menu'!$A$5:$A$200,0)),0)</f>
        <v/>
      </c>
      <c r="N11" s="165">
        <f>$G11*(1+$J11)*$M11*1000</f>
        <v/>
      </c>
    </row>
    <row r="12" ht="15" customHeight="1" s="106">
      <c r="A12" s="138" t="inlineStr">
        <is>
          <t>PP-SEA-Y1S-BOER</t>
        </is>
      </c>
      <c r="B12" s="138" t="inlineStr">
        <is>
          <t>Boerewors Beef Ragu</t>
        </is>
      </c>
      <c r="C12" s="138" t="inlineStr">
        <is>
          <t>Y1 Summer - Braai &amp; Basil</t>
        </is>
      </c>
      <c r="D12" s="139" t="inlineStr">
        <is>
          <t>Packaging</t>
        </is>
      </c>
      <c r="E12" s="134" t="inlineStr">
        <is>
          <t>PP-PACK-CUTLERY</t>
        </is>
      </c>
      <c r="F12" s="113" t="inlineStr">
        <is>
          <t>Cutlery set</t>
        </is>
      </c>
      <c r="G12" s="147" t="n">
        <v>1</v>
      </c>
      <c r="H12" s="164" t="inlineStr">
        <is>
          <t>ea</t>
        </is>
      </c>
      <c r="I12" s="150">
        <f>IFERROR(INDEX('04 SKU Master'!$AM$5:$AM$165,MATCH($E12,'04 SKU Master'!$A$5:$A$165,0)),IFERROR(INDEX('05 Packaging Master'!$AM$5:$AM$50,MATCH($E12,'05 Packaging Master'!$A$5:$A$50,0)),IFERROR(INDEX('09 Cost Index'!$C$5:$C$24,MATCH($E12,'09 Cost Index'!$A$5:$A$24,0)),"")))</f>
        <v/>
      </c>
      <c r="J12" s="153">
        <f>'01 Control'!$C$7</f>
        <v/>
      </c>
      <c r="K12" s="150">
        <f>IF($I12="","",$G12*$I12*(1+$J12))</f>
        <v/>
      </c>
      <c r="L12" s="177">
        <f>IF(ISNUMBER(MATCH($E12,'09 Cost Index'!$A$5:$A$24,0)),"09 Cost Index",IF(ISNUMBER(MATCH($E12,'05 Packaging Master'!$A$5:$A$46,0)),"05 Packaging Master",IF(ISNUMBER(MATCH($E12,'04 SKU Master'!$A$5:$A$165,0)),"04 SKU Master","NOT FOUND")))</f>
        <v/>
      </c>
      <c r="M12" s="178">
        <f>IFERROR(INDEX('12 Final Menu'!$U$5:$U$200,MATCH($A12,'12 Final Menu'!$A$5:$A$200,0)),0)</f>
        <v/>
      </c>
      <c r="N12" s="165">
        <f>$G12*(1+$J12)*$M12*1000</f>
        <v/>
      </c>
    </row>
    <row r="13" ht="15" customHeight="1" s="106">
      <c r="A13" s="138" t="inlineStr">
        <is>
          <t>PP-SEA-Y1S-BOER</t>
        </is>
      </c>
      <c r="B13" s="138" t="inlineStr">
        <is>
          <t>Boerewors Beef Ragu</t>
        </is>
      </c>
      <c r="C13" s="138" t="inlineStr">
        <is>
          <t>Y1 Summer - Braai &amp; Basil</t>
        </is>
      </c>
      <c r="D13" s="139" t="inlineStr">
        <is>
          <t>Packaging</t>
        </is>
      </c>
      <c r="E13" s="134" t="inlineStr">
        <is>
          <t>PP-PACK-NAPKIN</t>
        </is>
      </c>
      <c r="F13" s="113" t="inlineStr">
        <is>
          <t>Branded napkin</t>
        </is>
      </c>
      <c r="G13" s="147" t="n">
        <v>1</v>
      </c>
      <c r="H13" s="164" t="inlineStr">
        <is>
          <t>ea</t>
        </is>
      </c>
      <c r="I13" s="150">
        <f>IFERROR(INDEX('04 SKU Master'!$AM$5:$AM$165,MATCH($E13,'04 SKU Master'!$A$5:$A$165,0)),IFERROR(INDEX('05 Packaging Master'!$AM$5:$AM$50,MATCH($E13,'05 Packaging Master'!$A$5:$A$50,0)),IFERROR(INDEX('09 Cost Index'!$C$5:$C$24,MATCH($E13,'09 Cost Index'!$A$5:$A$24,0)),"")))</f>
        <v/>
      </c>
      <c r="J13" s="153">
        <f>'01 Control'!$C$7</f>
        <v/>
      </c>
      <c r="K13" s="150">
        <f>IF($I13="","",$G13*$I13*(1+$J13))</f>
        <v/>
      </c>
      <c r="L13" s="177">
        <f>IF(ISNUMBER(MATCH($E13,'09 Cost Index'!$A$5:$A$24,0)),"09 Cost Index",IF(ISNUMBER(MATCH($E13,'05 Packaging Master'!$A$5:$A$46,0)),"05 Packaging Master",IF(ISNUMBER(MATCH($E13,'04 SKU Master'!$A$5:$A$165,0)),"04 SKU Master","NOT FOUND")))</f>
        <v/>
      </c>
      <c r="M13" s="178">
        <f>IFERROR(INDEX('12 Final Menu'!$U$5:$U$200,MATCH($A13,'12 Final Menu'!$A$5:$A$200,0)),0)</f>
        <v/>
      </c>
      <c r="N13" s="165">
        <f>$G13*(1+$J13)*$M13*1000</f>
        <v/>
      </c>
    </row>
    <row r="14"/>
    <row r="15" ht="15" customHeight="1" s="106">
      <c r="A15" s="144" t="inlineStr">
        <is>
          <t>YEAR 1  |  Summer (Dec-Feb)  |  Braai &amp; Basil   -&gt;   Peri-Peri Chargrilled Beef   |   Casarecce   |   PP-SEA-Y1S-PERI</t>
        </is>
      </c>
      <c r="B15" s="110" t="n"/>
      <c r="C15" s="110" t="n"/>
      <c r="D15" s="110" t="n"/>
      <c r="E15" s="110" t="n"/>
      <c r="F15" s="110" t="n"/>
      <c r="G15" s="110" t="n"/>
      <c r="H15" s="110" t="n"/>
      <c r="I15" s="110" t="n"/>
      <c r="J15" s="110" t="n"/>
      <c r="K15" s="110" t="n"/>
      <c r="L15" s="110" t="n"/>
      <c r="M15" s="110" t="n"/>
      <c r="N15" s="111" t="n"/>
    </row>
    <row r="16" ht="15" customHeight="1" s="106">
      <c r="A16" s="138" t="inlineStr">
        <is>
          <t>PP-SEA-Y1S-PERI</t>
        </is>
      </c>
      <c r="B16" s="138" t="inlineStr">
        <is>
          <t>Peri-Peri Chargrilled Beef</t>
        </is>
      </c>
      <c r="C16" s="138" t="inlineStr">
        <is>
          <t>Y1 Summer - Braai &amp; Basil</t>
        </is>
      </c>
      <c r="D16" s="139" t="inlineStr">
        <is>
          <t>Pasta</t>
        </is>
      </c>
      <c r="E16" s="134" t="inlineStr">
        <is>
          <t>PP-DOUGH-BOKGAT</t>
        </is>
      </c>
      <c r="F16" s="113" t="inlineStr">
        <is>
          <t>Bokgat Base, Casarecce - dried weight</t>
        </is>
      </c>
      <c r="G16" s="147" t="n">
        <v>111</v>
      </c>
      <c r="H16" s="164" t="inlineStr">
        <is>
          <t>g</t>
        </is>
      </c>
      <c r="I16" s="150">
        <f>IFERROR(INDEX('04 SKU Master'!$AM$5:$AM$165,MATCH($E16,'04 SKU Master'!$A$5:$A$165,0)),IFERROR(INDEX('05 Packaging Master'!$AM$5:$AM$50,MATCH($E16,'05 Packaging Master'!$A$5:$A$50,0)),IFERROR(INDEX('09 Cost Index'!$C$5:$C$24,MATCH($E16,'09 Cost Index'!$A$5:$A$24,0)),"")))</f>
        <v/>
      </c>
      <c r="J16" s="153">
        <f>'01 Control'!$C$7</f>
        <v/>
      </c>
      <c r="K16" s="150">
        <f>IF($I16="","",$G16*$I16*(1+$J16))</f>
        <v/>
      </c>
      <c r="L16" s="177">
        <f>IF(ISNUMBER(MATCH($E16,'09 Cost Index'!$A$5:$A$24,0)),"09 Cost Index",IF(ISNUMBER(MATCH($E16,'05 Packaging Master'!$A$5:$A$46,0)),"05 Packaging Master",IF(ISNUMBER(MATCH($E16,'04 SKU Master'!$A$5:$A$165,0)),"04 SKU Master","NOT FOUND")))</f>
        <v/>
      </c>
      <c r="M16" s="178">
        <f>IFERROR(INDEX('12 Final Menu'!$U$5:$U$200,MATCH($A16,'12 Final Menu'!$A$5:$A$200,0)),0)</f>
        <v/>
      </c>
      <c r="N16" s="165">
        <f>$G16*(1+$J16)*$M16*1000</f>
        <v/>
      </c>
    </row>
    <row r="17" ht="15" customHeight="1" s="106">
      <c r="A17" s="138" t="inlineStr">
        <is>
          <t>PP-SEA-Y1S-PERI</t>
        </is>
      </c>
      <c r="B17" s="138" t="inlineStr">
        <is>
          <t>Peri-Peri Chargrilled Beef</t>
        </is>
      </c>
      <c r="C17" s="138" t="inlineStr">
        <is>
          <t>Y1 Summer - Braai &amp; Basil</t>
        </is>
      </c>
      <c r="D17" s="139" t="inlineStr">
        <is>
          <t>Sauce</t>
        </is>
      </c>
      <c r="E17" s="134" t="inlineStr">
        <is>
          <t>PP-SAUCE-ALO</t>
        </is>
      </c>
      <c r="F17" s="113" t="inlineStr">
        <is>
          <t>Aglio e Olio Kit base (CK - core)</t>
        </is>
      </c>
      <c r="G17" s="147" t="n">
        <v>35</v>
      </c>
      <c r="H17" s="164" t="inlineStr">
        <is>
          <t>g</t>
        </is>
      </c>
      <c r="I17" s="150">
        <f>IFERROR(INDEX('04 SKU Master'!$AM$5:$AM$165,MATCH($E17,'04 SKU Master'!$A$5:$A$165,0)),IFERROR(INDEX('05 Packaging Master'!$AM$5:$AM$50,MATCH($E17,'05 Packaging Master'!$A$5:$A$50,0)),IFERROR(INDEX('09 Cost Index'!$C$5:$C$24,MATCH($E17,'09 Cost Index'!$A$5:$A$24,0)),"")))</f>
        <v/>
      </c>
      <c r="J17" s="153">
        <f>'01 Control'!$C$7</f>
        <v/>
      </c>
      <c r="K17" s="150">
        <f>IF($I17="","",$G17*$I17*(1+$J17))</f>
        <v/>
      </c>
      <c r="L17" s="177">
        <f>IF(ISNUMBER(MATCH($E17,'09 Cost Index'!$A$5:$A$24,0)),"09 Cost Index",IF(ISNUMBER(MATCH($E17,'05 Packaging Master'!$A$5:$A$46,0)),"05 Packaging Master",IF(ISNUMBER(MATCH($E17,'04 SKU Master'!$A$5:$A$165,0)),"04 SKU Master","NOT FOUND")))</f>
        <v/>
      </c>
      <c r="M17" s="178">
        <f>IFERROR(INDEX('12 Final Menu'!$U$5:$U$200,MATCH($A17,'12 Final Menu'!$A$5:$A$200,0)),0)</f>
        <v/>
      </c>
      <c r="N17" s="165">
        <f>$G17*(1+$J17)*$M17*1000</f>
        <v/>
      </c>
    </row>
    <row r="18" ht="15" customHeight="1" s="106">
      <c r="A18" s="138" t="inlineStr">
        <is>
          <t>PP-SEA-Y1S-PERI</t>
        </is>
      </c>
      <c r="B18" s="138" t="inlineStr">
        <is>
          <t>Peri-Peri Chargrilled Beef</t>
        </is>
      </c>
      <c r="C18" s="138" t="inlineStr">
        <is>
          <t>Y1 Summer - Braai &amp; Basil</t>
        </is>
      </c>
      <c r="D18" s="139" t="inlineStr">
        <is>
          <t>Protein</t>
        </is>
      </c>
      <c r="E18" s="134" t="inlineStr">
        <is>
          <t>PP-BEEF-SEASONED</t>
        </is>
      </c>
      <c r="F18" s="113" t="inlineStr">
        <is>
          <t>Chargrilled beef</t>
        </is>
      </c>
      <c r="G18" s="147" t="n">
        <v>100</v>
      </c>
      <c r="H18" s="164" t="inlineStr">
        <is>
          <t>g</t>
        </is>
      </c>
      <c r="I18" s="150">
        <f>IFERROR(INDEX('04 SKU Master'!$AM$5:$AM$165,MATCH($E18,'04 SKU Master'!$A$5:$A$165,0)),IFERROR(INDEX('05 Packaging Master'!$AM$5:$AM$50,MATCH($E18,'05 Packaging Master'!$A$5:$A$50,0)),IFERROR(INDEX('09 Cost Index'!$C$5:$C$24,MATCH($E18,'09 Cost Index'!$A$5:$A$24,0)),"")))</f>
        <v/>
      </c>
      <c r="J18" s="153">
        <f>'01 Control'!$C$7</f>
        <v/>
      </c>
      <c r="K18" s="150">
        <f>IF($I18="","",$G18*$I18*(1+$J18))</f>
        <v/>
      </c>
      <c r="L18" s="177">
        <f>IF(ISNUMBER(MATCH($E18,'09 Cost Index'!$A$5:$A$24,0)),"09 Cost Index",IF(ISNUMBER(MATCH($E18,'05 Packaging Master'!$A$5:$A$46,0)),"05 Packaging Master",IF(ISNUMBER(MATCH($E18,'04 SKU Master'!$A$5:$A$165,0)),"04 SKU Master","NOT FOUND")))</f>
        <v/>
      </c>
      <c r="M18" s="178">
        <f>IFERROR(INDEX('12 Final Menu'!$U$5:$U$200,MATCH($A18,'12 Final Menu'!$A$5:$A$200,0)),0)</f>
        <v/>
      </c>
      <c r="N18" s="165">
        <f>$G18*(1+$J18)*$M18*1000</f>
        <v/>
      </c>
    </row>
    <row r="19" ht="15" customHeight="1" s="106">
      <c r="A19" s="138" t="inlineStr">
        <is>
          <t>PP-SEA-Y1S-PERI</t>
        </is>
      </c>
      <c r="B19" s="138" t="inlineStr">
        <is>
          <t>Peri-Peri Chargrilled Beef</t>
        </is>
      </c>
      <c r="C19" s="138" t="inlineStr">
        <is>
          <t>Y1 Summer - Braai &amp; Basil</t>
        </is>
      </c>
      <c r="D19" s="139" t="inlineStr">
        <is>
          <t>Ingredient</t>
        </is>
      </c>
      <c r="E19" s="134" t="inlineStr">
        <is>
          <t>PP-SPICE-PERIPERI</t>
        </is>
      </c>
      <c r="F19" s="113" t="inlineStr">
        <is>
          <t>Peri-peri spice</t>
        </is>
      </c>
      <c r="G19" s="147" t="n">
        <v>8</v>
      </c>
      <c r="H19" s="164" t="inlineStr">
        <is>
          <t>g</t>
        </is>
      </c>
      <c r="I19" s="150">
        <f>IFERROR(INDEX('04 SKU Master'!$AM$5:$AM$165,MATCH($E19,'04 SKU Master'!$A$5:$A$165,0)),IFERROR(INDEX('05 Packaging Master'!$AM$5:$AM$50,MATCH($E19,'05 Packaging Master'!$A$5:$A$50,0)),IFERROR(INDEX('09 Cost Index'!$C$5:$C$24,MATCH($E19,'09 Cost Index'!$A$5:$A$24,0)),"")))</f>
        <v/>
      </c>
      <c r="J19" s="153">
        <f>'01 Control'!$C$7</f>
        <v/>
      </c>
      <c r="K19" s="150">
        <f>IF($I19="","",$G19*$I19*(1+$J19))</f>
        <v/>
      </c>
      <c r="L19" s="177">
        <f>IF(ISNUMBER(MATCH($E19,'09 Cost Index'!$A$5:$A$24,0)),"09 Cost Index",IF(ISNUMBER(MATCH($E19,'05 Packaging Master'!$A$5:$A$46,0)),"05 Packaging Master",IF(ISNUMBER(MATCH($E19,'04 SKU Master'!$A$5:$A$165,0)),"04 SKU Master","NOT FOUND")))</f>
        <v/>
      </c>
      <c r="M19" s="178">
        <f>IFERROR(INDEX('12 Final Menu'!$U$5:$U$200,MATCH($A19,'12 Final Menu'!$A$5:$A$200,0)),0)</f>
        <v/>
      </c>
      <c r="N19" s="165">
        <f>$G19*(1+$J19)*$M19*1000</f>
        <v/>
      </c>
    </row>
    <row r="20" ht="15" customHeight="1" s="106">
      <c r="A20" s="138" t="inlineStr">
        <is>
          <t>PP-SEA-Y1S-PERI</t>
        </is>
      </c>
      <c r="B20" s="138" t="inlineStr">
        <is>
          <t>Peri-Peri Chargrilled Beef</t>
        </is>
      </c>
      <c r="C20" s="138" t="inlineStr">
        <is>
          <t>Y1 Summer - Braai &amp; Basil</t>
        </is>
      </c>
      <c r="D20" s="139" t="inlineStr">
        <is>
          <t>Packaging</t>
        </is>
      </c>
      <c r="E20" s="134" t="inlineStr">
        <is>
          <t>PP-PACK-TUB</t>
        </is>
      </c>
      <c r="F20" s="113" t="inlineStr">
        <is>
          <t>Takeaway pasta tub</t>
        </is>
      </c>
      <c r="G20" s="147" t="n">
        <v>1</v>
      </c>
      <c r="H20" s="164" t="inlineStr">
        <is>
          <t>ea</t>
        </is>
      </c>
      <c r="I20" s="150">
        <f>IFERROR(INDEX('04 SKU Master'!$AM$5:$AM$165,MATCH($E20,'04 SKU Master'!$A$5:$A$165,0)),IFERROR(INDEX('05 Packaging Master'!$AM$5:$AM$50,MATCH($E20,'05 Packaging Master'!$A$5:$A$50,0)),IFERROR(INDEX('09 Cost Index'!$C$5:$C$24,MATCH($E20,'09 Cost Index'!$A$5:$A$24,0)),"")))</f>
        <v/>
      </c>
      <c r="J20" s="153">
        <f>'01 Control'!$C$7</f>
        <v/>
      </c>
      <c r="K20" s="150">
        <f>IF($I20="","",$G20*$I20*(1+$J20))</f>
        <v/>
      </c>
      <c r="L20" s="177">
        <f>IF(ISNUMBER(MATCH($E20,'09 Cost Index'!$A$5:$A$24,0)),"09 Cost Index",IF(ISNUMBER(MATCH($E20,'05 Packaging Master'!$A$5:$A$46,0)),"05 Packaging Master",IF(ISNUMBER(MATCH($E20,'04 SKU Master'!$A$5:$A$165,0)),"04 SKU Master","NOT FOUND")))</f>
        <v/>
      </c>
      <c r="M20" s="178">
        <f>IFERROR(INDEX('12 Final Menu'!$U$5:$U$200,MATCH($A20,'12 Final Menu'!$A$5:$A$200,0)),0)</f>
        <v/>
      </c>
      <c r="N20" s="165">
        <f>$G20*(1+$J20)*$M20*1000</f>
        <v/>
      </c>
    </row>
    <row r="21" ht="15" customHeight="1" s="106">
      <c r="A21" s="138" t="inlineStr">
        <is>
          <t>PP-SEA-Y1S-PERI</t>
        </is>
      </c>
      <c r="B21" s="138" t="inlineStr">
        <is>
          <t>Peri-Peri Chargrilled Beef</t>
        </is>
      </c>
      <c r="C21" s="138" t="inlineStr">
        <is>
          <t>Y1 Summer - Braai &amp; Basil</t>
        </is>
      </c>
      <c r="D21" s="139" t="inlineStr">
        <is>
          <t>Packaging</t>
        </is>
      </c>
      <c r="E21" s="134" t="inlineStr">
        <is>
          <t>PP-PACK-LID</t>
        </is>
      </c>
      <c r="F21" s="113" t="inlineStr">
        <is>
          <t>Bowl lid</t>
        </is>
      </c>
      <c r="G21" s="147" t="n">
        <v>1</v>
      </c>
      <c r="H21" s="164" t="inlineStr">
        <is>
          <t>ea</t>
        </is>
      </c>
      <c r="I21" s="150">
        <f>IFERROR(INDEX('04 SKU Master'!$AM$5:$AM$165,MATCH($E21,'04 SKU Master'!$A$5:$A$165,0)),IFERROR(INDEX('05 Packaging Master'!$AM$5:$AM$50,MATCH($E21,'05 Packaging Master'!$A$5:$A$50,0)),IFERROR(INDEX('09 Cost Index'!$C$5:$C$24,MATCH($E21,'09 Cost Index'!$A$5:$A$24,0)),"")))</f>
        <v/>
      </c>
      <c r="J21" s="153">
        <f>'01 Control'!$C$7</f>
        <v/>
      </c>
      <c r="K21" s="150">
        <f>IF($I21="","",$G21*$I21*(1+$J21))</f>
        <v/>
      </c>
      <c r="L21" s="177">
        <f>IF(ISNUMBER(MATCH($E21,'09 Cost Index'!$A$5:$A$24,0)),"09 Cost Index",IF(ISNUMBER(MATCH($E21,'05 Packaging Master'!$A$5:$A$46,0)),"05 Packaging Master",IF(ISNUMBER(MATCH($E21,'04 SKU Master'!$A$5:$A$165,0)),"04 SKU Master","NOT FOUND")))</f>
        <v/>
      </c>
      <c r="M21" s="178">
        <f>IFERROR(INDEX('12 Final Menu'!$U$5:$U$200,MATCH($A21,'12 Final Menu'!$A$5:$A$200,0)),0)</f>
        <v/>
      </c>
      <c r="N21" s="165">
        <f>$G21*(1+$J21)*$M21*1000</f>
        <v/>
      </c>
    </row>
    <row r="22" ht="15" customHeight="1" s="106">
      <c r="A22" s="138" t="inlineStr">
        <is>
          <t>PP-SEA-Y1S-PERI</t>
        </is>
      </c>
      <c r="B22" s="138" t="inlineStr">
        <is>
          <t>Peri-Peri Chargrilled Beef</t>
        </is>
      </c>
      <c r="C22" s="138" t="inlineStr">
        <is>
          <t>Y1 Summer - Braai &amp; Basil</t>
        </is>
      </c>
      <c r="D22" s="139" t="inlineStr">
        <is>
          <t>Packaging</t>
        </is>
      </c>
      <c r="E22" s="134" t="inlineStr">
        <is>
          <t>PP-PACK-CUTLERY</t>
        </is>
      </c>
      <c r="F22" s="113" t="inlineStr">
        <is>
          <t>Cutlery set</t>
        </is>
      </c>
      <c r="G22" s="147" t="n">
        <v>1</v>
      </c>
      <c r="H22" s="164" t="inlineStr">
        <is>
          <t>ea</t>
        </is>
      </c>
      <c r="I22" s="150">
        <f>IFERROR(INDEX('04 SKU Master'!$AM$5:$AM$165,MATCH($E22,'04 SKU Master'!$A$5:$A$165,0)),IFERROR(INDEX('05 Packaging Master'!$AM$5:$AM$50,MATCH($E22,'05 Packaging Master'!$A$5:$A$50,0)),IFERROR(INDEX('09 Cost Index'!$C$5:$C$24,MATCH($E22,'09 Cost Index'!$A$5:$A$24,0)),"")))</f>
        <v/>
      </c>
      <c r="J22" s="153">
        <f>'01 Control'!$C$7</f>
        <v/>
      </c>
      <c r="K22" s="150">
        <f>IF($I22="","",$G22*$I22*(1+$J22))</f>
        <v/>
      </c>
      <c r="L22" s="177">
        <f>IF(ISNUMBER(MATCH($E22,'09 Cost Index'!$A$5:$A$24,0)),"09 Cost Index",IF(ISNUMBER(MATCH($E22,'05 Packaging Master'!$A$5:$A$46,0)),"05 Packaging Master",IF(ISNUMBER(MATCH($E22,'04 SKU Master'!$A$5:$A$165,0)),"04 SKU Master","NOT FOUND")))</f>
        <v/>
      </c>
      <c r="M22" s="178">
        <f>IFERROR(INDEX('12 Final Menu'!$U$5:$U$200,MATCH($A22,'12 Final Menu'!$A$5:$A$200,0)),0)</f>
        <v/>
      </c>
      <c r="N22" s="165">
        <f>$G22*(1+$J22)*$M22*1000</f>
        <v/>
      </c>
    </row>
    <row r="23" ht="15" customHeight="1" s="106">
      <c r="A23" s="138" t="inlineStr">
        <is>
          <t>PP-SEA-Y1S-PERI</t>
        </is>
      </c>
      <c r="B23" s="138" t="inlineStr">
        <is>
          <t>Peri-Peri Chargrilled Beef</t>
        </is>
      </c>
      <c r="C23" s="138" t="inlineStr">
        <is>
          <t>Y1 Summer - Braai &amp; Basil</t>
        </is>
      </c>
      <c r="D23" s="139" t="inlineStr">
        <is>
          <t>Packaging</t>
        </is>
      </c>
      <c r="E23" s="134" t="inlineStr">
        <is>
          <t>PP-PACK-NAPKIN</t>
        </is>
      </c>
      <c r="F23" s="113" t="inlineStr">
        <is>
          <t>Branded napkin</t>
        </is>
      </c>
      <c r="G23" s="147" t="n">
        <v>1</v>
      </c>
      <c r="H23" s="164" t="inlineStr">
        <is>
          <t>ea</t>
        </is>
      </c>
      <c r="I23" s="150">
        <f>IFERROR(INDEX('04 SKU Master'!$AM$5:$AM$165,MATCH($E23,'04 SKU Master'!$A$5:$A$165,0)),IFERROR(INDEX('05 Packaging Master'!$AM$5:$AM$50,MATCH($E23,'05 Packaging Master'!$A$5:$A$50,0)),IFERROR(INDEX('09 Cost Index'!$C$5:$C$24,MATCH($E23,'09 Cost Index'!$A$5:$A$24,0)),"")))</f>
        <v/>
      </c>
      <c r="J23" s="153">
        <f>'01 Control'!$C$7</f>
        <v/>
      </c>
      <c r="K23" s="150">
        <f>IF($I23="","",$G23*$I23*(1+$J23))</f>
        <v/>
      </c>
      <c r="L23" s="177">
        <f>IF(ISNUMBER(MATCH($E23,'09 Cost Index'!$A$5:$A$24,0)),"09 Cost Index",IF(ISNUMBER(MATCH($E23,'05 Packaging Master'!$A$5:$A$46,0)),"05 Packaging Master",IF(ISNUMBER(MATCH($E23,'04 SKU Master'!$A$5:$A$165,0)),"04 SKU Master","NOT FOUND")))</f>
        <v/>
      </c>
      <c r="M23" s="178">
        <f>IFERROR(INDEX('12 Final Menu'!$U$5:$U$200,MATCH($A23,'12 Final Menu'!$A$5:$A$200,0)),0)</f>
        <v/>
      </c>
      <c r="N23" s="165">
        <f>$G23*(1+$J23)*$M23*1000</f>
        <v/>
      </c>
    </row>
    <row r="24"/>
    <row r="25" ht="15" customHeight="1" s="106">
      <c r="A25" s="144" t="inlineStr">
        <is>
          <t>YEAR 1  |  Summer (Dec-Feb)  |  Braai &amp; Basil   -&gt;   Chilled Caprese Pasta Salad   |   Fusilli   |   PP-SEA-Y1S-CAPR</t>
        </is>
      </c>
      <c r="B25" s="110" t="n"/>
      <c r="C25" s="110" t="n"/>
      <c r="D25" s="110" t="n"/>
      <c r="E25" s="110" t="n"/>
      <c r="F25" s="110" t="n"/>
      <c r="G25" s="110" t="n"/>
      <c r="H25" s="110" t="n"/>
      <c r="I25" s="110" t="n"/>
      <c r="J25" s="110" t="n"/>
      <c r="K25" s="110" t="n"/>
      <c r="L25" s="110" t="n"/>
      <c r="M25" s="110" t="n"/>
      <c r="N25" s="111" t="n"/>
    </row>
    <row r="26" ht="15" customHeight="1" s="106">
      <c r="A26" s="138" t="inlineStr">
        <is>
          <t>PP-SEA-Y1S-CAPR</t>
        </is>
      </c>
      <c r="B26" s="138" t="inlineStr">
        <is>
          <t>Chilled Caprese Pasta Salad</t>
        </is>
      </c>
      <c r="C26" s="138" t="inlineStr">
        <is>
          <t>Y1 Summer - Braai &amp; Basil</t>
        </is>
      </c>
      <c r="D26" s="139" t="inlineStr">
        <is>
          <t>Pasta</t>
        </is>
      </c>
      <c r="E26" s="134" t="inlineStr">
        <is>
          <t>PP-DOUGH-BOKGAT</t>
        </is>
      </c>
      <c r="F26" s="113" t="inlineStr">
        <is>
          <t>Bokgat Base, Fusilli - dried weight</t>
        </is>
      </c>
      <c r="G26" s="147" t="n">
        <v>95</v>
      </c>
      <c r="H26" s="164" t="inlineStr">
        <is>
          <t>g</t>
        </is>
      </c>
      <c r="I26" s="150">
        <f>IFERROR(INDEX('04 SKU Master'!$AM$5:$AM$165,MATCH($E26,'04 SKU Master'!$A$5:$A$165,0)),IFERROR(INDEX('05 Packaging Master'!$AM$5:$AM$50,MATCH($E26,'05 Packaging Master'!$A$5:$A$50,0)),IFERROR(INDEX('09 Cost Index'!$C$5:$C$24,MATCH($E26,'09 Cost Index'!$A$5:$A$24,0)),"")))</f>
        <v/>
      </c>
      <c r="J26" s="153">
        <f>'01 Control'!$C$7</f>
        <v/>
      </c>
      <c r="K26" s="150">
        <f>IF($I26="","",$G26*$I26*(1+$J26))</f>
        <v/>
      </c>
      <c r="L26" s="177">
        <f>IF(ISNUMBER(MATCH($E26,'09 Cost Index'!$A$5:$A$24,0)),"09 Cost Index",IF(ISNUMBER(MATCH($E26,'05 Packaging Master'!$A$5:$A$46,0)),"05 Packaging Master",IF(ISNUMBER(MATCH($E26,'04 SKU Master'!$A$5:$A$165,0)),"04 SKU Master","NOT FOUND")))</f>
        <v/>
      </c>
      <c r="M26" s="178">
        <f>IFERROR(INDEX('12 Final Menu'!$U$5:$U$200,MATCH($A26,'12 Final Menu'!$A$5:$A$200,0)),0)</f>
        <v/>
      </c>
      <c r="N26" s="165">
        <f>$G26*(1+$J26)*$M26*1000</f>
        <v/>
      </c>
    </row>
    <row r="27" ht="15" customHeight="1" s="106">
      <c r="A27" s="138" t="inlineStr">
        <is>
          <t>PP-SEA-Y1S-CAPR</t>
        </is>
      </c>
      <c r="B27" s="138" t="inlineStr">
        <is>
          <t>Chilled Caprese Pasta Salad</t>
        </is>
      </c>
      <c r="C27" s="138" t="inlineStr">
        <is>
          <t>Y1 Summer - Braai &amp; Basil</t>
        </is>
      </c>
      <c r="D27" s="139" t="inlineStr">
        <is>
          <t>Ingredient</t>
        </is>
      </c>
      <c r="E27" s="134" t="inlineStr">
        <is>
          <t>PP-VEG-CHERRYTOM</t>
        </is>
      </c>
      <c r="F27" s="113" t="inlineStr">
        <is>
          <t>Vine / cherry tomatoes</t>
        </is>
      </c>
      <c r="G27" s="147" t="n">
        <v>70</v>
      </c>
      <c r="H27" s="164" t="inlineStr">
        <is>
          <t>g</t>
        </is>
      </c>
      <c r="I27" s="150">
        <f>IFERROR(INDEX('04 SKU Master'!$AM$5:$AM$165,MATCH($E27,'04 SKU Master'!$A$5:$A$165,0)),IFERROR(INDEX('05 Packaging Master'!$AM$5:$AM$50,MATCH($E27,'05 Packaging Master'!$A$5:$A$50,0)),IFERROR(INDEX('09 Cost Index'!$C$5:$C$24,MATCH($E27,'09 Cost Index'!$A$5:$A$24,0)),"")))</f>
        <v/>
      </c>
      <c r="J27" s="153">
        <f>'01 Control'!$C$7</f>
        <v/>
      </c>
      <c r="K27" s="150">
        <f>IF($I27="","",$G27*$I27*(1+$J27))</f>
        <v/>
      </c>
      <c r="L27" s="177">
        <f>IF(ISNUMBER(MATCH($E27,'09 Cost Index'!$A$5:$A$24,0)),"09 Cost Index",IF(ISNUMBER(MATCH($E27,'05 Packaging Master'!$A$5:$A$46,0)),"05 Packaging Master",IF(ISNUMBER(MATCH($E27,'04 SKU Master'!$A$5:$A$165,0)),"04 SKU Master","NOT FOUND")))</f>
        <v/>
      </c>
      <c r="M27" s="178">
        <f>IFERROR(INDEX('12 Final Menu'!$U$5:$U$200,MATCH($A27,'12 Final Menu'!$A$5:$A$200,0)),0)</f>
        <v/>
      </c>
      <c r="N27" s="165">
        <f>$G27*(1+$J27)*$M27*1000</f>
        <v/>
      </c>
    </row>
    <row r="28" ht="15" customHeight="1" s="106">
      <c r="A28" s="138" t="inlineStr">
        <is>
          <t>PP-SEA-Y1S-CAPR</t>
        </is>
      </c>
      <c r="B28" s="138" t="inlineStr">
        <is>
          <t>Chilled Caprese Pasta Salad</t>
        </is>
      </c>
      <c r="C28" s="138" t="inlineStr">
        <is>
          <t>Y1 Summer - Braai &amp; Basil</t>
        </is>
      </c>
      <c r="D28" s="139" t="inlineStr">
        <is>
          <t>Ingredient</t>
        </is>
      </c>
      <c r="E28" s="134" t="inlineStr">
        <is>
          <t>PP-MOZZ</t>
        </is>
      </c>
      <c r="F28" s="113" t="inlineStr">
        <is>
          <t>Mozzarella</t>
        </is>
      </c>
      <c r="G28" s="147" t="n">
        <v>55</v>
      </c>
      <c r="H28" s="164" t="inlineStr">
        <is>
          <t>g</t>
        </is>
      </c>
      <c r="I28" s="150">
        <f>IFERROR(INDEX('04 SKU Master'!$AM$5:$AM$165,MATCH($E28,'04 SKU Master'!$A$5:$A$165,0)),IFERROR(INDEX('05 Packaging Master'!$AM$5:$AM$50,MATCH($E28,'05 Packaging Master'!$A$5:$A$50,0)),IFERROR(INDEX('09 Cost Index'!$C$5:$C$24,MATCH($E28,'09 Cost Index'!$A$5:$A$24,0)),"")))</f>
        <v/>
      </c>
      <c r="J28" s="153">
        <f>'01 Control'!$C$7</f>
        <v/>
      </c>
      <c r="K28" s="150">
        <f>IF($I28="","",$G28*$I28*(1+$J28))</f>
        <v/>
      </c>
      <c r="L28" s="177">
        <f>IF(ISNUMBER(MATCH($E28,'09 Cost Index'!$A$5:$A$24,0)),"09 Cost Index",IF(ISNUMBER(MATCH($E28,'05 Packaging Master'!$A$5:$A$46,0)),"05 Packaging Master",IF(ISNUMBER(MATCH($E28,'04 SKU Master'!$A$5:$A$165,0)),"04 SKU Master","NOT FOUND")))</f>
        <v/>
      </c>
      <c r="M28" s="178">
        <f>IFERROR(INDEX('12 Final Menu'!$U$5:$U$200,MATCH($A28,'12 Final Menu'!$A$5:$A$200,0)),0)</f>
        <v/>
      </c>
      <c r="N28" s="165">
        <f>$G28*(1+$J28)*$M28*1000</f>
        <v/>
      </c>
    </row>
    <row r="29" ht="15" customHeight="1" s="106">
      <c r="A29" s="138" t="inlineStr">
        <is>
          <t>PP-SEA-Y1S-CAPR</t>
        </is>
      </c>
      <c r="B29" s="138" t="inlineStr">
        <is>
          <t>Chilled Caprese Pasta Salad</t>
        </is>
      </c>
      <c r="C29" s="138" t="inlineStr">
        <is>
          <t>Y1 Summer - Braai &amp; Basil</t>
        </is>
      </c>
      <c r="D29" s="139" t="inlineStr">
        <is>
          <t>Ingredient</t>
        </is>
      </c>
      <c r="E29" s="134" t="inlineStr">
        <is>
          <t>PP-HERB-BASIL-FRESH</t>
        </is>
      </c>
      <c r="F29" s="113" t="inlineStr">
        <is>
          <t>Fresh basil</t>
        </is>
      </c>
      <c r="G29" s="147" t="n">
        <v>8</v>
      </c>
      <c r="H29" s="164" t="inlineStr">
        <is>
          <t>g</t>
        </is>
      </c>
      <c r="I29" s="150">
        <f>IFERROR(INDEX('04 SKU Master'!$AM$5:$AM$165,MATCH($E29,'04 SKU Master'!$A$5:$A$165,0)),IFERROR(INDEX('05 Packaging Master'!$AM$5:$AM$50,MATCH($E29,'05 Packaging Master'!$A$5:$A$50,0)),IFERROR(INDEX('09 Cost Index'!$C$5:$C$24,MATCH($E29,'09 Cost Index'!$A$5:$A$24,0)),"")))</f>
        <v/>
      </c>
      <c r="J29" s="153">
        <f>'01 Control'!$C$7</f>
        <v/>
      </c>
      <c r="K29" s="150">
        <f>IF($I29="","",$G29*$I29*(1+$J29))</f>
        <v/>
      </c>
      <c r="L29" s="177">
        <f>IF(ISNUMBER(MATCH($E29,'09 Cost Index'!$A$5:$A$24,0)),"09 Cost Index",IF(ISNUMBER(MATCH($E29,'05 Packaging Master'!$A$5:$A$46,0)),"05 Packaging Master",IF(ISNUMBER(MATCH($E29,'04 SKU Master'!$A$5:$A$165,0)),"04 SKU Master","NOT FOUND")))</f>
        <v/>
      </c>
      <c r="M29" s="178">
        <f>IFERROR(INDEX('12 Final Menu'!$U$5:$U$200,MATCH($A29,'12 Final Menu'!$A$5:$A$200,0)),0)</f>
        <v/>
      </c>
      <c r="N29" s="165">
        <f>$G29*(1+$J29)*$M29*1000</f>
        <v/>
      </c>
    </row>
    <row r="30" ht="15" customHeight="1" s="106">
      <c r="A30" s="138" t="inlineStr">
        <is>
          <t>PP-SEA-Y1S-CAPR</t>
        </is>
      </c>
      <c r="B30" s="138" t="inlineStr">
        <is>
          <t>Chilled Caprese Pasta Salad</t>
        </is>
      </c>
      <c r="C30" s="138" t="inlineStr">
        <is>
          <t>Y1 Summer - Braai &amp; Basil</t>
        </is>
      </c>
      <c r="D30" s="139" t="inlineStr">
        <is>
          <t>Ingredient</t>
        </is>
      </c>
      <c r="E30" s="134" t="inlineStr">
        <is>
          <t>PP-EVOO</t>
        </is>
      </c>
      <c r="F30" s="113" t="inlineStr">
        <is>
          <t>Extra-virgin olive oil</t>
        </is>
      </c>
      <c r="G30" s="147" t="n">
        <v>15</v>
      </c>
      <c r="H30" s="164" t="inlineStr">
        <is>
          <t>ml</t>
        </is>
      </c>
      <c r="I30" s="150">
        <f>IFERROR(INDEX('04 SKU Master'!$AM$5:$AM$165,MATCH($E30,'04 SKU Master'!$A$5:$A$165,0)),IFERROR(INDEX('05 Packaging Master'!$AM$5:$AM$50,MATCH($E30,'05 Packaging Master'!$A$5:$A$50,0)),IFERROR(INDEX('09 Cost Index'!$C$5:$C$24,MATCH($E30,'09 Cost Index'!$A$5:$A$24,0)),"")))</f>
        <v/>
      </c>
      <c r="J30" s="153">
        <f>'01 Control'!$C$7</f>
        <v/>
      </c>
      <c r="K30" s="150">
        <f>IF($I30="","",$G30*$I30*(1+$J30))</f>
        <v/>
      </c>
      <c r="L30" s="177">
        <f>IF(ISNUMBER(MATCH($E30,'09 Cost Index'!$A$5:$A$24,0)),"09 Cost Index",IF(ISNUMBER(MATCH($E30,'05 Packaging Master'!$A$5:$A$46,0)),"05 Packaging Master",IF(ISNUMBER(MATCH($E30,'04 SKU Master'!$A$5:$A$165,0)),"04 SKU Master","NOT FOUND")))</f>
        <v/>
      </c>
      <c r="M30" s="178">
        <f>IFERROR(INDEX('12 Final Menu'!$U$5:$U$200,MATCH($A30,'12 Final Menu'!$A$5:$A$200,0)),0)</f>
        <v/>
      </c>
      <c r="N30" s="165">
        <f>$G30*(1+$J30)*$M30*1000</f>
        <v/>
      </c>
    </row>
    <row r="31" ht="15" customHeight="1" s="106">
      <c r="A31" s="138" t="inlineStr">
        <is>
          <t>PP-SEA-Y1S-CAPR</t>
        </is>
      </c>
      <c r="B31" s="138" t="inlineStr">
        <is>
          <t>Chilled Caprese Pasta Salad</t>
        </is>
      </c>
      <c r="C31" s="138" t="inlineStr">
        <is>
          <t>Y1 Summer - Braai &amp; Basil</t>
        </is>
      </c>
      <c r="D31" s="139" t="inlineStr">
        <is>
          <t>Packaging</t>
        </is>
      </c>
      <c r="E31" s="134" t="inlineStr">
        <is>
          <t>PP-PACK-SALAD-BOWL</t>
        </is>
      </c>
      <c r="F31" s="113" t="inlineStr">
        <is>
          <t>Salad bowl</t>
        </is>
      </c>
      <c r="G31" s="147" t="n">
        <v>1</v>
      </c>
      <c r="H31" s="164" t="inlineStr">
        <is>
          <t>ea</t>
        </is>
      </c>
      <c r="I31" s="150">
        <f>IFERROR(INDEX('04 SKU Master'!$AM$5:$AM$165,MATCH($E31,'04 SKU Master'!$A$5:$A$165,0)),IFERROR(INDEX('05 Packaging Master'!$AM$5:$AM$50,MATCH($E31,'05 Packaging Master'!$A$5:$A$50,0)),IFERROR(INDEX('09 Cost Index'!$C$5:$C$24,MATCH($E31,'09 Cost Index'!$A$5:$A$24,0)),"")))</f>
        <v/>
      </c>
      <c r="J31" s="153">
        <f>'01 Control'!$C$7</f>
        <v/>
      </c>
      <c r="K31" s="150">
        <f>IF($I31="","",$G31*$I31*(1+$J31))</f>
        <v/>
      </c>
      <c r="L31" s="177">
        <f>IF(ISNUMBER(MATCH($E31,'09 Cost Index'!$A$5:$A$24,0)),"09 Cost Index",IF(ISNUMBER(MATCH($E31,'05 Packaging Master'!$A$5:$A$46,0)),"05 Packaging Master",IF(ISNUMBER(MATCH($E31,'04 SKU Master'!$A$5:$A$165,0)),"04 SKU Master","NOT FOUND")))</f>
        <v/>
      </c>
      <c r="M31" s="178">
        <f>IFERROR(INDEX('12 Final Menu'!$U$5:$U$200,MATCH($A31,'12 Final Menu'!$A$5:$A$200,0)),0)</f>
        <v/>
      </c>
      <c r="N31" s="165">
        <f>$G31*(1+$J31)*$M31*1000</f>
        <v/>
      </c>
    </row>
    <row r="32" ht="15" customHeight="1" s="106">
      <c r="A32" s="138" t="inlineStr">
        <is>
          <t>PP-SEA-Y1S-CAPR</t>
        </is>
      </c>
      <c r="B32" s="138" t="inlineStr">
        <is>
          <t>Chilled Caprese Pasta Salad</t>
        </is>
      </c>
      <c r="C32" s="138" t="inlineStr">
        <is>
          <t>Y1 Summer - Braai &amp; Basil</t>
        </is>
      </c>
      <c r="D32" s="139" t="inlineStr">
        <is>
          <t>Packaging</t>
        </is>
      </c>
      <c r="E32" s="134" t="inlineStr">
        <is>
          <t>PP-PACK-SALAD-LID</t>
        </is>
      </c>
      <c r="F32" s="113" t="inlineStr">
        <is>
          <t>Salad bowl lid</t>
        </is>
      </c>
      <c r="G32" s="147" t="n">
        <v>1</v>
      </c>
      <c r="H32" s="164" t="inlineStr">
        <is>
          <t>ea</t>
        </is>
      </c>
      <c r="I32" s="150">
        <f>IFERROR(INDEX('04 SKU Master'!$AM$5:$AM$165,MATCH($E32,'04 SKU Master'!$A$5:$A$165,0)),IFERROR(INDEX('05 Packaging Master'!$AM$5:$AM$50,MATCH($E32,'05 Packaging Master'!$A$5:$A$50,0)),IFERROR(INDEX('09 Cost Index'!$C$5:$C$24,MATCH($E32,'09 Cost Index'!$A$5:$A$24,0)),"")))</f>
        <v/>
      </c>
      <c r="J32" s="153">
        <f>'01 Control'!$C$7</f>
        <v/>
      </c>
      <c r="K32" s="150">
        <f>IF($I32="","",$G32*$I32*(1+$J32))</f>
        <v/>
      </c>
      <c r="L32" s="177">
        <f>IF(ISNUMBER(MATCH($E32,'09 Cost Index'!$A$5:$A$24,0)),"09 Cost Index",IF(ISNUMBER(MATCH($E32,'05 Packaging Master'!$A$5:$A$46,0)),"05 Packaging Master",IF(ISNUMBER(MATCH($E32,'04 SKU Master'!$A$5:$A$165,0)),"04 SKU Master","NOT FOUND")))</f>
        <v/>
      </c>
      <c r="M32" s="178">
        <f>IFERROR(INDEX('12 Final Menu'!$U$5:$U$200,MATCH($A32,'12 Final Menu'!$A$5:$A$200,0)),0)</f>
        <v/>
      </c>
      <c r="N32" s="165">
        <f>$G32*(1+$J32)*$M32*1000</f>
        <v/>
      </c>
    </row>
    <row r="33" ht="15" customHeight="1" s="106">
      <c r="A33" s="138" t="inlineStr">
        <is>
          <t>PP-SEA-Y1S-CAPR</t>
        </is>
      </c>
      <c r="B33" s="138" t="inlineStr">
        <is>
          <t>Chilled Caprese Pasta Salad</t>
        </is>
      </c>
      <c r="C33" s="138" t="inlineStr">
        <is>
          <t>Y1 Summer - Braai &amp; Basil</t>
        </is>
      </c>
      <c r="D33" s="139" t="inlineStr">
        <is>
          <t>Packaging</t>
        </is>
      </c>
      <c r="E33" s="134" t="inlineStr">
        <is>
          <t>PP-PACK-SAUCE-POT</t>
        </is>
      </c>
      <c r="F33" s="113" t="inlineStr">
        <is>
          <t>Dressing pot</t>
        </is>
      </c>
      <c r="G33" s="147" t="n">
        <v>1</v>
      </c>
      <c r="H33" s="164" t="inlineStr">
        <is>
          <t>ea</t>
        </is>
      </c>
      <c r="I33" s="150">
        <f>IFERROR(INDEX('04 SKU Master'!$AM$5:$AM$165,MATCH($E33,'04 SKU Master'!$A$5:$A$165,0)),IFERROR(INDEX('05 Packaging Master'!$AM$5:$AM$50,MATCH($E33,'05 Packaging Master'!$A$5:$A$50,0)),IFERROR(INDEX('09 Cost Index'!$C$5:$C$24,MATCH($E33,'09 Cost Index'!$A$5:$A$24,0)),"")))</f>
        <v/>
      </c>
      <c r="J33" s="153">
        <f>'01 Control'!$C$7</f>
        <v/>
      </c>
      <c r="K33" s="150">
        <f>IF($I33="","",$G33*$I33*(1+$J33))</f>
        <v/>
      </c>
      <c r="L33" s="177">
        <f>IF(ISNUMBER(MATCH($E33,'09 Cost Index'!$A$5:$A$24,0)),"09 Cost Index",IF(ISNUMBER(MATCH($E33,'05 Packaging Master'!$A$5:$A$46,0)),"05 Packaging Master",IF(ISNUMBER(MATCH($E33,'04 SKU Master'!$A$5:$A$165,0)),"04 SKU Master","NOT FOUND")))</f>
        <v/>
      </c>
      <c r="M33" s="178">
        <f>IFERROR(INDEX('12 Final Menu'!$U$5:$U$200,MATCH($A33,'12 Final Menu'!$A$5:$A$200,0)),0)</f>
        <v/>
      </c>
      <c r="N33" s="165">
        <f>$G33*(1+$J33)*$M33*1000</f>
        <v/>
      </c>
    </row>
    <row r="34" ht="15" customHeight="1" s="106">
      <c r="A34" s="138" t="inlineStr">
        <is>
          <t>PP-SEA-Y1S-CAPR</t>
        </is>
      </c>
      <c r="B34" s="138" t="inlineStr">
        <is>
          <t>Chilled Caprese Pasta Salad</t>
        </is>
      </c>
      <c r="C34" s="138" t="inlineStr">
        <is>
          <t>Y1 Summer - Braai &amp; Basil</t>
        </is>
      </c>
      <c r="D34" s="139" t="inlineStr">
        <is>
          <t>Packaging</t>
        </is>
      </c>
      <c r="E34" s="134" t="inlineStr">
        <is>
          <t>PP-PACK-CUTLERY</t>
        </is>
      </c>
      <c r="F34" s="113" t="inlineStr">
        <is>
          <t>Cutlery set</t>
        </is>
      </c>
      <c r="G34" s="147" t="n">
        <v>1</v>
      </c>
      <c r="H34" s="164" t="inlineStr">
        <is>
          <t>ea</t>
        </is>
      </c>
      <c r="I34" s="150">
        <f>IFERROR(INDEX('04 SKU Master'!$AM$5:$AM$165,MATCH($E34,'04 SKU Master'!$A$5:$A$165,0)),IFERROR(INDEX('05 Packaging Master'!$AM$5:$AM$50,MATCH($E34,'05 Packaging Master'!$A$5:$A$50,0)),IFERROR(INDEX('09 Cost Index'!$C$5:$C$24,MATCH($E34,'09 Cost Index'!$A$5:$A$24,0)),"")))</f>
        <v/>
      </c>
      <c r="J34" s="153">
        <f>'01 Control'!$C$7</f>
        <v/>
      </c>
      <c r="K34" s="150">
        <f>IF($I34="","",$G34*$I34*(1+$J34))</f>
        <v/>
      </c>
      <c r="L34" s="177">
        <f>IF(ISNUMBER(MATCH($E34,'09 Cost Index'!$A$5:$A$24,0)),"09 Cost Index",IF(ISNUMBER(MATCH($E34,'05 Packaging Master'!$A$5:$A$46,0)),"05 Packaging Master",IF(ISNUMBER(MATCH($E34,'04 SKU Master'!$A$5:$A$165,0)),"04 SKU Master","NOT FOUND")))</f>
        <v/>
      </c>
      <c r="M34" s="178">
        <f>IFERROR(INDEX('12 Final Menu'!$U$5:$U$200,MATCH($A34,'12 Final Menu'!$A$5:$A$200,0)),0)</f>
        <v/>
      </c>
      <c r="N34" s="165">
        <f>$G34*(1+$J34)*$M34*1000</f>
        <v/>
      </c>
    </row>
    <row r="35" ht="15" customHeight="1" s="106">
      <c r="A35" s="138" t="inlineStr">
        <is>
          <t>PP-SEA-Y1S-CAPR</t>
        </is>
      </c>
      <c r="B35" s="138" t="inlineStr">
        <is>
          <t>Chilled Caprese Pasta Salad</t>
        </is>
      </c>
      <c r="C35" s="138" t="inlineStr">
        <is>
          <t>Y1 Summer - Braai &amp; Basil</t>
        </is>
      </c>
      <c r="D35" s="139" t="inlineStr">
        <is>
          <t>Packaging</t>
        </is>
      </c>
      <c r="E35" s="134" t="inlineStr">
        <is>
          <t>PP-PACK-NAPKIN</t>
        </is>
      </c>
      <c r="F35" s="113" t="inlineStr">
        <is>
          <t>Branded napkin</t>
        </is>
      </c>
      <c r="G35" s="147" t="n">
        <v>1</v>
      </c>
      <c r="H35" s="164" t="inlineStr">
        <is>
          <t>ea</t>
        </is>
      </c>
      <c r="I35" s="150">
        <f>IFERROR(INDEX('04 SKU Master'!$AM$5:$AM$165,MATCH($E35,'04 SKU Master'!$A$5:$A$165,0)),IFERROR(INDEX('05 Packaging Master'!$AM$5:$AM$50,MATCH($E35,'05 Packaging Master'!$A$5:$A$50,0)),IFERROR(INDEX('09 Cost Index'!$C$5:$C$24,MATCH($E35,'09 Cost Index'!$A$5:$A$24,0)),"")))</f>
        <v/>
      </c>
      <c r="J35" s="153">
        <f>'01 Control'!$C$7</f>
        <v/>
      </c>
      <c r="K35" s="150">
        <f>IF($I35="","",$G35*$I35*(1+$J35))</f>
        <v/>
      </c>
      <c r="L35" s="177">
        <f>IF(ISNUMBER(MATCH($E35,'09 Cost Index'!$A$5:$A$24,0)),"09 Cost Index",IF(ISNUMBER(MATCH($E35,'05 Packaging Master'!$A$5:$A$46,0)),"05 Packaging Master",IF(ISNUMBER(MATCH($E35,'04 SKU Master'!$A$5:$A$165,0)),"04 SKU Master","NOT FOUND")))</f>
        <v/>
      </c>
      <c r="M35" s="178">
        <f>IFERROR(INDEX('12 Final Menu'!$U$5:$U$200,MATCH($A35,'12 Final Menu'!$A$5:$A$200,0)),0)</f>
        <v/>
      </c>
      <c r="N35" s="165">
        <f>$G35*(1+$J35)*$M35*1000</f>
        <v/>
      </c>
    </row>
    <row r="36"/>
    <row r="37" ht="15" customHeight="1" s="106">
      <c r="A37" s="144" t="inlineStr">
        <is>
          <t>YEAR 1  |  Autumn (Mar-May)  |  Harvest   -&gt;   Wild Mushroom &amp; Thyme   |   Fusilli   |   PP-SEA-Y1A-MUSH</t>
        </is>
      </c>
      <c r="B37" s="110" t="n"/>
      <c r="C37" s="110" t="n"/>
      <c r="D37" s="110" t="n"/>
      <c r="E37" s="110" t="n"/>
      <c r="F37" s="110" t="n"/>
      <c r="G37" s="110" t="n"/>
      <c r="H37" s="110" t="n"/>
      <c r="I37" s="110" t="n"/>
      <c r="J37" s="110" t="n"/>
      <c r="K37" s="110" t="n"/>
      <c r="L37" s="110" t="n"/>
      <c r="M37" s="110" t="n"/>
      <c r="N37" s="111" t="n"/>
    </row>
    <row r="38" ht="15" customHeight="1" s="106">
      <c r="A38" s="138" t="inlineStr">
        <is>
          <t>PP-SEA-Y1A-MUSH</t>
        </is>
      </c>
      <c r="B38" s="138" t="inlineStr">
        <is>
          <t>Wild Mushroom &amp; Thyme</t>
        </is>
      </c>
      <c r="C38" s="138" t="inlineStr">
        <is>
          <t>Y1 Autumn - Harvest</t>
        </is>
      </c>
      <c r="D38" s="139" t="inlineStr">
        <is>
          <t>Pasta</t>
        </is>
      </c>
      <c r="E38" s="134" t="inlineStr">
        <is>
          <t>PP-DOUGH-FARMHOUSE</t>
        </is>
      </c>
      <c r="F38" s="113" t="inlineStr">
        <is>
          <t>Farmhouse, Fusilli - dried weight</t>
        </is>
      </c>
      <c r="G38" s="147" t="n">
        <v>111</v>
      </c>
      <c r="H38" s="164" t="inlineStr">
        <is>
          <t>g</t>
        </is>
      </c>
      <c r="I38" s="150">
        <f>IFERROR(INDEX('04 SKU Master'!$AM$5:$AM$165,MATCH($E38,'04 SKU Master'!$A$5:$A$165,0)),IFERROR(INDEX('05 Packaging Master'!$AM$5:$AM$50,MATCH($E38,'05 Packaging Master'!$A$5:$A$50,0)),IFERROR(INDEX('09 Cost Index'!$C$5:$C$24,MATCH($E38,'09 Cost Index'!$A$5:$A$24,0)),"")))</f>
        <v/>
      </c>
      <c r="J38" s="153">
        <f>'01 Control'!$C$7</f>
        <v/>
      </c>
      <c r="K38" s="150">
        <f>IF($I38="","",$G38*$I38*(1+$J38))</f>
        <v/>
      </c>
      <c r="L38" s="177">
        <f>IF(ISNUMBER(MATCH($E38,'09 Cost Index'!$A$5:$A$24,0)),"09 Cost Index",IF(ISNUMBER(MATCH($E38,'05 Packaging Master'!$A$5:$A$46,0)),"05 Packaging Master",IF(ISNUMBER(MATCH($E38,'04 SKU Master'!$A$5:$A$165,0)),"04 SKU Master","NOT FOUND")))</f>
        <v/>
      </c>
      <c r="M38" s="178">
        <f>IFERROR(INDEX('12 Final Menu'!$U$5:$U$200,MATCH($A38,'12 Final Menu'!$A$5:$A$200,0)),0)</f>
        <v/>
      </c>
      <c r="N38" s="165">
        <f>$G38*(1+$J38)*$M38*1000</f>
        <v/>
      </c>
    </row>
    <row r="39" ht="15" customHeight="1" s="106">
      <c r="A39" s="138" t="inlineStr">
        <is>
          <t>PP-SEA-Y1A-MUSH</t>
        </is>
      </c>
      <c r="B39" s="138" t="inlineStr">
        <is>
          <t>Wild Mushroom &amp; Thyme</t>
        </is>
      </c>
      <c r="C39" s="138" t="inlineStr">
        <is>
          <t>Y1 Autumn - Harvest</t>
        </is>
      </c>
      <c r="D39" s="139" t="inlineStr">
        <is>
          <t>Sauce</t>
        </is>
      </c>
      <c r="E39" s="134" t="inlineStr">
        <is>
          <t>PP-SAUCE-BOSC</t>
        </is>
      </c>
      <c r="F39" s="113" t="inlineStr">
        <is>
          <t>Boscaiola base (CK - core)</t>
        </is>
      </c>
      <c r="G39" s="147" t="n">
        <v>150</v>
      </c>
      <c r="H39" s="164" t="inlineStr">
        <is>
          <t>g</t>
        </is>
      </c>
      <c r="I39" s="150">
        <f>IFERROR(INDEX('04 SKU Master'!$AM$5:$AM$165,MATCH($E39,'04 SKU Master'!$A$5:$A$165,0)),IFERROR(INDEX('05 Packaging Master'!$AM$5:$AM$50,MATCH($E39,'05 Packaging Master'!$A$5:$A$50,0)),IFERROR(INDEX('09 Cost Index'!$C$5:$C$24,MATCH($E39,'09 Cost Index'!$A$5:$A$24,0)),"")))</f>
        <v/>
      </c>
      <c r="J39" s="153">
        <f>'01 Control'!$C$7</f>
        <v/>
      </c>
      <c r="K39" s="150">
        <f>IF($I39="","",$G39*$I39*(1+$J39))</f>
        <v/>
      </c>
      <c r="L39" s="177">
        <f>IF(ISNUMBER(MATCH($E39,'09 Cost Index'!$A$5:$A$24,0)),"09 Cost Index",IF(ISNUMBER(MATCH($E39,'05 Packaging Master'!$A$5:$A$46,0)),"05 Packaging Master",IF(ISNUMBER(MATCH($E39,'04 SKU Master'!$A$5:$A$165,0)),"04 SKU Master","NOT FOUND")))</f>
        <v/>
      </c>
      <c r="M39" s="178">
        <f>IFERROR(INDEX('12 Final Menu'!$U$5:$U$200,MATCH($A39,'12 Final Menu'!$A$5:$A$200,0)),0)</f>
        <v/>
      </c>
      <c r="N39" s="165">
        <f>$G39*(1+$J39)*$M39*1000</f>
        <v/>
      </c>
    </row>
    <row r="40" ht="15" customHeight="1" s="106">
      <c r="A40" s="138" t="inlineStr">
        <is>
          <t>PP-SEA-Y1A-MUSH</t>
        </is>
      </c>
      <c r="B40" s="138" t="inlineStr">
        <is>
          <t>Wild Mushroom &amp; Thyme</t>
        </is>
      </c>
      <c r="C40" s="138" t="inlineStr">
        <is>
          <t>Y1 Autumn - Harvest</t>
        </is>
      </c>
      <c r="D40" s="139" t="inlineStr">
        <is>
          <t>Ingredient</t>
        </is>
      </c>
      <c r="E40" s="134" t="inlineStr">
        <is>
          <t>PP-KO-MSH-002</t>
        </is>
      </c>
      <c r="F40" s="113" t="inlineStr">
        <is>
          <t>King oyster mushrooms</t>
        </is>
      </c>
      <c r="G40" s="147" t="n">
        <v>60</v>
      </c>
      <c r="H40" s="164" t="inlineStr">
        <is>
          <t>g</t>
        </is>
      </c>
      <c r="I40" s="150">
        <f>IFERROR(INDEX('04 SKU Master'!$AM$5:$AM$165,MATCH($E40,'04 SKU Master'!$A$5:$A$165,0)),IFERROR(INDEX('05 Packaging Master'!$AM$5:$AM$50,MATCH($E40,'05 Packaging Master'!$A$5:$A$50,0)),IFERROR(INDEX('09 Cost Index'!$C$5:$C$24,MATCH($E40,'09 Cost Index'!$A$5:$A$24,0)),"")))</f>
        <v/>
      </c>
      <c r="J40" s="153">
        <f>'01 Control'!$C$7</f>
        <v/>
      </c>
      <c r="K40" s="150">
        <f>IF($I40="","",$G40*$I40*(1+$J40))</f>
        <v/>
      </c>
      <c r="L40" s="177">
        <f>IF(ISNUMBER(MATCH($E40,'09 Cost Index'!$A$5:$A$24,0)),"09 Cost Index",IF(ISNUMBER(MATCH($E40,'05 Packaging Master'!$A$5:$A$46,0)),"05 Packaging Master",IF(ISNUMBER(MATCH($E40,'04 SKU Master'!$A$5:$A$165,0)),"04 SKU Master","NOT FOUND")))</f>
        <v/>
      </c>
      <c r="M40" s="178">
        <f>IFERROR(INDEX('12 Final Menu'!$U$5:$U$200,MATCH($A40,'12 Final Menu'!$A$5:$A$200,0)),0)</f>
        <v/>
      </c>
      <c r="N40" s="165">
        <f>$G40*(1+$J40)*$M40*1000</f>
        <v/>
      </c>
    </row>
    <row r="41" ht="15" customHeight="1" s="106">
      <c r="A41" s="138" t="inlineStr">
        <is>
          <t>PP-SEA-Y1A-MUSH</t>
        </is>
      </c>
      <c r="B41" s="138" t="inlineStr">
        <is>
          <t>Wild Mushroom &amp; Thyme</t>
        </is>
      </c>
      <c r="C41" s="138" t="inlineStr">
        <is>
          <t>Y1 Autumn - Harvest</t>
        </is>
      </c>
      <c r="D41" s="139" t="inlineStr">
        <is>
          <t>Ingredient</t>
        </is>
      </c>
      <c r="E41" s="134" t="inlineStr">
        <is>
          <t>PP-HERB-THYME</t>
        </is>
      </c>
      <c r="F41" s="113" t="inlineStr">
        <is>
          <t>Fresh thyme</t>
        </is>
      </c>
      <c r="G41" s="147" t="n">
        <v>3</v>
      </c>
      <c r="H41" s="164" t="inlineStr">
        <is>
          <t>g</t>
        </is>
      </c>
      <c r="I41" s="150">
        <f>IFERROR(INDEX('04 SKU Master'!$AM$5:$AM$165,MATCH($E41,'04 SKU Master'!$A$5:$A$165,0)),IFERROR(INDEX('05 Packaging Master'!$AM$5:$AM$50,MATCH($E41,'05 Packaging Master'!$A$5:$A$50,0)),IFERROR(INDEX('09 Cost Index'!$C$5:$C$24,MATCH($E41,'09 Cost Index'!$A$5:$A$24,0)),"")))</f>
        <v/>
      </c>
      <c r="J41" s="153">
        <f>'01 Control'!$C$7</f>
        <v/>
      </c>
      <c r="K41" s="150">
        <f>IF($I41="","",$G41*$I41*(1+$J41))</f>
        <v/>
      </c>
      <c r="L41" s="177">
        <f>IF(ISNUMBER(MATCH($E41,'09 Cost Index'!$A$5:$A$24,0)),"09 Cost Index",IF(ISNUMBER(MATCH($E41,'05 Packaging Master'!$A$5:$A$46,0)),"05 Packaging Master",IF(ISNUMBER(MATCH($E41,'04 SKU Master'!$A$5:$A$165,0)),"04 SKU Master","NOT FOUND")))</f>
        <v/>
      </c>
      <c r="M41" s="178">
        <f>IFERROR(INDEX('12 Final Menu'!$U$5:$U$200,MATCH($A41,'12 Final Menu'!$A$5:$A$200,0)),0)</f>
        <v/>
      </c>
      <c r="N41" s="165">
        <f>$G41*(1+$J41)*$M41*1000</f>
        <v/>
      </c>
    </row>
    <row r="42" ht="15" customHeight="1" s="106">
      <c r="A42" s="138" t="inlineStr">
        <is>
          <t>PP-SEA-Y1A-MUSH</t>
        </is>
      </c>
      <c r="B42" s="138" t="inlineStr">
        <is>
          <t>Wild Mushroom &amp; Thyme</t>
        </is>
      </c>
      <c r="C42" s="138" t="inlineStr">
        <is>
          <t>Y1 Autumn - Harvest</t>
        </is>
      </c>
      <c r="D42" s="139" t="inlineStr">
        <is>
          <t>Packaging</t>
        </is>
      </c>
      <c r="E42" s="134" t="inlineStr">
        <is>
          <t>PP-PACK-TUB</t>
        </is>
      </c>
      <c r="F42" s="113" t="inlineStr">
        <is>
          <t>Takeaway pasta tub</t>
        </is>
      </c>
      <c r="G42" s="147" t="n">
        <v>1</v>
      </c>
      <c r="H42" s="164" t="inlineStr">
        <is>
          <t>ea</t>
        </is>
      </c>
      <c r="I42" s="150">
        <f>IFERROR(INDEX('04 SKU Master'!$AM$5:$AM$165,MATCH($E42,'04 SKU Master'!$A$5:$A$165,0)),IFERROR(INDEX('05 Packaging Master'!$AM$5:$AM$50,MATCH($E42,'05 Packaging Master'!$A$5:$A$50,0)),IFERROR(INDEX('09 Cost Index'!$C$5:$C$24,MATCH($E42,'09 Cost Index'!$A$5:$A$24,0)),"")))</f>
        <v/>
      </c>
      <c r="J42" s="153">
        <f>'01 Control'!$C$7</f>
        <v/>
      </c>
      <c r="K42" s="150">
        <f>IF($I42="","",$G42*$I42*(1+$J42))</f>
        <v/>
      </c>
      <c r="L42" s="177">
        <f>IF(ISNUMBER(MATCH($E42,'09 Cost Index'!$A$5:$A$24,0)),"09 Cost Index",IF(ISNUMBER(MATCH($E42,'05 Packaging Master'!$A$5:$A$46,0)),"05 Packaging Master",IF(ISNUMBER(MATCH($E42,'04 SKU Master'!$A$5:$A$165,0)),"04 SKU Master","NOT FOUND")))</f>
        <v/>
      </c>
      <c r="M42" s="178">
        <f>IFERROR(INDEX('12 Final Menu'!$U$5:$U$200,MATCH($A42,'12 Final Menu'!$A$5:$A$200,0)),0)</f>
        <v/>
      </c>
      <c r="N42" s="165">
        <f>$G42*(1+$J42)*$M42*1000</f>
        <v/>
      </c>
    </row>
    <row r="43" ht="15" customHeight="1" s="106">
      <c r="A43" s="138" t="inlineStr">
        <is>
          <t>PP-SEA-Y1A-MUSH</t>
        </is>
      </c>
      <c r="B43" s="138" t="inlineStr">
        <is>
          <t>Wild Mushroom &amp; Thyme</t>
        </is>
      </c>
      <c r="C43" s="138" t="inlineStr">
        <is>
          <t>Y1 Autumn - Harvest</t>
        </is>
      </c>
      <c r="D43" s="139" t="inlineStr">
        <is>
          <t>Packaging</t>
        </is>
      </c>
      <c r="E43" s="134" t="inlineStr">
        <is>
          <t>PP-PACK-LID</t>
        </is>
      </c>
      <c r="F43" s="113" t="inlineStr">
        <is>
          <t>Bowl lid</t>
        </is>
      </c>
      <c r="G43" s="147" t="n">
        <v>1</v>
      </c>
      <c r="H43" s="164" t="inlineStr">
        <is>
          <t>ea</t>
        </is>
      </c>
      <c r="I43" s="150">
        <f>IFERROR(INDEX('04 SKU Master'!$AM$5:$AM$165,MATCH($E43,'04 SKU Master'!$A$5:$A$165,0)),IFERROR(INDEX('05 Packaging Master'!$AM$5:$AM$50,MATCH($E43,'05 Packaging Master'!$A$5:$A$50,0)),IFERROR(INDEX('09 Cost Index'!$C$5:$C$24,MATCH($E43,'09 Cost Index'!$A$5:$A$24,0)),"")))</f>
        <v/>
      </c>
      <c r="J43" s="153">
        <f>'01 Control'!$C$7</f>
        <v/>
      </c>
      <c r="K43" s="150">
        <f>IF($I43="","",$G43*$I43*(1+$J43))</f>
        <v/>
      </c>
      <c r="L43" s="177">
        <f>IF(ISNUMBER(MATCH($E43,'09 Cost Index'!$A$5:$A$24,0)),"09 Cost Index",IF(ISNUMBER(MATCH($E43,'05 Packaging Master'!$A$5:$A$46,0)),"05 Packaging Master",IF(ISNUMBER(MATCH($E43,'04 SKU Master'!$A$5:$A$165,0)),"04 SKU Master","NOT FOUND")))</f>
        <v/>
      </c>
      <c r="M43" s="178">
        <f>IFERROR(INDEX('12 Final Menu'!$U$5:$U$200,MATCH($A43,'12 Final Menu'!$A$5:$A$200,0)),0)</f>
        <v/>
      </c>
      <c r="N43" s="165">
        <f>$G43*(1+$J43)*$M43*1000</f>
        <v/>
      </c>
    </row>
    <row r="44" ht="15" customHeight="1" s="106">
      <c r="A44" s="138" t="inlineStr">
        <is>
          <t>PP-SEA-Y1A-MUSH</t>
        </is>
      </c>
      <c r="B44" s="138" t="inlineStr">
        <is>
          <t>Wild Mushroom &amp; Thyme</t>
        </is>
      </c>
      <c r="C44" s="138" t="inlineStr">
        <is>
          <t>Y1 Autumn - Harvest</t>
        </is>
      </c>
      <c r="D44" s="139" t="inlineStr">
        <is>
          <t>Packaging</t>
        </is>
      </c>
      <c r="E44" s="134" t="inlineStr">
        <is>
          <t>PP-PACK-CUTLERY</t>
        </is>
      </c>
      <c r="F44" s="113" t="inlineStr">
        <is>
          <t>Cutlery set</t>
        </is>
      </c>
      <c r="G44" s="147" t="n">
        <v>1</v>
      </c>
      <c r="H44" s="164" t="inlineStr">
        <is>
          <t>ea</t>
        </is>
      </c>
      <c r="I44" s="150">
        <f>IFERROR(INDEX('04 SKU Master'!$AM$5:$AM$165,MATCH($E44,'04 SKU Master'!$A$5:$A$165,0)),IFERROR(INDEX('05 Packaging Master'!$AM$5:$AM$50,MATCH($E44,'05 Packaging Master'!$A$5:$A$50,0)),IFERROR(INDEX('09 Cost Index'!$C$5:$C$24,MATCH($E44,'09 Cost Index'!$A$5:$A$24,0)),"")))</f>
        <v/>
      </c>
      <c r="J44" s="153">
        <f>'01 Control'!$C$7</f>
        <v/>
      </c>
      <c r="K44" s="150">
        <f>IF($I44="","",$G44*$I44*(1+$J44))</f>
        <v/>
      </c>
      <c r="L44" s="177">
        <f>IF(ISNUMBER(MATCH($E44,'09 Cost Index'!$A$5:$A$24,0)),"09 Cost Index",IF(ISNUMBER(MATCH($E44,'05 Packaging Master'!$A$5:$A$46,0)),"05 Packaging Master",IF(ISNUMBER(MATCH($E44,'04 SKU Master'!$A$5:$A$165,0)),"04 SKU Master","NOT FOUND")))</f>
        <v/>
      </c>
      <c r="M44" s="178">
        <f>IFERROR(INDEX('12 Final Menu'!$U$5:$U$200,MATCH($A44,'12 Final Menu'!$A$5:$A$200,0)),0)</f>
        <v/>
      </c>
      <c r="N44" s="165">
        <f>$G44*(1+$J44)*$M44*1000</f>
        <v/>
      </c>
    </row>
    <row r="45" ht="15" customHeight="1" s="106">
      <c r="A45" s="138" t="inlineStr">
        <is>
          <t>PP-SEA-Y1A-MUSH</t>
        </is>
      </c>
      <c r="B45" s="138" t="inlineStr">
        <is>
          <t>Wild Mushroom &amp; Thyme</t>
        </is>
      </c>
      <c r="C45" s="138" t="inlineStr">
        <is>
          <t>Y1 Autumn - Harvest</t>
        </is>
      </c>
      <c r="D45" s="139" t="inlineStr">
        <is>
          <t>Packaging</t>
        </is>
      </c>
      <c r="E45" s="134" t="inlineStr">
        <is>
          <t>PP-PACK-NAPKIN</t>
        </is>
      </c>
      <c r="F45" s="113" t="inlineStr">
        <is>
          <t>Branded napkin</t>
        </is>
      </c>
      <c r="G45" s="147" t="n">
        <v>1</v>
      </c>
      <c r="H45" s="164" t="inlineStr">
        <is>
          <t>ea</t>
        </is>
      </c>
      <c r="I45" s="150">
        <f>IFERROR(INDEX('04 SKU Master'!$AM$5:$AM$165,MATCH($E45,'04 SKU Master'!$A$5:$A$165,0)),IFERROR(INDEX('05 Packaging Master'!$AM$5:$AM$50,MATCH($E45,'05 Packaging Master'!$A$5:$A$50,0)),IFERROR(INDEX('09 Cost Index'!$C$5:$C$24,MATCH($E45,'09 Cost Index'!$A$5:$A$24,0)),"")))</f>
        <v/>
      </c>
      <c r="J45" s="153">
        <f>'01 Control'!$C$7</f>
        <v/>
      </c>
      <c r="K45" s="150">
        <f>IF($I45="","",$G45*$I45*(1+$J45))</f>
        <v/>
      </c>
      <c r="L45" s="177">
        <f>IF(ISNUMBER(MATCH($E45,'09 Cost Index'!$A$5:$A$24,0)),"09 Cost Index",IF(ISNUMBER(MATCH($E45,'05 Packaging Master'!$A$5:$A$46,0)),"05 Packaging Master",IF(ISNUMBER(MATCH($E45,'04 SKU Master'!$A$5:$A$165,0)),"04 SKU Master","NOT FOUND")))</f>
        <v/>
      </c>
      <c r="M45" s="178">
        <f>IFERROR(INDEX('12 Final Menu'!$U$5:$U$200,MATCH($A45,'12 Final Menu'!$A$5:$A$200,0)),0)</f>
        <v/>
      </c>
      <c r="N45" s="165">
        <f>$G45*(1+$J45)*$M45*1000</f>
        <v/>
      </c>
    </row>
    <row r="46"/>
    <row r="47" ht="15" customHeight="1" s="106">
      <c r="A47" s="144" t="inlineStr">
        <is>
          <t>YEAR 1  |  Autumn (Mar-May)  |  Harvest   -&gt;   Roast Butternut &amp; Sage   |   Casarecce   |   PP-SEA-Y1A-BUTT</t>
        </is>
      </c>
      <c r="B47" s="110" t="n"/>
      <c r="C47" s="110" t="n"/>
      <c r="D47" s="110" t="n"/>
      <c r="E47" s="110" t="n"/>
      <c r="F47" s="110" t="n"/>
      <c r="G47" s="110" t="n"/>
      <c r="H47" s="110" t="n"/>
      <c r="I47" s="110" t="n"/>
      <c r="J47" s="110" t="n"/>
      <c r="K47" s="110" t="n"/>
      <c r="L47" s="110" t="n"/>
      <c r="M47" s="110" t="n"/>
      <c r="N47" s="111" t="n"/>
    </row>
    <row r="48" ht="15" customHeight="1" s="106">
      <c r="A48" s="138" t="inlineStr">
        <is>
          <t>PP-SEA-Y1A-BUTT</t>
        </is>
      </c>
      <c r="B48" s="138" t="inlineStr">
        <is>
          <t>Roast Butternut &amp; Sage</t>
        </is>
      </c>
      <c r="C48" s="138" t="inlineStr">
        <is>
          <t>Y1 Autumn - Harvest</t>
        </is>
      </c>
      <c r="D48" s="139" t="inlineStr">
        <is>
          <t>Pasta</t>
        </is>
      </c>
      <c r="E48" s="134" t="inlineStr">
        <is>
          <t>PP-DOUGH-BOKGAT</t>
        </is>
      </c>
      <c r="F48" s="113" t="inlineStr">
        <is>
          <t>Bokgat Base, Casarecce - dried weight</t>
        </is>
      </c>
      <c r="G48" s="147" t="n">
        <v>111</v>
      </c>
      <c r="H48" s="164" t="inlineStr">
        <is>
          <t>g</t>
        </is>
      </c>
      <c r="I48" s="150">
        <f>IFERROR(INDEX('04 SKU Master'!$AM$5:$AM$165,MATCH($E48,'04 SKU Master'!$A$5:$A$165,0)),IFERROR(INDEX('05 Packaging Master'!$AM$5:$AM$50,MATCH($E48,'05 Packaging Master'!$A$5:$A$50,0)),IFERROR(INDEX('09 Cost Index'!$C$5:$C$24,MATCH($E48,'09 Cost Index'!$A$5:$A$24,0)),"")))</f>
        <v/>
      </c>
      <c r="J48" s="153">
        <f>'01 Control'!$C$7</f>
        <v/>
      </c>
      <c r="K48" s="150">
        <f>IF($I48="","",$G48*$I48*(1+$J48))</f>
        <v/>
      </c>
      <c r="L48" s="177">
        <f>IF(ISNUMBER(MATCH($E48,'09 Cost Index'!$A$5:$A$24,0)),"09 Cost Index",IF(ISNUMBER(MATCH($E48,'05 Packaging Master'!$A$5:$A$46,0)),"05 Packaging Master",IF(ISNUMBER(MATCH($E48,'04 SKU Master'!$A$5:$A$165,0)),"04 SKU Master","NOT FOUND")))</f>
        <v/>
      </c>
      <c r="M48" s="178">
        <f>IFERROR(INDEX('12 Final Menu'!$U$5:$U$200,MATCH($A48,'12 Final Menu'!$A$5:$A$200,0)),0)</f>
        <v/>
      </c>
      <c r="N48" s="165">
        <f>$G48*(1+$J48)*$M48*1000</f>
        <v/>
      </c>
    </row>
    <row r="49" ht="15" customHeight="1" s="106">
      <c r="A49" s="138" t="inlineStr">
        <is>
          <t>PP-SEA-Y1A-BUTT</t>
        </is>
      </c>
      <c r="B49" s="138" t="inlineStr">
        <is>
          <t>Roast Butternut &amp; Sage</t>
        </is>
      </c>
      <c r="C49" s="138" t="inlineStr">
        <is>
          <t>Y1 Autumn - Harvest</t>
        </is>
      </c>
      <c r="D49" s="139" t="inlineStr">
        <is>
          <t>Sauce</t>
        </is>
      </c>
      <c r="E49" s="134" t="inlineStr">
        <is>
          <t>PP-SAUCE-ALF</t>
        </is>
      </c>
      <c r="F49" s="113" t="inlineStr">
        <is>
          <t>Creamy Alfredo base (CK - core)</t>
        </is>
      </c>
      <c r="G49" s="147" t="n">
        <v>140</v>
      </c>
      <c r="H49" s="164" t="inlineStr">
        <is>
          <t>g</t>
        </is>
      </c>
      <c r="I49" s="150">
        <f>IFERROR(INDEX('04 SKU Master'!$AM$5:$AM$165,MATCH($E49,'04 SKU Master'!$A$5:$A$165,0)),IFERROR(INDEX('05 Packaging Master'!$AM$5:$AM$50,MATCH($E49,'05 Packaging Master'!$A$5:$A$50,0)),IFERROR(INDEX('09 Cost Index'!$C$5:$C$24,MATCH($E49,'09 Cost Index'!$A$5:$A$24,0)),"")))</f>
        <v/>
      </c>
      <c r="J49" s="153">
        <f>'01 Control'!$C$7</f>
        <v/>
      </c>
      <c r="K49" s="150">
        <f>IF($I49="","",$G49*$I49*(1+$J49))</f>
        <v/>
      </c>
      <c r="L49" s="177">
        <f>IF(ISNUMBER(MATCH($E49,'09 Cost Index'!$A$5:$A$24,0)),"09 Cost Index",IF(ISNUMBER(MATCH($E49,'05 Packaging Master'!$A$5:$A$46,0)),"05 Packaging Master",IF(ISNUMBER(MATCH($E49,'04 SKU Master'!$A$5:$A$165,0)),"04 SKU Master","NOT FOUND")))</f>
        <v/>
      </c>
      <c r="M49" s="178">
        <f>IFERROR(INDEX('12 Final Menu'!$U$5:$U$200,MATCH($A49,'12 Final Menu'!$A$5:$A$200,0)),0)</f>
        <v/>
      </c>
      <c r="N49" s="165">
        <f>$G49*(1+$J49)*$M49*1000</f>
        <v/>
      </c>
    </row>
    <row r="50" ht="15" customHeight="1" s="106">
      <c r="A50" s="138" t="inlineStr">
        <is>
          <t>PP-SEA-Y1A-BUTT</t>
        </is>
      </c>
      <c r="B50" s="138" t="inlineStr">
        <is>
          <t>Roast Butternut &amp; Sage</t>
        </is>
      </c>
      <c r="C50" s="138" t="inlineStr">
        <is>
          <t>Y1 Autumn - Harvest</t>
        </is>
      </c>
      <c r="D50" s="139" t="inlineStr">
        <is>
          <t>Ingredient</t>
        </is>
      </c>
      <c r="E50" s="134" t="inlineStr">
        <is>
          <t>PP-VEG-BUTTERNUT</t>
        </is>
      </c>
      <c r="F50" s="113" t="inlineStr">
        <is>
          <t>Roast butternut</t>
        </is>
      </c>
      <c r="G50" s="147" t="n">
        <v>90</v>
      </c>
      <c r="H50" s="164" t="inlineStr">
        <is>
          <t>g</t>
        </is>
      </c>
      <c r="I50" s="150">
        <f>IFERROR(INDEX('04 SKU Master'!$AM$5:$AM$165,MATCH($E50,'04 SKU Master'!$A$5:$A$165,0)),IFERROR(INDEX('05 Packaging Master'!$AM$5:$AM$50,MATCH($E50,'05 Packaging Master'!$A$5:$A$50,0)),IFERROR(INDEX('09 Cost Index'!$C$5:$C$24,MATCH($E50,'09 Cost Index'!$A$5:$A$24,0)),"")))</f>
        <v/>
      </c>
      <c r="J50" s="153">
        <f>'01 Control'!$C$7</f>
        <v/>
      </c>
      <c r="K50" s="150">
        <f>IF($I50="","",$G50*$I50*(1+$J50))</f>
        <v/>
      </c>
      <c r="L50" s="177">
        <f>IF(ISNUMBER(MATCH($E50,'09 Cost Index'!$A$5:$A$24,0)),"09 Cost Index",IF(ISNUMBER(MATCH($E50,'05 Packaging Master'!$A$5:$A$46,0)),"05 Packaging Master",IF(ISNUMBER(MATCH($E50,'04 SKU Master'!$A$5:$A$165,0)),"04 SKU Master","NOT FOUND")))</f>
        <v/>
      </c>
      <c r="M50" s="178">
        <f>IFERROR(INDEX('12 Final Menu'!$U$5:$U$200,MATCH($A50,'12 Final Menu'!$A$5:$A$200,0)),0)</f>
        <v/>
      </c>
      <c r="N50" s="165">
        <f>$G50*(1+$J50)*$M50*1000</f>
        <v/>
      </c>
    </row>
    <row r="51" ht="15" customHeight="1" s="106">
      <c r="A51" s="138" t="inlineStr">
        <is>
          <t>PP-SEA-Y1A-BUTT</t>
        </is>
      </c>
      <c r="B51" s="138" t="inlineStr">
        <is>
          <t>Roast Butternut &amp; Sage</t>
        </is>
      </c>
      <c r="C51" s="138" t="inlineStr">
        <is>
          <t>Y1 Autumn - Harvest</t>
        </is>
      </c>
      <c r="D51" s="139" t="inlineStr">
        <is>
          <t>Ingredient</t>
        </is>
      </c>
      <c r="E51" s="134" t="inlineStr">
        <is>
          <t>PP-HERB-SAGE</t>
        </is>
      </c>
      <c r="F51" s="113" t="inlineStr">
        <is>
          <t>Fresh sage</t>
        </is>
      </c>
      <c r="G51" s="147" t="n">
        <v>3</v>
      </c>
      <c r="H51" s="164" t="inlineStr">
        <is>
          <t>g</t>
        </is>
      </c>
      <c r="I51" s="150">
        <f>IFERROR(INDEX('04 SKU Master'!$AM$5:$AM$165,MATCH($E51,'04 SKU Master'!$A$5:$A$165,0)),IFERROR(INDEX('05 Packaging Master'!$AM$5:$AM$50,MATCH($E51,'05 Packaging Master'!$A$5:$A$50,0)),IFERROR(INDEX('09 Cost Index'!$C$5:$C$24,MATCH($E51,'09 Cost Index'!$A$5:$A$24,0)),"")))</f>
        <v/>
      </c>
      <c r="J51" s="153">
        <f>'01 Control'!$C$7</f>
        <v/>
      </c>
      <c r="K51" s="150">
        <f>IF($I51="","",$G51*$I51*(1+$J51))</f>
        <v/>
      </c>
      <c r="L51" s="177">
        <f>IF(ISNUMBER(MATCH($E51,'09 Cost Index'!$A$5:$A$24,0)),"09 Cost Index",IF(ISNUMBER(MATCH($E51,'05 Packaging Master'!$A$5:$A$46,0)),"05 Packaging Master",IF(ISNUMBER(MATCH($E51,'04 SKU Master'!$A$5:$A$165,0)),"04 SKU Master","NOT FOUND")))</f>
        <v/>
      </c>
      <c r="M51" s="178">
        <f>IFERROR(INDEX('12 Final Menu'!$U$5:$U$200,MATCH($A51,'12 Final Menu'!$A$5:$A$200,0)),0)</f>
        <v/>
      </c>
      <c r="N51" s="165">
        <f>$G51*(1+$J51)*$M51*1000</f>
        <v/>
      </c>
    </row>
    <row r="52" ht="15" customHeight="1" s="106">
      <c r="A52" s="138" t="inlineStr">
        <is>
          <t>PP-SEA-Y1A-BUTT</t>
        </is>
      </c>
      <c r="B52" s="138" t="inlineStr">
        <is>
          <t>Roast Butternut &amp; Sage</t>
        </is>
      </c>
      <c r="C52" s="138" t="inlineStr">
        <is>
          <t>Y1 Autumn - Harvest</t>
        </is>
      </c>
      <c r="D52" s="139" t="inlineStr">
        <is>
          <t>Packaging</t>
        </is>
      </c>
      <c r="E52" s="134" t="inlineStr">
        <is>
          <t>PP-PACK-TUB</t>
        </is>
      </c>
      <c r="F52" s="113" t="inlineStr">
        <is>
          <t>Takeaway pasta tub</t>
        </is>
      </c>
      <c r="G52" s="147" t="n">
        <v>1</v>
      </c>
      <c r="H52" s="164" t="inlineStr">
        <is>
          <t>ea</t>
        </is>
      </c>
      <c r="I52" s="150">
        <f>IFERROR(INDEX('04 SKU Master'!$AM$5:$AM$165,MATCH($E52,'04 SKU Master'!$A$5:$A$165,0)),IFERROR(INDEX('05 Packaging Master'!$AM$5:$AM$50,MATCH($E52,'05 Packaging Master'!$A$5:$A$50,0)),IFERROR(INDEX('09 Cost Index'!$C$5:$C$24,MATCH($E52,'09 Cost Index'!$A$5:$A$24,0)),"")))</f>
        <v/>
      </c>
      <c r="J52" s="153">
        <f>'01 Control'!$C$7</f>
        <v/>
      </c>
      <c r="K52" s="150">
        <f>IF($I52="","",$G52*$I52*(1+$J52))</f>
        <v/>
      </c>
      <c r="L52" s="177">
        <f>IF(ISNUMBER(MATCH($E52,'09 Cost Index'!$A$5:$A$24,0)),"09 Cost Index",IF(ISNUMBER(MATCH($E52,'05 Packaging Master'!$A$5:$A$46,0)),"05 Packaging Master",IF(ISNUMBER(MATCH($E52,'04 SKU Master'!$A$5:$A$165,0)),"04 SKU Master","NOT FOUND")))</f>
        <v/>
      </c>
      <c r="M52" s="178">
        <f>IFERROR(INDEX('12 Final Menu'!$U$5:$U$200,MATCH($A52,'12 Final Menu'!$A$5:$A$200,0)),0)</f>
        <v/>
      </c>
      <c r="N52" s="165">
        <f>$G52*(1+$J52)*$M52*1000</f>
        <v/>
      </c>
    </row>
    <row r="53" ht="15" customHeight="1" s="106">
      <c r="A53" s="138" t="inlineStr">
        <is>
          <t>PP-SEA-Y1A-BUTT</t>
        </is>
      </c>
      <c r="B53" s="138" t="inlineStr">
        <is>
          <t>Roast Butternut &amp; Sage</t>
        </is>
      </c>
      <c r="C53" s="138" t="inlineStr">
        <is>
          <t>Y1 Autumn - Harvest</t>
        </is>
      </c>
      <c r="D53" s="139" t="inlineStr">
        <is>
          <t>Packaging</t>
        </is>
      </c>
      <c r="E53" s="134" t="inlineStr">
        <is>
          <t>PP-PACK-LID</t>
        </is>
      </c>
      <c r="F53" s="113" t="inlineStr">
        <is>
          <t>Bowl lid</t>
        </is>
      </c>
      <c r="G53" s="147" t="n">
        <v>1</v>
      </c>
      <c r="H53" s="164" t="inlineStr">
        <is>
          <t>ea</t>
        </is>
      </c>
      <c r="I53" s="150">
        <f>IFERROR(INDEX('04 SKU Master'!$AM$5:$AM$165,MATCH($E53,'04 SKU Master'!$A$5:$A$165,0)),IFERROR(INDEX('05 Packaging Master'!$AM$5:$AM$50,MATCH($E53,'05 Packaging Master'!$A$5:$A$50,0)),IFERROR(INDEX('09 Cost Index'!$C$5:$C$24,MATCH($E53,'09 Cost Index'!$A$5:$A$24,0)),"")))</f>
        <v/>
      </c>
      <c r="J53" s="153">
        <f>'01 Control'!$C$7</f>
        <v/>
      </c>
      <c r="K53" s="150">
        <f>IF($I53="","",$G53*$I53*(1+$J53))</f>
        <v/>
      </c>
      <c r="L53" s="177">
        <f>IF(ISNUMBER(MATCH($E53,'09 Cost Index'!$A$5:$A$24,0)),"09 Cost Index",IF(ISNUMBER(MATCH($E53,'05 Packaging Master'!$A$5:$A$46,0)),"05 Packaging Master",IF(ISNUMBER(MATCH($E53,'04 SKU Master'!$A$5:$A$165,0)),"04 SKU Master","NOT FOUND")))</f>
        <v/>
      </c>
      <c r="M53" s="178">
        <f>IFERROR(INDEX('12 Final Menu'!$U$5:$U$200,MATCH($A53,'12 Final Menu'!$A$5:$A$200,0)),0)</f>
        <v/>
      </c>
      <c r="N53" s="165">
        <f>$G53*(1+$J53)*$M53*1000</f>
        <v/>
      </c>
    </row>
    <row r="54" ht="15" customHeight="1" s="106">
      <c r="A54" s="138" t="inlineStr">
        <is>
          <t>PP-SEA-Y1A-BUTT</t>
        </is>
      </c>
      <c r="B54" s="138" t="inlineStr">
        <is>
          <t>Roast Butternut &amp; Sage</t>
        </is>
      </c>
      <c r="C54" s="138" t="inlineStr">
        <is>
          <t>Y1 Autumn - Harvest</t>
        </is>
      </c>
      <c r="D54" s="139" t="inlineStr">
        <is>
          <t>Packaging</t>
        </is>
      </c>
      <c r="E54" s="134" t="inlineStr">
        <is>
          <t>PP-PACK-CUTLERY</t>
        </is>
      </c>
      <c r="F54" s="113" t="inlineStr">
        <is>
          <t>Cutlery set</t>
        </is>
      </c>
      <c r="G54" s="147" t="n">
        <v>1</v>
      </c>
      <c r="H54" s="164" t="inlineStr">
        <is>
          <t>ea</t>
        </is>
      </c>
      <c r="I54" s="150">
        <f>IFERROR(INDEX('04 SKU Master'!$AM$5:$AM$165,MATCH($E54,'04 SKU Master'!$A$5:$A$165,0)),IFERROR(INDEX('05 Packaging Master'!$AM$5:$AM$50,MATCH($E54,'05 Packaging Master'!$A$5:$A$50,0)),IFERROR(INDEX('09 Cost Index'!$C$5:$C$24,MATCH($E54,'09 Cost Index'!$A$5:$A$24,0)),"")))</f>
        <v/>
      </c>
      <c r="J54" s="153">
        <f>'01 Control'!$C$7</f>
        <v/>
      </c>
      <c r="K54" s="150">
        <f>IF($I54="","",$G54*$I54*(1+$J54))</f>
        <v/>
      </c>
      <c r="L54" s="177">
        <f>IF(ISNUMBER(MATCH($E54,'09 Cost Index'!$A$5:$A$24,0)),"09 Cost Index",IF(ISNUMBER(MATCH($E54,'05 Packaging Master'!$A$5:$A$46,0)),"05 Packaging Master",IF(ISNUMBER(MATCH($E54,'04 SKU Master'!$A$5:$A$165,0)),"04 SKU Master","NOT FOUND")))</f>
        <v/>
      </c>
      <c r="M54" s="178">
        <f>IFERROR(INDEX('12 Final Menu'!$U$5:$U$200,MATCH($A54,'12 Final Menu'!$A$5:$A$200,0)),0)</f>
        <v/>
      </c>
      <c r="N54" s="165">
        <f>$G54*(1+$J54)*$M54*1000</f>
        <v/>
      </c>
    </row>
    <row r="55" ht="15" customHeight="1" s="106">
      <c r="A55" s="138" t="inlineStr">
        <is>
          <t>PP-SEA-Y1A-BUTT</t>
        </is>
      </c>
      <c r="B55" s="138" t="inlineStr">
        <is>
          <t>Roast Butternut &amp; Sage</t>
        </is>
      </c>
      <c r="C55" s="138" t="inlineStr">
        <is>
          <t>Y1 Autumn - Harvest</t>
        </is>
      </c>
      <c r="D55" s="139" t="inlineStr">
        <is>
          <t>Packaging</t>
        </is>
      </c>
      <c r="E55" s="134" t="inlineStr">
        <is>
          <t>PP-PACK-NAPKIN</t>
        </is>
      </c>
      <c r="F55" s="113" t="inlineStr">
        <is>
          <t>Branded napkin</t>
        </is>
      </c>
      <c r="G55" s="147" t="n">
        <v>1</v>
      </c>
      <c r="H55" s="164" t="inlineStr">
        <is>
          <t>ea</t>
        </is>
      </c>
      <c r="I55" s="150">
        <f>IFERROR(INDEX('04 SKU Master'!$AM$5:$AM$165,MATCH($E55,'04 SKU Master'!$A$5:$A$165,0)),IFERROR(INDEX('05 Packaging Master'!$AM$5:$AM$50,MATCH($E55,'05 Packaging Master'!$A$5:$A$50,0)),IFERROR(INDEX('09 Cost Index'!$C$5:$C$24,MATCH($E55,'09 Cost Index'!$A$5:$A$24,0)),"")))</f>
        <v/>
      </c>
      <c r="J55" s="153">
        <f>'01 Control'!$C$7</f>
        <v/>
      </c>
      <c r="K55" s="150">
        <f>IF($I55="","",$G55*$I55*(1+$J55))</f>
        <v/>
      </c>
      <c r="L55" s="177">
        <f>IF(ISNUMBER(MATCH($E55,'09 Cost Index'!$A$5:$A$24,0)),"09 Cost Index",IF(ISNUMBER(MATCH($E55,'05 Packaging Master'!$A$5:$A$46,0)),"05 Packaging Master",IF(ISNUMBER(MATCH($E55,'04 SKU Master'!$A$5:$A$165,0)),"04 SKU Master","NOT FOUND")))</f>
        <v/>
      </c>
      <c r="M55" s="178">
        <f>IFERROR(INDEX('12 Final Menu'!$U$5:$U$200,MATCH($A55,'12 Final Menu'!$A$5:$A$200,0)),0)</f>
        <v/>
      </c>
      <c r="N55" s="165">
        <f>$G55*(1+$J55)*$M55*1000</f>
        <v/>
      </c>
    </row>
    <row r="56"/>
    <row r="57" ht="15" customHeight="1" s="106">
      <c r="A57" s="144" t="inlineStr">
        <is>
          <t>YEAR 1  |  Autumn (Mar-May)  |  Harvest   -&gt;   Smoky Brisket Ragu   |   Rigatoni   |   PP-SEA-Y1A-BRIS</t>
        </is>
      </c>
      <c r="B57" s="110" t="n"/>
      <c r="C57" s="110" t="n"/>
      <c r="D57" s="110" t="n"/>
      <c r="E57" s="110" t="n"/>
      <c r="F57" s="110" t="n"/>
      <c r="G57" s="110" t="n"/>
      <c r="H57" s="110" t="n"/>
      <c r="I57" s="110" t="n"/>
      <c r="J57" s="110" t="n"/>
      <c r="K57" s="110" t="n"/>
      <c r="L57" s="110" t="n"/>
      <c r="M57" s="110" t="n"/>
      <c r="N57" s="111" t="n"/>
    </row>
    <row r="58" ht="15" customHeight="1" s="106">
      <c r="A58" s="138" t="inlineStr">
        <is>
          <t>PP-SEA-Y1A-BRIS</t>
        </is>
      </c>
      <c r="B58" s="138" t="inlineStr">
        <is>
          <t>Smoky Brisket Ragu</t>
        </is>
      </c>
      <c r="C58" s="138" t="inlineStr">
        <is>
          <t>Y1 Autumn - Harvest</t>
        </is>
      </c>
      <c r="D58" s="139" t="inlineStr">
        <is>
          <t>Pasta</t>
        </is>
      </c>
      <c r="E58" s="134" t="inlineStr">
        <is>
          <t>PP-DOUGH-BOKGAT</t>
        </is>
      </c>
      <c r="F58" s="113" t="inlineStr">
        <is>
          <t>Bokgat Base, Rigatoni - dried weight</t>
        </is>
      </c>
      <c r="G58" s="147" t="n">
        <v>111</v>
      </c>
      <c r="H58" s="164" t="inlineStr">
        <is>
          <t>g</t>
        </is>
      </c>
      <c r="I58" s="150">
        <f>IFERROR(INDEX('04 SKU Master'!$AM$5:$AM$165,MATCH($E58,'04 SKU Master'!$A$5:$A$165,0)),IFERROR(INDEX('05 Packaging Master'!$AM$5:$AM$50,MATCH($E58,'05 Packaging Master'!$A$5:$A$50,0)),IFERROR(INDEX('09 Cost Index'!$C$5:$C$24,MATCH($E58,'09 Cost Index'!$A$5:$A$24,0)),"")))</f>
        <v/>
      </c>
      <c r="J58" s="153">
        <f>'01 Control'!$C$7</f>
        <v/>
      </c>
      <c r="K58" s="150">
        <f>IF($I58="","",$G58*$I58*(1+$J58))</f>
        <v/>
      </c>
      <c r="L58" s="177">
        <f>IF(ISNUMBER(MATCH($E58,'09 Cost Index'!$A$5:$A$24,0)),"09 Cost Index",IF(ISNUMBER(MATCH($E58,'05 Packaging Master'!$A$5:$A$46,0)),"05 Packaging Master",IF(ISNUMBER(MATCH($E58,'04 SKU Master'!$A$5:$A$165,0)),"04 SKU Master","NOT FOUND")))</f>
        <v/>
      </c>
      <c r="M58" s="178">
        <f>IFERROR(INDEX('12 Final Menu'!$U$5:$U$200,MATCH($A58,'12 Final Menu'!$A$5:$A$200,0)),0)</f>
        <v/>
      </c>
      <c r="N58" s="165">
        <f>$G58*(1+$J58)*$M58*1000</f>
        <v/>
      </c>
    </row>
    <row r="59" ht="15" customHeight="1" s="106">
      <c r="A59" s="138" t="inlineStr">
        <is>
          <t>PP-SEA-Y1A-BRIS</t>
        </is>
      </c>
      <c r="B59" s="138" t="inlineStr">
        <is>
          <t>Smoky Brisket Ragu</t>
        </is>
      </c>
      <c r="C59" s="138" t="inlineStr">
        <is>
          <t>Y1 Autumn - Harvest</t>
        </is>
      </c>
      <c r="D59" s="139" t="inlineStr">
        <is>
          <t>Sauce</t>
        </is>
      </c>
      <c r="E59" s="134" t="inlineStr">
        <is>
          <t>PP-SAUCE-BOL</t>
        </is>
      </c>
      <c r="F59" s="113" t="inlineStr">
        <is>
          <t>Papa's Bolognese base (CK - core)</t>
        </is>
      </c>
      <c r="G59" s="147" t="n">
        <v>140</v>
      </c>
      <c r="H59" s="164" t="inlineStr">
        <is>
          <t>g</t>
        </is>
      </c>
      <c r="I59" s="150">
        <f>IFERROR(INDEX('04 SKU Master'!$AM$5:$AM$165,MATCH($E59,'04 SKU Master'!$A$5:$A$165,0)),IFERROR(INDEX('05 Packaging Master'!$AM$5:$AM$50,MATCH($E59,'05 Packaging Master'!$A$5:$A$50,0)),IFERROR(INDEX('09 Cost Index'!$C$5:$C$24,MATCH($E59,'09 Cost Index'!$A$5:$A$24,0)),"")))</f>
        <v/>
      </c>
      <c r="J59" s="153">
        <f>'01 Control'!$C$7</f>
        <v/>
      </c>
      <c r="K59" s="150">
        <f>IF($I59="","",$G59*$I59*(1+$J59))</f>
        <v/>
      </c>
      <c r="L59" s="177">
        <f>IF(ISNUMBER(MATCH($E59,'09 Cost Index'!$A$5:$A$24,0)),"09 Cost Index",IF(ISNUMBER(MATCH($E59,'05 Packaging Master'!$A$5:$A$46,0)),"05 Packaging Master",IF(ISNUMBER(MATCH($E59,'04 SKU Master'!$A$5:$A$165,0)),"04 SKU Master","NOT FOUND")))</f>
        <v/>
      </c>
      <c r="M59" s="178">
        <f>IFERROR(INDEX('12 Final Menu'!$U$5:$U$200,MATCH($A59,'12 Final Menu'!$A$5:$A$200,0)),0)</f>
        <v/>
      </c>
      <c r="N59" s="165">
        <f>$G59*(1+$J59)*$M59*1000</f>
        <v/>
      </c>
    </row>
    <row r="60" ht="15" customHeight="1" s="106">
      <c r="A60" s="138" t="inlineStr">
        <is>
          <t>PP-SEA-Y1A-BRIS</t>
        </is>
      </c>
      <c r="B60" s="138" t="inlineStr">
        <is>
          <t>Smoky Brisket Ragu</t>
        </is>
      </c>
      <c r="C60" s="138" t="inlineStr">
        <is>
          <t>Y1 Autumn - Harvest</t>
        </is>
      </c>
      <c r="D60" s="139" t="inlineStr">
        <is>
          <t>Protein</t>
        </is>
      </c>
      <c r="E60" s="134" t="inlineStr">
        <is>
          <t>PP-BEEF-BRISKET</t>
        </is>
      </c>
      <c r="F60" s="113" t="inlineStr">
        <is>
          <t>Slow-braised brisket</t>
        </is>
      </c>
      <c r="G60" s="147" t="n">
        <v>85</v>
      </c>
      <c r="H60" s="164" t="inlineStr">
        <is>
          <t>g</t>
        </is>
      </c>
      <c r="I60" s="150">
        <f>IFERROR(INDEX('04 SKU Master'!$AM$5:$AM$165,MATCH($E60,'04 SKU Master'!$A$5:$A$165,0)),IFERROR(INDEX('05 Packaging Master'!$AM$5:$AM$50,MATCH($E60,'05 Packaging Master'!$A$5:$A$50,0)),IFERROR(INDEX('09 Cost Index'!$C$5:$C$24,MATCH($E60,'09 Cost Index'!$A$5:$A$24,0)),"")))</f>
        <v/>
      </c>
      <c r="J60" s="153">
        <f>'01 Control'!$C$7</f>
        <v/>
      </c>
      <c r="K60" s="150">
        <f>IF($I60="","",$G60*$I60*(1+$J60))</f>
        <v/>
      </c>
      <c r="L60" s="177">
        <f>IF(ISNUMBER(MATCH($E60,'09 Cost Index'!$A$5:$A$24,0)),"09 Cost Index",IF(ISNUMBER(MATCH($E60,'05 Packaging Master'!$A$5:$A$46,0)),"05 Packaging Master",IF(ISNUMBER(MATCH($E60,'04 SKU Master'!$A$5:$A$165,0)),"04 SKU Master","NOT FOUND")))</f>
        <v/>
      </c>
      <c r="M60" s="178">
        <f>IFERROR(INDEX('12 Final Menu'!$U$5:$U$200,MATCH($A60,'12 Final Menu'!$A$5:$A$200,0)),0)</f>
        <v/>
      </c>
      <c r="N60" s="165">
        <f>$G60*(1+$J60)*$M60*1000</f>
        <v/>
      </c>
    </row>
    <row r="61" ht="15" customHeight="1" s="106">
      <c r="A61" s="138" t="inlineStr">
        <is>
          <t>PP-SEA-Y1A-BRIS</t>
        </is>
      </c>
      <c r="B61" s="138" t="inlineStr">
        <is>
          <t>Smoky Brisket Ragu</t>
        </is>
      </c>
      <c r="C61" s="138" t="inlineStr">
        <is>
          <t>Y1 Autumn - Harvest</t>
        </is>
      </c>
      <c r="D61" s="139" t="inlineStr">
        <is>
          <t>Packaging</t>
        </is>
      </c>
      <c r="E61" s="134" t="inlineStr">
        <is>
          <t>PP-PACK-TUB</t>
        </is>
      </c>
      <c r="F61" s="113" t="inlineStr">
        <is>
          <t>Takeaway pasta tub</t>
        </is>
      </c>
      <c r="G61" s="147" t="n">
        <v>1</v>
      </c>
      <c r="H61" s="164" t="inlineStr">
        <is>
          <t>ea</t>
        </is>
      </c>
      <c r="I61" s="150">
        <f>IFERROR(INDEX('04 SKU Master'!$AM$5:$AM$165,MATCH($E61,'04 SKU Master'!$A$5:$A$165,0)),IFERROR(INDEX('05 Packaging Master'!$AM$5:$AM$50,MATCH($E61,'05 Packaging Master'!$A$5:$A$50,0)),IFERROR(INDEX('09 Cost Index'!$C$5:$C$24,MATCH($E61,'09 Cost Index'!$A$5:$A$24,0)),"")))</f>
        <v/>
      </c>
      <c r="J61" s="153">
        <f>'01 Control'!$C$7</f>
        <v/>
      </c>
      <c r="K61" s="150">
        <f>IF($I61="","",$G61*$I61*(1+$J61))</f>
        <v/>
      </c>
      <c r="L61" s="177">
        <f>IF(ISNUMBER(MATCH($E61,'09 Cost Index'!$A$5:$A$24,0)),"09 Cost Index",IF(ISNUMBER(MATCH($E61,'05 Packaging Master'!$A$5:$A$46,0)),"05 Packaging Master",IF(ISNUMBER(MATCH($E61,'04 SKU Master'!$A$5:$A$165,0)),"04 SKU Master","NOT FOUND")))</f>
        <v/>
      </c>
      <c r="M61" s="178">
        <f>IFERROR(INDEX('12 Final Menu'!$U$5:$U$200,MATCH($A61,'12 Final Menu'!$A$5:$A$200,0)),0)</f>
        <v/>
      </c>
      <c r="N61" s="165">
        <f>$G61*(1+$J61)*$M61*1000</f>
        <v/>
      </c>
    </row>
    <row r="62" ht="15" customHeight="1" s="106">
      <c r="A62" s="138" t="inlineStr">
        <is>
          <t>PP-SEA-Y1A-BRIS</t>
        </is>
      </c>
      <c r="B62" s="138" t="inlineStr">
        <is>
          <t>Smoky Brisket Ragu</t>
        </is>
      </c>
      <c r="C62" s="138" t="inlineStr">
        <is>
          <t>Y1 Autumn - Harvest</t>
        </is>
      </c>
      <c r="D62" s="139" t="inlineStr">
        <is>
          <t>Packaging</t>
        </is>
      </c>
      <c r="E62" s="134" t="inlineStr">
        <is>
          <t>PP-PACK-LID</t>
        </is>
      </c>
      <c r="F62" s="113" t="inlineStr">
        <is>
          <t>Bowl lid</t>
        </is>
      </c>
      <c r="G62" s="147" t="n">
        <v>1</v>
      </c>
      <c r="H62" s="164" t="inlineStr">
        <is>
          <t>ea</t>
        </is>
      </c>
      <c r="I62" s="150">
        <f>IFERROR(INDEX('04 SKU Master'!$AM$5:$AM$165,MATCH($E62,'04 SKU Master'!$A$5:$A$165,0)),IFERROR(INDEX('05 Packaging Master'!$AM$5:$AM$50,MATCH($E62,'05 Packaging Master'!$A$5:$A$50,0)),IFERROR(INDEX('09 Cost Index'!$C$5:$C$24,MATCH($E62,'09 Cost Index'!$A$5:$A$24,0)),"")))</f>
        <v/>
      </c>
      <c r="J62" s="153">
        <f>'01 Control'!$C$7</f>
        <v/>
      </c>
      <c r="K62" s="150">
        <f>IF($I62="","",$G62*$I62*(1+$J62))</f>
        <v/>
      </c>
      <c r="L62" s="177">
        <f>IF(ISNUMBER(MATCH($E62,'09 Cost Index'!$A$5:$A$24,0)),"09 Cost Index",IF(ISNUMBER(MATCH($E62,'05 Packaging Master'!$A$5:$A$46,0)),"05 Packaging Master",IF(ISNUMBER(MATCH($E62,'04 SKU Master'!$A$5:$A$165,0)),"04 SKU Master","NOT FOUND")))</f>
        <v/>
      </c>
      <c r="M62" s="178">
        <f>IFERROR(INDEX('12 Final Menu'!$U$5:$U$200,MATCH($A62,'12 Final Menu'!$A$5:$A$200,0)),0)</f>
        <v/>
      </c>
      <c r="N62" s="165">
        <f>$G62*(1+$J62)*$M62*1000</f>
        <v/>
      </c>
    </row>
    <row r="63" ht="15" customHeight="1" s="106">
      <c r="A63" s="138" t="inlineStr">
        <is>
          <t>PP-SEA-Y1A-BRIS</t>
        </is>
      </c>
      <c r="B63" s="138" t="inlineStr">
        <is>
          <t>Smoky Brisket Ragu</t>
        </is>
      </c>
      <c r="C63" s="138" t="inlineStr">
        <is>
          <t>Y1 Autumn - Harvest</t>
        </is>
      </c>
      <c r="D63" s="139" t="inlineStr">
        <is>
          <t>Packaging</t>
        </is>
      </c>
      <c r="E63" s="134" t="inlineStr">
        <is>
          <t>PP-PACK-CUTLERY</t>
        </is>
      </c>
      <c r="F63" s="113" t="inlineStr">
        <is>
          <t>Cutlery set</t>
        </is>
      </c>
      <c r="G63" s="147" t="n">
        <v>1</v>
      </c>
      <c r="H63" s="164" t="inlineStr">
        <is>
          <t>ea</t>
        </is>
      </c>
      <c r="I63" s="150">
        <f>IFERROR(INDEX('04 SKU Master'!$AM$5:$AM$165,MATCH($E63,'04 SKU Master'!$A$5:$A$165,0)),IFERROR(INDEX('05 Packaging Master'!$AM$5:$AM$50,MATCH($E63,'05 Packaging Master'!$A$5:$A$50,0)),IFERROR(INDEX('09 Cost Index'!$C$5:$C$24,MATCH($E63,'09 Cost Index'!$A$5:$A$24,0)),"")))</f>
        <v/>
      </c>
      <c r="J63" s="153">
        <f>'01 Control'!$C$7</f>
        <v/>
      </c>
      <c r="K63" s="150">
        <f>IF($I63="","",$G63*$I63*(1+$J63))</f>
        <v/>
      </c>
      <c r="L63" s="177">
        <f>IF(ISNUMBER(MATCH($E63,'09 Cost Index'!$A$5:$A$24,0)),"09 Cost Index",IF(ISNUMBER(MATCH($E63,'05 Packaging Master'!$A$5:$A$46,0)),"05 Packaging Master",IF(ISNUMBER(MATCH($E63,'04 SKU Master'!$A$5:$A$165,0)),"04 SKU Master","NOT FOUND")))</f>
        <v/>
      </c>
      <c r="M63" s="178">
        <f>IFERROR(INDEX('12 Final Menu'!$U$5:$U$200,MATCH($A63,'12 Final Menu'!$A$5:$A$200,0)),0)</f>
        <v/>
      </c>
      <c r="N63" s="165">
        <f>$G63*(1+$J63)*$M63*1000</f>
        <v/>
      </c>
    </row>
    <row r="64" ht="15" customHeight="1" s="106">
      <c r="A64" s="138" t="inlineStr">
        <is>
          <t>PP-SEA-Y1A-BRIS</t>
        </is>
      </c>
      <c r="B64" s="138" t="inlineStr">
        <is>
          <t>Smoky Brisket Ragu</t>
        </is>
      </c>
      <c r="C64" s="138" t="inlineStr">
        <is>
          <t>Y1 Autumn - Harvest</t>
        </is>
      </c>
      <c r="D64" s="139" t="inlineStr">
        <is>
          <t>Packaging</t>
        </is>
      </c>
      <c r="E64" s="134" t="inlineStr">
        <is>
          <t>PP-PACK-NAPKIN</t>
        </is>
      </c>
      <c r="F64" s="113" t="inlineStr">
        <is>
          <t>Branded napkin</t>
        </is>
      </c>
      <c r="G64" s="147" t="n">
        <v>1</v>
      </c>
      <c r="H64" s="164" t="inlineStr">
        <is>
          <t>ea</t>
        </is>
      </c>
      <c r="I64" s="150">
        <f>IFERROR(INDEX('04 SKU Master'!$AM$5:$AM$165,MATCH($E64,'04 SKU Master'!$A$5:$A$165,0)),IFERROR(INDEX('05 Packaging Master'!$AM$5:$AM$50,MATCH($E64,'05 Packaging Master'!$A$5:$A$50,0)),IFERROR(INDEX('09 Cost Index'!$C$5:$C$24,MATCH($E64,'09 Cost Index'!$A$5:$A$24,0)),"")))</f>
        <v/>
      </c>
      <c r="J64" s="153">
        <f>'01 Control'!$C$7</f>
        <v/>
      </c>
      <c r="K64" s="150">
        <f>IF($I64="","",$G64*$I64*(1+$J64))</f>
        <v/>
      </c>
      <c r="L64" s="177">
        <f>IF(ISNUMBER(MATCH($E64,'09 Cost Index'!$A$5:$A$24,0)),"09 Cost Index",IF(ISNUMBER(MATCH($E64,'05 Packaging Master'!$A$5:$A$46,0)),"05 Packaging Master",IF(ISNUMBER(MATCH($E64,'04 SKU Master'!$A$5:$A$165,0)),"04 SKU Master","NOT FOUND")))</f>
        <v/>
      </c>
      <c r="M64" s="178">
        <f>IFERROR(INDEX('12 Final Menu'!$U$5:$U$200,MATCH($A64,'12 Final Menu'!$A$5:$A$200,0)),0)</f>
        <v/>
      </c>
      <c r="N64" s="165">
        <f>$G64*(1+$J64)*$M64*1000</f>
        <v/>
      </c>
    </row>
    <row r="65"/>
    <row r="66" ht="15" customHeight="1" s="106">
      <c r="A66" s="144" t="inlineStr">
        <is>
          <t>YEAR 1  |  Winter (Jun-Aug)  |  Potjie   -&gt;   Durban-Curry Beef   |   Rigatoni   |   PP-SEA-Y1W-CURR</t>
        </is>
      </c>
      <c r="B66" s="110" t="n"/>
      <c r="C66" s="110" t="n"/>
      <c r="D66" s="110" t="n"/>
      <c r="E66" s="110" t="n"/>
      <c r="F66" s="110" t="n"/>
      <c r="G66" s="110" t="n"/>
      <c r="H66" s="110" t="n"/>
      <c r="I66" s="110" t="n"/>
      <c r="J66" s="110" t="n"/>
      <c r="K66" s="110" t="n"/>
      <c r="L66" s="110" t="n"/>
      <c r="M66" s="110" t="n"/>
      <c r="N66" s="111" t="n"/>
    </row>
    <row r="67" ht="15" customHeight="1" s="106">
      <c r="A67" s="138" t="inlineStr">
        <is>
          <t>PP-SEA-Y1W-CURR</t>
        </is>
      </c>
      <c r="B67" s="138" t="inlineStr">
        <is>
          <t>Durban-Curry Beef</t>
        </is>
      </c>
      <c r="C67" s="138" t="inlineStr">
        <is>
          <t>Y1 Winter - Potjie</t>
        </is>
      </c>
      <c r="D67" s="139" t="inlineStr">
        <is>
          <t>Pasta</t>
        </is>
      </c>
      <c r="E67" s="134" t="inlineStr">
        <is>
          <t>PP-DOUGH-BOKGAT</t>
        </is>
      </c>
      <c r="F67" s="113" t="inlineStr">
        <is>
          <t>Bokgat Base, Rigatoni - dried weight</t>
        </is>
      </c>
      <c r="G67" s="147" t="n">
        <v>111</v>
      </c>
      <c r="H67" s="164" t="inlineStr">
        <is>
          <t>g</t>
        </is>
      </c>
      <c r="I67" s="150">
        <f>IFERROR(INDEX('04 SKU Master'!$AM$5:$AM$165,MATCH($E67,'04 SKU Master'!$A$5:$A$165,0)),IFERROR(INDEX('05 Packaging Master'!$AM$5:$AM$50,MATCH($E67,'05 Packaging Master'!$A$5:$A$50,0)),IFERROR(INDEX('09 Cost Index'!$C$5:$C$24,MATCH($E67,'09 Cost Index'!$A$5:$A$24,0)),"")))</f>
        <v/>
      </c>
      <c r="J67" s="153">
        <f>'01 Control'!$C$7</f>
        <v/>
      </c>
      <c r="K67" s="150">
        <f>IF($I67="","",$G67*$I67*(1+$J67))</f>
        <v/>
      </c>
      <c r="L67" s="177">
        <f>IF(ISNUMBER(MATCH($E67,'09 Cost Index'!$A$5:$A$24,0)),"09 Cost Index",IF(ISNUMBER(MATCH($E67,'05 Packaging Master'!$A$5:$A$46,0)),"05 Packaging Master",IF(ISNUMBER(MATCH($E67,'04 SKU Master'!$A$5:$A$165,0)),"04 SKU Master","NOT FOUND")))</f>
        <v/>
      </c>
      <c r="M67" s="178">
        <f>IFERROR(INDEX('12 Final Menu'!$U$5:$U$200,MATCH($A67,'12 Final Menu'!$A$5:$A$200,0)),0)</f>
        <v/>
      </c>
      <c r="N67" s="165">
        <f>$G67*(1+$J67)*$M67*1000</f>
        <v/>
      </c>
    </row>
    <row r="68" ht="15" customHeight="1" s="106">
      <c r="A68" s="138" t="inlineStr">
        <is>
          <t>PP-SEA-Y1W-CURR</t>
        </is>
      </c>
      <c r="B68" s="138" t="inlineStr">
        <is>
          <t>Durban-Curry Beef</t>
        </is>
      </c>
      <c r="C68" s="138" t="inlineStr">
        <is>
          <t>Y1 Winter - Potjie</t>
        </is>
      </c>
      <c r="D68" s="139" t="inlineStr">
        <is>
          <t>Sauce</t>
        </is>
      </c>
      <c r="E68" s="134" t="inlineStr">
        <is>
          <t>PP-SEASAUCE-CURRYTOM</t>
        </is>
      </c>
      <c r="F68" s="113" t="inlineStr">
        <is>
          <t>Durban Curry-Tomato Base (CK - SEASONAL base)</t>
        </is>
      </c>
      <c r="G68" s="147" t="n">
        <v>150</v>
      </c>
      <c r="H68" s="164" t="inlineStr">
        <is>
          <t>g</t>
        </is>
      </c>
      <c r="I68" s="150">
        <f>IFERROR(INDEX('04 SKU Master'!$AM$5:$AM$165,MATCH($E68,'04 SKU Master'!$A$5:$A$165,0)),IFERROR(INDEX('05 Packaging Master'!$AM$5:$AM$50,MATCH($E68,'05 Packaging Master'!$A$5:$A$50,0)),IFERROR(INDEX('09 Cost Index'!$C$5:$C$24,MATCH($E68,'09 Cost Index'!$A$5:$A$24,0)),"")))</f>
        <v/>
      </c>
      <c r="J68" s="153">
        <f>'01 Control'!$C$7</f>
        <v/>
      </c>
      <c r="K68" s="150">
        <f>IF($I68="","",$G68*$I68*(1+$J68))</f>
        <v/>
      </c>
      <c r="L68" s="177">
        <f>IF(ISNUMBER(MATCH($E68,'09 Cost Index'!$A$5:$A$24,0)),"09 Cost Index",IF(ISNUMBER(MATCH($E68,'05 Packaging Master'!$A$5:$A$46,0)),"05 Packaging Master",IF(ISNUMBER(MATCH($E68,'04 SKU Master'!$A$5:$A$165,0)),"04 SKU Master","NOT FOUND")))</f>
        <v/>
      </c>
      <c r="M68" s="178">
        <f>IFERROR(INDEX('12 Final Menu'!$U$5:$U$200,MATCH($A68,'12 Final Menu'!$A$5:$A$200,0)),0)</f>
        <v/>
      </c>
      <c r="N68" s="165">
        <f>$G68*(1+$J68)*$M68*1000</f>
        <v/>
      </c>
    </row>
    <row r="69" ht="15" customHeight="1" s="106">
      <c r="A69" s="138" t="inlineStr">
        <is>
          <t>PP-SEA-Y1W-CURR</t>
        </is>
      </c>
      <c r="B69" s="138" t="inlineStr">
        <is>
          <t>Durban-Curry Beef</t>
        </is>
      </c>
      <c r="C69" s="138" t="inlineStr">
        <is>
          <t>Y1 Winter - Potjie</t>
        </is>
      </c>
      <c r="D69" s="139" t="inlineStr">
        <is>
          <t>Protein</t>
        </is>
      </c>
      <c r="E69" s="134" t="inlineStr">
        <is>
          <t>PP-BEEF-CHUNK</t>
        </is>
      </c>
      <c r="F69" s="113" t="inlineStr">
        <is>
          <t>Curry beef</t>
        </is>
      </c>
      <c r="G69" s="147" t="n">
        <v>90</v>
      </c>
      <c r="H69" s="164" t="inlineStr">
        <is>
          <t>g</t>
        </is>
      </c>
      <c r="I69" s="150">
        <f>IFERROR(INDEX('04 SKU Master'!$AM$5:$AM$165,MATCH($E69,'04 SKU Master'!$A$5:$A$165,0)),IFERROR(INDEX('05 Packaging Master'!$AM$5:$AM$50,MATCH($E69,'05 Packaging Master'!$A$5:$A$50,0)),IFERROR(INDEX('09 Cost Index'!$C$5:$C$24,MATCH($E69,'09 Cost Index'!$A$5:$A$24,0)),"")))</f>
        <v/>
      </c>
      <c r="J69" s="153">
        <f>'01 Control'!$C$7</f>
        <v/>
      </c>
      <c r="K69" s="150">
        <f>IF($I69="","",$G69*$I69*(1+$J69))</f>
        <v/>
      </c>
      <c r="L69" s="177">
        <f>IF(ISNUMBER(MATCH($E69,'09 Cost Index'!$A$5:$A$24,0)),"09 Cost Index",IF(ISNUMBER(MATCH($E69,'05 Packaging Master'!$A$5:$A$46,0)),"05 Packaging Master",IF(ISNUMBER(MATCH($E69,'04 SKU Master'!$A$5:$A$165,0)),"04 SKU Master","NOT FOUND")))</f>
        <v/>
      </c>
      <c r="M69" s="178">
        <f>IFERROR(INDEX('12 Final Menu'!$U$5:$U$200,MATCH($A69,'12 Final Menu'!$A$5:$A$200,0)),0)</f>
        <v/>
      </c>
      <c r="N69" s="165">
        <f>$G69*(1+$J69)*$M69*1000</f>
        <v/>
      </c>
    </row>
    <row r="70" ht="15" customHeight="1" s="106">
      <c r="A70" s="138" t="inlineStr">
        <is>
          <t>PP-SEA-Y1W-CURR</t>
        </is>
      </c>
      <c r="B70" s="138" t="inlineStr">
        <is>
          <t>Durban-Curry Beef</t>
        </is>
      </c>
      <c r="C70" s="138" t="inlineStr">
        <is>
          <t>Y1 Winter - Potjie</t>
        </is>
      </c>
      <c r="D70" s="139" t="inlineStr">
        <is>
          <t>Packaging</t>
        </is>
      </c>
      <c r="E70" s="134" t="inlineStr">
        <is>
          <t>PP-PACK-TUB</t>
        </is>
      </c>
      <c r="F70" s="113" t="inlineStr">
        <is>
          <t>Takeaway pasta tub</t>
        </is>
      </c>
      <c r="G70" s="147" t="n">
        <v>1</v>
      </c>
      <c r="H70" s="164" t="inlineStr">
        <is>
          <t>ea</t>
        </is>
      </c>
      <c r="I70" s="150">
        <f>IFERROR(INDEX('04 SKU Master'!$AM$5:$AM$165,MATCH($E70,'04 SKU Master'!$A$5:$A$165,0)),IFERROR(INDEX('05 Packaging Master'!$AM$5:$AM$50,MATCH($E70,'05 Packaging Master'!$A$5:$A$50,0)),IFERROR(INDEX('09 Cost Index'!$C$5:$C$24,MATCH($E70,'09 Cost Index'!$A$5:$A$24,0)),"")))</f>
        <v/>
      </c>
      <c r="J70" s="153">
        <f>'01 Control'!$C$7</f>
        <v/>
      </c>
      <c r="K70" s="150">
        <f>IF($I70="","",$G70*$I70*(1+$J70))</f>
        <v/>
      </c>
      <c r="L70" s="177">
        <f>IF(ISNUMBER(MATCH($E70,'09 Cost Index'!$A$5:$A$24,0)),"09 Cost Index",IF(ISNUMBER(MATCH($E70,'05 Packaging Master'!$A$5:$A$46,0)),"05 Packaging Master",IF(ISNUMBER(MATCH($E70,'04 SKU Master'!$A$5:$A$165,0)),"04 SKU Master","NOT FOUND")))</f>
        <v/>
      </c>
      <c r="M70" s="178">
        <f>IFERROR(INDEX('12 Final Menu'!$U$5:$U$200,MATCH($A70,'12 Final Menu'!$A$5:$A$200,0)),0)</f>
        <v/>
      </c>
      <c r="N70" s="165">
        <f>$G70*(1+$J70)*$M70*1000</f>
        <v/>
      </c>
    </row>
    <row r="71" ht="15" customHeight="1" s="106">
      <c r="A71" s="138" t="inlineStr">
        <is>
          <t>PP-SEA-Y1W-CURR</t>
        </is>
      </c>
      <c r="B71" s="138" t="inlineStr">
        <is>
          <t>Durban-Curry Beef</t>
        </is>
      </c>
      <c r="C71" s="138" t="inlineStr">
        <is>
          <t>Y1 Winter - Potjie</t>
        </is>
      </c>
      <c r="D71" s="139" t="inlineStr">
        <is>
          <t>Packaging</t>
        </is>
      </c>
      <c r="E71" s="134" t="inlineStr">
        <is>
          <t>PP-PACK-LID</t>
        </is>
      </c>
      <c r="F71" s="113" t="inlineStr">
        <is>
          <t>Bowl lid</t>
        </is>
      </c>
      <c r="G71" s="147" t="n">
        <v>1</v>
      </c>
      <c r="H71" s="164" t="inlineStr">
        <is>
          <t>ea</t>
        </is>
      </c>
      <c r="I71" s="150">
        <f>IFERROR(INDEX('04 SKU Master'!$AM$5:$AM$165,MATCH($E71,'04 SKU Master'!$A$5:$A$165,0)),IFERROR(INDEX('05 Packaging Master'!$AM$5:$AM$50,MATCH($E71,'05 Packaging Master'!$A$5:$A$50,0)),IFERROR(INDEX('09 Cost Index'!$C$5:$C$24,MATCH($E71,'09 Cost Index'!$A$5:$A$24,0)),"")))</f>
        <v/>
      </c>
      <c r="J71" s="153">
        <f>'01 Control'!$C$7</f>
        <v/>
      </c>
      <c r="K71" s="150">
        <f>IF($I71="","",$G71*$I71*(1+$J71))</f>
        <v/>
      </c>
      <c r="L71" s="177">
        <f>IF(ISNUMBER(MATCH($E71,'09 Cost Index'!$A$5:$A$24,0)),"09 Cost Index",IF(ISNUMBER(MATCH($E71,'05 Packaging Master'!$A$5:$A$46,0)),"05 Packaging Master",IF(ISNUMBER(MATCH($E71,'04 SKU Master'!$A$5:$A$165,0)),"04 SKU Master","NOT FOUND")))</f>
        <v/>
      </c>
      <c r="M71" s="178">
        <f>IFERROR(INDEX('12 Final Menu'!$U$5:$U$200,MATCH($A71,'12 Final Menu'!$A$5:$A$200,0)),0)</f>
        <v/>
      </c>
      <c r="N71" s="165">
        <f>$G71*(1+$J71)*$M71*1000</f>
        <v/>
      </c>
    </row>
    <row r="72" ht="15" customHeight="1" s="106">
      <c r="A72" s="138" t="inlineStr">
        <is>
          <t>PP-SEA-Y1W-CURR</t>
        </is>
      </c>
      <c r="B72" s="138" t="inlineStr">
        <is>
          <t>Durban-Curry Beef</t>
        </is>
      </c>
      <c r="C72" s="138" t="inlineStr">
        <is>
          <t>Y1 Winter - Potjie</t>
        </is>
      </c>
      <c r="D72" s="139" t="inlineStr">
        <is>
          <t>Packaging</t>
        </is>
      </c>
      <c r="E72" s="134" t="inlineStr">
        <is>
          <t>PP-PACK-CUTLERY</t>
        </is>
      </c>
      <c r="F72" s="113" t="inlineStr">
        <is>
          <t>Cutlery set</t>
        </is>
      </c>
      <c r="G72" s="147" t="n">
        <v>1</v>
      </c>
      <c r="H72" s="164" t="inlineStr">
        <is>
          <t>ea</t>
        </is>
      </c>
      <c r="I72" s="150">
        <f>IFERROR(INDEX('04 SKU Master'!$AM$5:$AM$165,MATCH($E72,'04 SKU Master'!$A$5:$A$165,0)),IFERROR(INDEX('05 Packaging Master'!$AM$5:$AM$50,MATCH($E72,'05 Packaging Master'!$A$5:$A$50,0)),IFERROR(INDEX('09 Cost Index'!$C$5:$C$24,MATCH($E72,'09 Cost Index'!$A$5:$A$24,0)),"")))</f>
        <v/>
      </c>
      <c r="J72" s="153">
        <f>'01 Control'!$C$7</f>
        <v/>
      </c>
      <c r="K72" s="150">
        <f>IF($I72="","",$G72*$I72*(1+$J72))</f>
        <v/>
      </c>
      <c r="L72" s="177">
        <f>IF(ISNUMBER(MATCH($E72,'09 Cost Index'!$A$5:$A$24,0)),"09 Cost Index",IF(ISNUMBER(MATCH($E72,'05 Packaging Master'!$A$5:$A$46,0)),"05 Packaging Master",IF(ISNUMBER(MATCH($E72,'04 SKU Master'!$A$5:$A$165,0)),"04 SKU Master","NOT FOUND")))</f>
        <v/>
      </c>
      <c r="M72" s="178">
        <f>IFERROR(INDEX('12 Final Menu'!$U$5:$U$200,MATCH($A72,'12 Final Menu'!$A$5:$A$200,0)),0)</f>
        <v/>
      </c>
      <c r="N72" s="165">
        <f>$G72*(1+$J72)*$M72*1000</f>
        <v/>
      </c>
    </row>
    <row r="73" ht="15" customHeight="1" s="106">
      <c r="A73" s="138" t="inlineStr">
        <is>
          <t>PP-SEA-Y1W-CURR</t>
        </is>
      </c>
      <c r="B73" s="138" t="inlineStr">
        <is>
          <t>Durban-Curry Beef</t>
        </is>
      </c>
      <c r="C73" s="138" t="inlineStr">
        <is>
          <t>Y1 Winter - Potjie</t>
        </is>
      </c>
      <c r="D73" s="139" t="inlineStr">
        <is>
          <t>Packaging</t>
        </is>
      </c>
      <c r="E73" s="134" t="inlineStr">
        <is>
          <t>PP-PACK-NAPKIN</t>
        </is>
      </c>
      <c r="F73" s="113" t="inlineStr">
        <is>
          <t>Branded napkin</t>
        </is>
      </c>
      <c r="G73" s="147" t="n">
        <v>1</v>
      </c>
      <c r="H73" s="164" t="inlineStr">
        <is>
          <t>ea</t>
        </is>
      </c>
      <c r="I73" s="150">
        <f>IFERROR(INDEX('04 SKU Master'!$AM$5:$AM$165,MATCH($E73,'04 SKU Master'!$A$5:$A$165,0)),IFERROR(INDEX('05 Packaging Master'!$AM$5:$AM$50,MATCH($E73,'05 Packaging Master'!$A$5:$A$50,0)),IFERROR(INDEX('09 Cost Index'!$C$5:$C$24,MATCH($E73,'09 Cost Index'!$A$5:$A$24,0)),"")))</f>
        <v/>
      </c>
      <c r="J73" s="153">
        <f>'01 Control'!$C$7</f>
        <v/>
      </c>
      <c r="K73" s="150">
        <f>IF($I73="","",$G73*$I73*(1+$J73))</f>
        <v/>
      </c>
      <c r="L73" s="177">
        <f>IF(ISNUMBER(MATCH($E73,'09 Cost Index'!$A$5:$A$24,0)),"09 Cost Index",IF(ISNUMBER(MATCH($E73,'05 Packaging Master'!$A$5:$A$46,0)),"05 Packaging Master",IF(ISNUMBER(MATCH($E73,'04 SKU Master'!$A$5:$A$165,0)),"04 SKU Master","NOT FOUND")))</f>
        <v/>
      </c>
      <c r="M73" s="178">
        <f>IFERROR(INDEX('12 Final Menu'!$U$5:$U$200,MATCH($A73,'12 Final Menu'!$A$5:$A$200,0)),0)</f>
        <v/>
      </c>
      <c r="N73" s="165">
        <f>$G73*(1+$J73)*$M73*1000</f>
        <v/>
      </c>
    </row>
    <row r="74"/>
    <row r="75" ht="15" customHeight="1" s="106">
      <c r="A75" s="144" t="inlineStr">
        <is>
          <t>YEAR 1  |  Winter (Jun-Aug)  |  Potjie   -&gt;   Three-Cheese &amp; Biltong Bake   |   Rigatoni   |   PP-SEA-Y1W-BILT</t>
        </is>
      </c>
      <c r="B75" s="110" t="n"/>
      <c r="C75" s="110" t="n"/>
      <c r="D75" s="110" t="n"/>
      <c r="E75" s="110" t="n"/>
      <c r="F75" s="110" t="n"/>
      <c r="G75" s="110" t="n"/>
      <c r="H75" s="110" t="n"/>
      <c r="I75" s="110" t="n"/>
      <c r="J75" s="110" t="n"/>
      <c r="K75" s="110" t="n"/>
      <c r="L75" s="110" t="n"/>
      <c r="M75" s="110" t="n"/>
      <c r="N75" s="111" t="n"/>
    </row>
    <row r="76" ht="15" customHeight="1" s="106">
      <c r="A76" s="138" t="inlineStr">
        <is>
          <t>PP-SEA-Y1W-BILT</t>
        </is>
      </c>
      <c r="B76" s="138" t="inlineStr">
        <is>
          <t>Three-Cheese &amp; Biltong Bake</t>
        </is>
      </c>
      <c r="C76" s="138" t="inlineStr">
        <is>
          <t>Y1 Winter - Potjie</t>
        </is>
      </c>
      <c r="D76" s="139" t="inlineStr">
        <is>
          <t>Pasta</t>
        </is>
      </c>
      <c r="E76" s="134" t="inlineStr">
        <is>
          <t>PP-DOUGH-BOKGAT</t>
        </is>
      </c>
      <c r="F76" s="113" t="inlineStr">
        <is>
          <t>Bokgat Base, Rigatoni - dried weight</t>
        </is>
      </c>
      <c r="G76" s="147" t="n">
        <v>111</v>
      </c>
      <c r="H76" s="164" t="inlineStr">
        <is>
          <t>g</t>
        </is>
      </c>
      <c r="I76" s="150">
        <f>IFERROR(INDEX('04 SKU Master'!$AM$5:$AM$165,MATCH($E76,'04 SKU Master'!$A$5:$A$165,0)),IFERROR(INDEX('05 Packaging Master'!$AM$5:$AM$50,MATCH($E76,'05 Packaging Master'!$A$5:$A$50,0)),IFERROR(INDEX('09 Cost Index'!$C$5:$C$24,MATCH($E76,'09 Cost Index'!$A$5:$A$24,0)),"")))</f>
        <v/>
      </c>
      <c r="J76" s="153">
        <f>'01 Control'!$C$7</f>
        <v/>
      </c>
      <c r="K76" s="150">
        <f>IF($I76="","",$G76*$I76*(1+$J76))</f>
        <v/>
      </c>
      <c r="L76" s="177">
        <f>IF(ISNUMBER(MATCH($E76,'09 Cost Index'!$A$5:$A$24,0)),"09 Cost Index",IF(ISNUMBER(MATCH($E76,'05 Packaging Master'!$A$5:$A$46,0)),"05 Packaging Master",IF(ISNUMBER(MATCH($E76,'04 SKU Master'!$A$5:$A$165,0)),"04 SKU Master","NOT FOUND")))</f>
        <v/>
      </c>
      <c r="M76" s="178">
        <f>IFERROR(INDEX('12 Final Menu'!$U$5:$U$200,MATCH($A76,'12 Final Menu'!$A$5:$A$200,0)),0)</f>
        <v/>
      </c>
      <c r="N76" s="165">
        <f>$G76*(1+$J76)*$M76*1000</f>
        <v/>
      </c>
    </row>
    <row r="77" ht="15" customHeight="1" s="106">
      <c r="A77" s="138" t="inlineStr">
        <is>
          <t>PP-SEA-Y1W-BILT</t>
        </is>
      </c>
      <c r="B77" s="138" t="inlineStr">
        <is>
          <t>Three-Cheese &amp; Biltong Bake</t>
        </is>
      </c>
      <c r="C77" s="138" t="inlineStr">
        <is>
          <t>Y1 Winter - Potjie</t>
        </is>
      </c>
      <c r="D77" s="139" t="inlineStr">
        <is>
          <t>Sauce</t>
        </is>
      </c>
      <c r="E77" s="134" t="inlineStr">
        <is>
          <t>PP-SAUCE-QF</t>
        </is>
      </c>
      <c r="F77" s="113" t="inlineStr">
        <is>
          <t>Quattro Formaggi base (CK - core)</t>
        </is>
      </c>
      <c r="G77" s="147" t="n">
        <v>150</v>
      </c>
      <c r="H77" s="164" t="inlineStr">
        <is>
          <t>g</t>
        </is>
      </c>
      <c r="I77" s="150">
        <f>IFERROR(INDEX('04 SKU Master'!$AM$5:$AM$165,MATCH($E77,'04 SKU Master'!$A$5:$A$165,0)),IFERROR(INDEX('05 Packaging Master'!$AM$5:$AM$50,MATCH($E77,'05 Packaging Master'!$A$5:$A$50,0)),IFERROR(INDEX('09 Cost Index'!$C$5:$C$24,MATCH($E77,'09 Cost Index'!$A$5:$A$24,0)),"")))</f>
        <v/>
      </c>
      <c r="J77" s="153">
        <f>'01 Control'!$C$7</f>
        <v/>
      </c>
      <c r="K77" s="150">
        <f>IF($I77="","",$G77*$I77*(1+$J77))</f>
        <v/>
      </c>
      <c r="L77" s="177">
        <f>IF(ISNUMBER(MATCH($E77,'09 Cost Index'!$A$5:$A$24,0)),"09 Cost Index",IF(ISNUMBER(MATCH($E77,'05 Packaging Master'!$A$5:$A$46,0)),"05 Packaging Master",IF(ISNUMBER(MATCH($E77,'04 SKU Master'!$A$5:$A$165,0)),"04 SKU Master","NOT FOUND")))</f>
        <v/>
      </c>
      <c r="M77" s="178">
        <f>IFERROR(INDEX('12 Final Menu'!$U$5:$U$200,MATCH($A77,'12 Final Menu'!$A$5:$A$200,0)),0)</f>
        <v/>
      </c>
      <c r="N77" s="165">
        <f>$G77*(1+$J77)*$M77*1000</f>
        <v/>
      </c>
    </row>
    <row r="78" ht="15" customHeight="1" s="106">
      <c r="A78" s="138" t="inlineStr">
        <is>
          <t>PP-SEA-Y1W-BILT</t>
        </is>
      </c>
      <c r="B78" s="138" t="inlineStr">
        <is>
          <t>Three-Cheese &amp; Biltong Bake</t>
        </is>
      </c>
      <c r="C78" s="138" t="inlineStr">
        <is>
          <t>Y1 Winter - Potjie</t>
        </is>
      </c>
      <c r="D78" s="139" t="inlineStr">
        <is>
          <t>Protein</t>
        </is>
      </c>
      <c r="E78" s="134" t="inlineStr">
        <is>
          <t>PP-BILTONG</t>
        </is>
      </c>
      <c r="F78" s="113" t="inlineStr">
        <is>
          <t>Shaved biltong</t>
        </is>
      </c>
      <c r="G78" s="147" t="n">
        <v>30</v>
      </c>
      <c r="H78" s="164" t="inlineStr">
        <is>
          <t>g</t>
        </is>
      </c>
      <c r="I78" s="150">
        <f>IFERROR(INDEX('04 SKU Master'!$AM$5:$AM$165,MATCH($E78,'04 SKU Master'!$A$5:$A$165,0)),IFERROR(INDEX('05 Packaging Master'!$AM$5:$AM$50,MATCH($E78,'05 Packaging Master'!$A$5:$A$50,0)),IFERROR(INDEX('09 Cost Index'!$C$5:$C$24,MATCH($E78,'09 Cost Index'!$A$5:$A$24,0)),"")))</f>
        <v/>
      </c>
      <c r="J78" s="153">
        <f>'01 Control'!$C$7</f>
        <v/>
      </c>
      <c r="K78" s="150">
        <f>IF($I78="","",$G78*$I78*(1+$J78))</f>
        <v/>
      </c>
      <c r="L78" s="177">
        <f>IF(ISNUMBER(MATCH($E78,'09 Cost Index'!$A$5:$A$24,0)),"09 Cost Index",IF(ISNUMBER(MATCH($E78,'05 Packaging Master'!$A$5:$A$46,0)),"05 Packaging Master",IF(ISNUMBER(MATCH($E78,'04 SKU Master'!$A$5:$A$165,0)),"04 SKU Master","NOT FOUND")))</f>
        <v/>
      </c>
      <c r="M78" s="178">
        <f>IFERROR(INDEX('12 Final Menu'!$U$5:$U$200,MATCH($A78,'12 Final Menu'!$A$5:$A$200,0)),0)</f>
        <v/>
      </c>
      <c r="N78" s="165">
        <f>$G78*(1+$J78)*$M78*1000</f>
        <v/>
      </c>
    </row>
    <row r="79" ht="15" customHeight="1" s="106">
      <c r="A79" s="138" t="inlineStr">
        <is>
          <t>PP-SEA-Y1W-BILT</t>
        </is>
      </c>
      <c r="B79" s="138" t="inlineStr">
        <is>
          <t>Three-Cheese &amp; Biltong Bake</t>
        </is>
      </c>
      <c r="C79" s="138" t="inlineStr">
        <is>
          <t>Y1 Winter - Potjie</t>
        </is>
      </c>
      <c r="D79" s="139" t="inlineStr">
        <is>
          <t>Finish</t>
        </is>
      </c>
      <c r="E79" s="134" t="inlineStr">
        <is>
          <t>PP-MOZZ</t>
        </is>
      </c>
      <c r="F79" s="113" t="inlineStr">
        <is>
          <t>Mozzarella crumb top</t>
        </is>
      </c>
      <c r="G79" s="147" t="n">
        <v>25</v>
      </c>
      <c r="H79" s="164" t="inlineStr">
        <is>
          <t>g</t>
        </is>
      </c>
      <c r="I79" s="150">
        <f>IFERROR(INDEX('04 SKU Master'!$AM$5:$AM$165,MATCH($E79,'04 SKU Master'!$A$5:$A$165,0)),IFERROR(INDEX('05 Packaging Master'!$AM$5:$AM$50,MATCH($E79,'05 Packaging Master'!$A$5:$A$50,0)),IFERROR(INDEX('09 Cost Index'!$C$5:$C$24,MATCH($E79,'09 Cost Index'!$A$5:$A$24,0)),"")))</f>
        <v/>
      </c>
      <c r="J79" s="153">
        <f>'01 Control'!$C$7</f>
        <v/>
      </c>
      <c r="K79" s="150">
        <f>IF($I79="","",$G79*$I79*(1+$J79))</f>
        <v/>
      </c>
      <c r="L79" s="177">
        <f>IF(ISNUMBER(MATCH($E79,'09 Cost Index'!$A$5:$A$24,0)),"09 Cost Index",IF(ISNUMBER(MATCH($E79,'05 Packaging Master'!$A$5:$A$46,0)),"05 Packaging Master",IF(ISNUMBER(MATCH($E79,'04 SKU Master'!$A$5:$A$165,0)),"04 SKU Master","NOT FOUND")))</f>
        <v/>
      </c>
      <c r="M79" s="178">
        <f>IFERROR(INDEX('12 Final Menu'!$U$5:$U$200,MATCH($A79,'12 Final Menu'!$A$5:$A$200,0)),0)</f>
        <v/>
      </c>
      <c r="N79" s="165">
        <f>$G79*(1+$J79)*$M79*1000</f>
        <v/>
      </c>
    </row>
    <row r="80" ht="15" customHeight="1" s="106">
      <c r="A80" s="138" t="inlineStr">
        <is>
          <t>PP-SEA-Y1W-BILT</t>
        </is>
      </c>
      <c r="B80" s="138" t="inlineStr">
        <is>
          <t>Three-Cheese &amp; Biltong Bake</t>
        </is>
      </c>
      <c r="C80" s="138" t="inlineStr">
        <is>
          <t>Y1 Winter - Potjie</t>
        </is>
      </c>
      <c r="D80" s="139" t="inlineStr">
        <is>
          <t>Packaging</t>
        </is>
      </c>
      <c r="E80" s="134" t="inlineStr">
        <is>
          <t>PP-PACK-BAKE-TRAY</t>
        </is>
      </c>
      <c r="F80" s="113" t="inlineStr">
        <is>
          <t>Al forno bake tray + lid</t>
        </is>
      </c>
      <c r="G80" s="147" t="n">
        <v>1</v>
      </c>
      <c r="H80" s="164" t="inlineStr">
        <is>
          <t>ea</t>
        </is>
      </c>
      <c r="I80" s="150">
        <f>IFERROR(INDEX('04 SKU Master'!$AM$5:$AM$165,MATCH($E80,'04 SKU Master'!$A$5:$A$165,0)),IFERROR(INDEX('05 Packaging Master'!$AM$5:$AM$50,MATCH($E80,'05 Packaging Master'!$A$5:$A$50,0)),IFERROR(INDEX('09 Cost Index'!$C$5:$C$24,MATCH($E80,'09 Cost Index'!$A$5:$A$24,0)),"")))</f>
        <v/>
      </c>
      <c r="J80" s="153">
        <f>'01 Control'!$C$7</f>
        <v/>
      </c>
      <c r="K80" s="150">
        <f>IF($I80="","",$G80*$I80*(1+$J80))</f>
        <v/>
      </c>
      <c r="L80" s="177">
        <f>IF(ISNUMBER(MATCH($E80,'09 Cost Index'!$A$5:$A$24,0)),"09 Cost Index",IF(ISNUMBER(MATCH($E80,'05 Packaging Master'!$A$5:$A$46,0)),"05 Packaging Master",IF(ISNUMBER(MATCH($E80,'04 SKU Master'!$A$5:$A$165,0)),"04 SKU Master","NOT FOUND")))</f>
        <v/>
      </c>
      <c r="M80" s="178">
        <f>IFERROR(INDEX('12 Final Menu'!$U$5:$U$200,MATCH($A80,'12 Final Menu'!$A$5:$A$200,0)),0)</f>
        <v/>
      </c>
      <c r="N80" s="165">
        <f>$G80*(1+$J80)*$M80*1000</f>
        <v/>
      </c>
    </row>
    <row r="81" ht="15" customHeight="1" s="106">
      <c r="A81" s="138" t="inlineStr">
        <is>
          <t>PP-SEA-Y1W-BILT</t>
        </is>
      </c>
      <c r="B81" s="138" t="inlineStr">
        <is>
          <t>Three-Cheese &amp; Biltong Bake</t>
        </is>
      </c>
      <c r="C81" s="138" t="inlineStr">
        <is>
          <t>Y1 Winter - Potjie</t>
        </is>
      </c>
      <c r="D81" s="139" t="inlineStr">
        <is>
          <t>Packaging</t>
        </is>
      </c>
      <c r="E81" s="134" t="inlineStr">
        <is>
          <t>PP-PACK-CUTLERY</t>
        </is>
      </c>
      <c r="F81" s="113" t="inlineStr">
        <is>
          <t>Cutlery set</t>
        </is>
      </c>
      <c r="G81" s="147" t="n">
        <v>1</v>
      </c>
      <c r="H81" s="164" t="inlineStr">
        <is>
          <t>ea</t>
        </is>
      </c>
      <c r="I81" s="150">
        <f>IFERROR(INDEX('04 SKU Master'!$AM$5:$AM$165,MATCH($E81,'04 SKU Master'!$A$5:$A$165,0)),IFERROR(INDEX('05 Packaging Master'!$AM$5:$AM$50,MATCH($E81,'05 Packaging Master'!$A$5:$A$50,0)),IFERROR(INDEX('09 Cost Index'!$C$5:$C$24,MATCH($E81,'09 Cost Index'!$A$5:$A$24,0)),"")))</f>
        <v/>
      </c>
      <c r="J81" s="153">
        <f>'01 Control'!$C$7</f>
        <v/>
      </c>
      <c r="K81" s="150">
        <f>IF($I81="","",$G81*$I81*(1+$J81))</f>
        <v/>
      </c>
      <c r="L81" s="177">
        <f>IF(ISNUMBER(MATCH($E81,'09 Cost Index'!$A$5:$A$24,0)),"09 Cost Index",IF(ISNUMBER(MATCH($E81,'05 Packaging Master'!$A$5:$A$46,0)),"05 Packaging Master",IF(ISNUMBER(MATCH($E81,'04 SKU Master'!$A$5:$A$165,0)),"04 SKU Master","NOT FOUND")))</f>
        <v/>
      </c>
      <c r="M81" s="178">
        <f>IFERROR(INDEX('12 Final Menu'!$U$5:$U$200,MATCH($A81,'12 Final Menu'!$A$5:$A$200,0)),0)</f>
        <v/>
      </c>
      <c r="N81" s="165">
        <f>$G81*(1+$J81)*$M81*1000</f>
        <v/>
      </c>
    </row>
    <row r="82" ht="15" customHeight="1" s="106">
      <c r="A82" s="138" t="inlineStr">
        <is>
          <t>PP-SEA-Y1W-BILT</t>
        </is>
      </c>
      <c r="B82" s="138" t="inlineStr">
        <is>
          <t>Three-Cheese &amp; Biltong Bake</t>
        </is>
      </c>
      <c r="C82" s="138" t="inlineStr">
        <is>
          <t>Y1 Winter - Potjie</t>
        </is>
      </c>
      <c r="D82" s="139" t="inlineStr">
        <is>
          <t>Packaging</t>
        </is>
      </c>
      <c r="E82" s="134" t="inlineStr">
        <is>
          <t>PP-PACK-NAPKIN</t>
        </is>
      </c>
      <c r="F82" s="113" t="inlineStr">
        <is>
          <t>Branded napkin</t>
        </is>
      </c>
      <c r="G82" s="147" t="n">
        <v>1</v>
      </c>
      <c r="H82" s="164" t="inlineStr">
        <is>
          <t>ea</t>
        </is>
      </c>
      <c r="I82" s="150">
        <f>IFERROR(INDEX('04 SKU Master'!$AM$5:$AM$165,MATCH($E82,'04 SKU Master'!$A$5:$A$165,0)),IFERROR(INDEX('05 Packaging Master'!$AM$5:$AM$50,MATCH($E82,'05 Packaging Master'!$A$5:$A$50,0)),IFERROR(INDEX('09 Cost Index'!$C$5:$C$24,MATCH($E82,'09 Cost Index'!$A$5:$A$24,0)),"")))</f>
        <v/>
      </c>
      <c r="J82" s="153">
        <f>'01 Control'!$C$7</f>
        <v/>
      </c>
      <c r="K82" s="150">
        <f>IF($I82="","",$G82*$I82*(1+$J82))</f>
        <v/>
      </c>
      <c r="L82" s="177">
        <f>IF(ISNUMBER(MATCH($E82,'09 Cost Index'!$A$5:$A$24,0)),"09 Cost Index",IF(ISNUMBER(MATCH($E82,'05 Packaging Master'!$A$5:$A$46,0)),"05 Packaging Master",IF(ISNUMBER(MATCH($E82,'04 SKU Master'!$A$5:$A$165,0)),"04 SKU Master","NOT FOUND")))</f>
        <v/>
      </c>
      <c r="M82" s="178">
        <f>IFERROR(INDEX('12 Final Menu'!$U$5:$U$200,MATCH($A82,'12 Final Menu'!$A$5:$A$200,0)),0)</f>
        <v/>
      </c>
      <c r="N82" s="165">
        <f>$G82*(1+$J82)*$M82*1000</f>
        <v/>
      </c>
    </row>
    <row r="83"/>
    <row r="84" ht="15" customHeight="1" s="106">
      <c r="A84" s="144" t="inlineStr">
        <is>
          <t>YEAR 1  |  Winter (Jun-Aug)  |  Potjie   -&gt;   Slow-Braised Beef (Oxtail-style) Ragu   |   Spaghetti   |   PP-SEA-Y1W-OXTL</t>
        </is>
      </c>
      <c r="B84" s="110" t="n"/>
      <c r="C84" s="110" t="n"/>
      <c r="D84" s="110" t="n"/>
      <c r="E84" s="110" t="n"/>
      <c r="F84" s="110" t="n"/>
      <c r="G84" s="110" t="n"/>
      <c r="H84" s="110" t="n"/>
      <c r="I84" s="110" t="n"/>
      <c r="J84" s="110" t="n"/>
      <c r="K84" s="110" t="n"/>
      <c r="L84" s="110" t="n"/>
      <c r="M84" s="110" t="n"/>
      <c r="N84" s="111" t="n"/>
    </row>
    <row r="85" ht="15" customHeight="1" s="106">
      <c r="A85" s="138" t="inlineStr">
        <is>
          <t>PP-SEA-Y1W-OXTL</t>
        </is>
      </c>
      <c r="B85" s="138" t="inlineStr">
        <is>
          <t>Slow-Braised Beef (Oxtail-style) Ragu</t>
        </is>
      </c>
      <c r="C85" s="138" t="inlineStr">
        <is>
          <t>Y1 Winter - Potjie</t>
        </is>
      </c>
      <c r="D85" s="139" t="inlineStr">
        <is>
          <t>Pasta</t>
        </is>
      </c>
      <c r="E85" s="134" t="inlineStr">
        <is>
          <t>PP-DOUGH-BOKGAT</t>
        </is>
      </c>
      <c r="F85" s="113" t="inlineStr">
        <is>
          <t>Bokgat Base, Spaghetti - dried weight</t>
        </is>
      </c>
      <c r="G85" s="147" t="n">
        <v>111</v>
      </c>
      <c r="H85" s="164" t="inlineStr">
        <is>
          <t>g</t>
        </is>
      </c>
      <c r="I85" s="150">
        <f>IFERROR(INDEX('04 SKU Master'!$AM$5:$AM$165,MATCH($E85,'04 SKU Master'!$A$5:$A$165,0)),IFERROR(INDEX('05 Packaging Master'!$AM$5:$AM$50,MATCH($E85,'05 Packaging Master'!$A$5:$A$50,0)),IFERROR(INDEX('09 Cost Index'!$C$5:$C$24,MATCH($E85,'09 Cost Index'!$A$5:$A$24,0)),"")))</f>
        <v/>
      </c>
      <c r="J85" s="153">
        <f>'01 Control'!$C$7</f>
        <v/>
      </c>
      <c r="K85" s="150">
        <f>IF($I85="","",$G85*$I85*(1+$J85))</f>
        <v/>
      </c>
      <c r="L85" s="177">
        <f>IF(ISNUMBER(MATCH($E85,'09 Cost Index'!$A$5:$A$24,0)),"09 Cost Index",IF(ISNUMBER(MATCH($E85,'05 Packaging Master'!$A$5:$A$46,0)),"05 Packaging Master",IF(ISNUMBER(MATCH($E85,'04 SKU Master'!$A$5:$A$165,0)),"04 SKU Master","NOT FOUND")))</f>
        <v/>
      </c>
      <c r="M85" s="178">
        <f>IFERROR(INDEX('12 Final Menu'!$U$5:$U$200,MATCH($A85,'12 Final Menu'!$A$5:$A$200,0)),0)</f>
        <v/>
      </c>
      <c r="N85" s="165">
        <f>$G85*(1+$J85)*$M85*1000</f>
        <v/>
      </c>
    </row>
    <row r="86" ht="15" customHeight="1" s="106">
      <c r="A86" s="138" t="inlineStr">
        <is>
          <t>PP-SEA-Y1W-OXTL</t>
        </is>
      </c>
      <c r="B86" s="138" t="inlineStr">
        <is>
          <t>Slow-Braised Beef (Oxtail-style) Ragu</t>
        </is>
      </c>
      <c r="C86" s="138" t="inlineStr">
        <is>
          <t>Y1 Winter - Potjie</t>
        </is>
      </c>
      <c r="D86" s="139" t="inlineStr">
        <is>
          <t>Sauce</t>
        </is>
      </c>
      <c r="E86" s="134" t="inlineStr">
        <is>
          <t>PP-SEASAUCE-OXTAIL</t>
        </is>
      </c>
      <c r="F86" s="113" t="inlineStr">
        <is>
          <t>Slow-Braised Oxtail-Style Ragu (CK - SEASONAL base)</t>
        </is>
      </c>
      <c r="G86" s="147" t="n">
        <v>170</v>
      </c>
      <c r="H86" s="164" t="inlineStr">
        <is>
          <t>g</t>
        </is>
      </c>
      <c r="I86" s="150">
        <f>IFERROR(INDEX('04 SKU Master'!$AM$5:$AM$165,MATCH($E86,'04 SKU Master'!$A$5:$A$165,0)),IFERROR(INDEX('05 Packaging Master'!$AM$5:$AM$50,MATCH($E86,'05 Packaging Master'!$A$5:$A$50,0)),IFERROR(INDEX('09 Cost Index'!$C$5:$C$24,MATCH($E86,'09 Cost Index'!$A$5:$A$24,0)),"")))</f>
        <v/>
      </c>
      <c r="J86" s="153">
        <f>'01 Control'!$C$7</f>
        <v/>
      </c>
      <c r="K86" s="150">
        <f>IF($I86="","",$G86*$I86*(1+$J86))</f>
        <v/>
      </c>
      <c r="L86" s="177">
        <f>IF(ISNUMBER(MATCH($E86,'09 Cost Index'!$A$5:$A$24,0)),"09 Cost Index",IF(ISNUMBER(MATCH($E86,'05 Packaging Master'!$A$5:$A$46,0)),"05 Packaging Master",IF(ISNUMBER(MATCH($E86,'04 SKU Master'!$A$5:$A$165,0)),"04 SKU Master","NOT FOUND")))</f>
        <v/>
      </c>
      <c r="M86" s="178">
        <f>IFERROR(INDEX('12 Final Menu'!$U$5:$U$200,MATCH($A86,'12 Final Menu'!$A$5:$A$200,0)),0)</f>
        <v/>
      </c>
      <c r="N86" s="165">
        <f>$G86*(1+$J86)*$M86*1000</f>
        <v/>
      </c>
    </row>
    <row r="87" ht="15" customHeight="1" s="106">
      <c r="A87" s="138" t="inlineStr">
        <is>
          <t>PP-SEA-Y1W-OXTL</t>
        </is>
      </c>
      <c r="B87" s="138" t="inlineStr">
        <is>
          <t>Slow-Braised Beef (Oxtail-style) Ragu</t>
        </is>
      </c>
      <c r="C87" s="138" t="inlineStr">
        <is>
          <t>Y1 Winter - Potjie</t>
        </is>
      </c>
      <c r="D87" s="139" t="inlineStr">
        <is>
          <t>Packaging</t>
        </is>
      </c>
      <c r="E87" s="134" t="inlineStr">
        <is>
          <t>PP-PACK-TUB</t>
        </is>
      </c>
      <c r="F87" s="113" t="inlineStr">
        <is>
          <t>Takeaway pasta tub</t>
        </is>
      </c>
      <c r="G87" s="147" t="n">
        <v>1</v>
      </c>
      <c r="H87" s="164" t="inlineStr">
        <is>
          <t>ea</t>
        </is>
      </c>
      <c r="I87" s="150">
        <f>IFERROR(INDEX('04 SKU Master'!$AM$5:$AM$165,MATCH($E87,'04 SKU Master'!$A$5:$A$165,0)),IFERROR(INDEX('05 Packaging Master'!$AM$5:$AM$50,MATCH($E87,'05 Packaging Master'!$A$5:$A$50,0)),IFERROR(INDEX('09 Cost Index'!$C$5:$C$24,MATCH($E87,'09 Cost Index'!$A$5:$A$24,0)),"")))</f>
        <v/>
      </c>
      <c r="J87" s="153">
        <f>'01 Control'!$C$7</f>
        <v/>
      </c>
      <c r="K87" s="150">
        <f>IF($I87="","",$G87*$I87*(1+$J87))</f>
        <v/>
      </c>
      <c r="L87" s="177">
        <f>IF(ISNUMBER(MATCH($E87,'09 Cost Index'!$A$5:$A$24,0)),"09 Cost Index",IF(ISNUMBER(MATCH($E87,'05 Packaging Master'!$A$5:$A$46,0)),"05 Packaging Master",IF(ISNUMBER(MATCH($E87,'04 SKU Master'!$A$5:$A$165,0)),"04 SKU Master","NOT FOUND")))</f>
        <v/>
      </c>
      <c r="M87" s="178">
        <f>IFERROR(INDEX('12 Final Menu'!$U$5:$U$200,MATCH($A87,'12 Final Menu'!$A$5:$A$200,0)),0)</f>
        <v/>
      </c>
      <c r="N87" s="165">
        <f>$G87*(1+$J87)*$M87*1000</f>
        <v/>
      </c>
    </row>
    <row r="88" ht="15" customHeight="1" s="106">
      <c r="A88" s="138" t="inlineStr">
        <is>
          <t>PP-SEA-Y1W-OXTL</t>
        </is>
      </c>
      <c r="B88" s="138" t="inlineStr">
        <is>
          <t>Slow-Braised Beef (Oxtail-style) Ragu</t>
        </is>
      </c>
      <c r="C88" s="138" t="inlineStr">
        <is>
          <t>Y1 Winter - Potjie</t>
        </is>
      </c>
      <c r="D88" s="139" t="inlineStr">
        <is>
          <t>Packaging</t>
        </is>
      </c>
      <c r="E88" s="134" t="inlineStr">
        <is>
          <t>PP-PACK-LID</t>
        </is>
      </c>
      <c r="F88" s="113" t="inlineStr">
        <is>
          <t>Bowl lid</t>
        </is>
      </c>
      <c r="G88" s="147" t="n">
        <v>1</v>
      </c>
      <c r="H88" s="164" t="inlineStr">
        <is>
          <t>ea</t>
        </is>
      </c>
      <c r="I88" s="150">
        <f>IFERROR(INDEX('04 SKU Master'!$AM$5:$AM$165,MATCH($E88,'04 SKU Master'!$A$5:$A$165,0)),IFERROR(INDEX('05 Packaging Master'!$AM$5:$AM$50,MATCH($E88,'05 Packaging Master'!$A$5:$A$50,0)),IFERROR(INDEX('09 Cost Index'!$C$5:$C$24,MATCH($E88,'09 Cost Index'!$A$5:$A$24,0)),"")))</f>
        <v/>
      </c>
      <c r="J88" s="153">
        <f>'01 Control'!$C$7</f>
        <v/>
      </c>
      <c r="K88" s="150">
        <f>IF($I88="","",$G88*$I88*(1+$J88))</f>
        <v/>
      </c>
      <c r="L88" s="177">
        <f>IF(ISNUMBER(MATCH($E88,'09 Cost Index'!$A$5:$A$24,0)),"09 Cost Index",IF(ISNUMBER(MATCH($E88,'05 Packaging Master'!$A$5:$A$46,0)),"05 Packaging Master",IF(ISNUMBER(MATCH($E88,'04 SKU Master'!$A$5:$A$165,0)),"04 SKU Master","NOT FOUND")))</f>
        <v/>
      </c>
      <c r="M88" s="178">
        <f>IFERROR(INDEX('12 Final Menu'!$U$5:$U$200,MATCH($A88,'12 Final Menu'!$A$5:$A$200,0)),0)</f>
        <v/>
      </c>
      <c r="N88" s="165">
        <f>$G88*(1+$J88)*$M88*1000</f>
        <v/>
      </c>
    </row>
    <row r="89" ht="15" customHeight="1" s="106">
      <c r="A89" s="138" t="inlineStr">
        <is>
          <t>PP-SEA-Y1W-OXTL</t>
        </is>
      </c>
      <c r="B89" s="138" t="inlineStr">
        <is>
          <t>Slow-Braised Beef (Oxtail-style) Ragu</t>
        </is>
      </c>
      <c r="C89" s="138" t="inlineStr">
        <is>
          <t>Y1 Winter - Potjie</t>
        </is>
      </c>
      <c r="D89" s="139" t="inlineStr">
        <is>
          <t>Packaging</t>
        </is>
      </c>
      <c r="E89" s="134" t="inlineStr">
        <is>
          <t>PP-PACK-CUTLERY</t>
        </is>
      </c>
      <c r="F89" s="113" t="inlineStr">
        <is>
          <t>Cutlery set</t>
        </is>
      </c>
      <c r="G89" s="147" t="n">
        <v>1</v>
      </c>
      <c r="H89" s="164" t="inlineStr">
        <is>
          <t>ea</t>
        </is>
      </c>
      <c r="I89" s="150">
        <f>IFERROR(INDEX('04 SKU Master'!$AM$5:$AM$165,MATCH($E89,'04 SKU Master'!$A$5:$A$165,0)),IFERROR(INDEX('05 Packaging Master'!$AM$5:$AM$50,MATCH($E89,'05 Packaging Master'!$A$5:$A$50,0)),IFERROR(INDEX('09 Cost Index'!$C$5:$C$24,MATCH($E89,'09 Cost Index'!$A$5:$A$24,0)),"")))</f>
        <v/>
      </c>
      <c r="J89" s="153">
        <f>'01 Control'!$C$7</f>
        <v/>
      </c>
      <c r="K89" s="150">
        <f>IF($I89="","",$G89*$I89*(1+$J89))</f>
        <v/>
      </c>
      <c r="L89" s="177">
        <f>IF(ISNUMBER(MATCH($E89,'09 Cost Index'!$A$5:$A$24,0)),"09 Cost Index",IF(ISNUMBER(MATCH($E89,'05 Packaging Master'!$A$5:$A$46,0)),"05 Packaging Master",IF(ISNUMBER(MATCH($E89,'04 SKU Master'!$A$5:$A$165,0)),"04 SKU Master","NOT FOUND")))</f>
        <v/>
      </c>
      <c r="M89" s="178">
        <f>IFERROR(INDEX('12 Final Menu'!$U$5:$U$200,MATCH($A89,'12 Final Menu'!$A$5:$A$200,0)),0)</f>
        <v/>
      </c>
      <c r="N89" s="165">
        <f>$G89*(1+$J89)*$M89*1000</f>
        <v/>
      </c>
    </row>
    <row r="90" ht="15" customHeight="1" s="106">
      <c r="A90" s="138" t="inlineStr">
        <is>
          <t>PP-SEA-Y1W-OXTL</t>
        </is>
      </c>
      <c r="B90" s="138" t="inlineStr">
        <is>
          <t>Slow-Braised Beef (Oxtail-style) Ragu</t>
        </is>
      </c>
      <c r="C90" s="138" t="inlineStr">
        <is>
          <t>Y1 Winter - Potjie</t>
        </is>
      </c>
      <c r="D90" s="139" t="inlineStr">
        <is>
          <t>Packaging</t>
        </is>
      </c>
      <c r="E90" s="134" t="inlineStr">
        <is>
          <t>PP-PACK-NAPKIN</t>
        </is>
      </c>
      <c r="F90" s="113" t="inlineStr">
        <is>
          <t>Branded napkin</t>
        </is>
      </c>
      <c r="G90" s="147" t="n">
        <v>1</v>
      </c>
      <c r="H90" s="164" t="inlineStr">
        <is>
          <t>ea</t>
        </is>
      </c>
      <c r="I90" s="150">
        <f>IFERROR(INDEX('04 SKU Master'!$AM$5:$AM$165,MATCH($E90,'04 SKU Master'!$A$5:$A$165,0)),IFERROR(INDEX('05 Packaging Master'!$AM$5:$AM$50,MATCH($E90,'05 Packaging Master'!$A$5:$A$50,0)),IFERROR(INDEX('09 Cost Index'!$C$5:$C$24,MATCH($E90,'09 Cost Index'!$A$5:$A$24,0)),"")))</f>
        <v/>
      </c>
      <c r="J90" s="153">
        <f>'01 Control'!$C$7</f>
        <v/>
      </c>
      <c r="K90" s="150">
        <f>IF($I90="","",$G90*$I90*(1+$J90))</f>
        <v/>
      </c>
      <c r="L90" s="177">
        <f>IF(ISNUMBER(MATCH($E90,'09 Cost Index'!$A$5:$A$24,0)),"09 Cost Index",IF(ISNUMBER(MATCH($E90,'05 Packaging Master'!$A$5:$A$46,0)),"05 Packaging Master",IF(ISNUMBER(MATCH($E90,'04 SKU Master'!$A$5:$A$165,0)),"04 SKU Master","NOT FOUND")))</f>
        <v/>
      </c>
      <c r="M90" s="178">
        <f>IFERROR(INDEX('12 Final Menu'!$U$5:$U$200,MATCH($A90,'12 Final Menu'!$A$5:$A$200,0)),0)</f>
        <v/>
      </c>
      <c r="N90" s="165">
        <f>$G90*(1+$J90)*$M90*1000</f>
        <v/>
      </c>
    </row>
    <row r="91"/>
    <row r="92" ht="15" customHeight="1" s="106">
      <c r="A92" s="144" t="inlineStr">
        <is>
          <t>YEAR 1  |  Spring (Sep-Nov)  |  Green &amp; Gold   -&gt;   Lemon &amp; Pea Spring   |   Fusilli   |   PP-SEA-Y1P-PEA</t>
        </is>
      </c>
      <c r="B92" s="110" t="n"/>
      <c r="C92" s="110" t="n"/>
      <c r="D92" s="110" t="n"/>
      <c r="E92" s="110" t="n"/>
      <c r="F92" s="110" t="n"/>
      <c r="G92" s="110" t="n"/>
      <c r="H92" s="110" t="n"/>
      <c r="I92" s="110" t="n"/>
      <c r="J92" s="110" t="n"/>
      <c r="K92" s="110" t="n"/>
      <c r="L92" s="110" t="n"/>
      <c r="M92" s="110" t="n"/>
      <c r="N92" s="111" t="n"/>
    </row>
    <row r="93" ht="15" customHeight="1" s="106">
      <c r="A93" s="138" t="inlineStr">
        <is>
          <t>PP-SEA-Y1P-PEA</t>
        </is>
      </c>
      <c r="B93" s="138" t="inlineStr">
        <is>
          <t>Lemon &amp; Pea Spring</t>
        </is>
      </c>
      <c r="C93" s="138" t="inlineStr">
        <is>
          <t>Y1 Spring - Green &amp; Gold</t>
        </is>
      </c>
      <c r="D93" s="139" t="inlineStr">
        <is>
          <t>Pasta</t>
        </is>
      </c>
      <c r="E93" s="134" t="inlineStr">
        <is>
          <t>PP-DOUGH-CHICKPEA</t>
        </is>
      </c>
      <c r="F93" s="113" t="inlineStr">
        <is>
          <t>Chickpea Power Pro, Fusilli - dried weight</t>
        </is>
      </c>
      <c r="G93" s="147" t="n">
        <v>111</v>
      </c>
      <c r="H93" s="164" t="inlineStr">
        <is>
          <t>g</t>
        </is>
      </c>
      <c r="I93" s="150">
        <f>IFERROR(INDEX('04 SKU Master'!$AM$5:$AM$165,MATCH($E93,'04 SKU Master'!$A$5:$A$165,0)),IFERROR(INDEX('05 Packaging Master'!$AM$5:$AM$50,MATCH($E93,'05 Packaging Master'!$A$5:$A$50,0)),IFERROR(INDEX('09 Cost Index'!$C$5:$C$24,MATCH($E93,'09 Cost Index'!$A$5:$A$24,0)),"")))</f>
        <v/>
      </c>
      <c r="J93" s="153">
        <f>'01 Control'!$C$7</f>
        <v/>
      </c>
      <c r="K93" s="150">
        <f>IF($I93="","",$G93*$I93*(1+$J93))</f>
        <v/>
      </c>
      <c r="L93" s="177">
        <f>IF(ISNUMBER(MATCH($E93,'09 Cost Index'!$A$5:$A$24,0)),"09 Cost Index",IF(ISNUMBER(MATCH($E93,'05 Packaging Master'!$A$5:$A$46,0)),"05 Packaging Master",IF(ISNUMBER(MATCH($E93,'04 SKU Master'!$A$5:$A$165,0)),"04 SKU Master","NOT FOUND")))</f>
        <v/>
      </c>
      <c r="M93" s="178">
        <f>IFERROR(INDEX('12 Final Menu'!$U$5:$U$200,MATCH($A93,'12 Final Menu'!$A$5:$A$200,0)),0)</f>
        <v/>
      </c>
      <c r="N93" s="165">
        <f>$G93*(1+$J93)*$M93*1000</f>
        <v/>
      </c>
    </row>
    <row r="94" ht="15" customHeight="1" s="106">
      <c r="A94" s="138" t="inlineStr">
        <is>
          <t>PP-SEA-Y1P-PEA</t>
        </is>
      </c>
      <c r="B94" s="138" t="inlineStr">
        <is>
          <t>Lemon &amp; Pea Spring</t>
        </is>
      </c>
      <c r="C94" s="138" t="inlineStr">
        <is>
          <t>Y1 Spring - Green &amp; Gold</t>
        </is>
      </c>
      <c r="D94" s="139" t="inlineStr">
        <is>
          <t>Sauce</t>
        </is>
      </c>
      <c r="E94" s="134" t="inlineStr">
        <is>
          <t>PP-SAUCE-ALO</t>
        </is>
      </c>
      <c r="F94" s="113" t="inlineStr">
        <is>
          <t>Aglio e Olio Kit base (CK - core)</t>
        </is>
      </c>
      <c r="G94" s="147" t="n">
        <v>35</v>
      </c>
      <c r="H94" s="164" t="inlineStr">
        <is>
          <t>g</t>
        </is>
      </c>
      <c r="I94" s="150">
        <f>IFERROR(INDEX('04 SKU Master'!$AM$5:$AM$165,MATCH($E94,'04 SKU Master'!$A$5:$A$165,0)),IFERROR(INDEX('05 Packaging Master'!$AM$5:$AM$50,MATCH($E94,'05 Packaging Master'!$A$5:$A$50,0)),IFERROR(INDEX('09 Cost Index'!$C$5:$C$24,MATCH($E94,'09 Cost Index'!$A$5:$A$24,0)),"")))</f>
        <v/>
      </c>
      <c r="J94" s="153">
        <f>'01 Control'!$C$7</f>
        <v/>
      </c>
      <c r="K94" s="150">
        <f>IF($I94="","",$G94*$I94*(1+$J94))</f>
        <v/>
      </c>
      <c r="L94" s="177">
        <f>IF(ISNUMBER(MATCH($E94,'09 Cost Index'!$A$5:$A$24,0)),"09 Cost Index",IF(ISNUMBER(MATCH($E94,'05 Packaging Master'!$A$5:$A$46,0)),"05 Packaging Master",IF(ISNUMBER(MATCH($E94,'04 SKU Master'!$A$5:$A$165,0)),"04 SKU Master","NOT FOUND")))</f>
        <v/>
      </c>
      <c r="M94" s="178">
        <f>IFERROR(INDEX('12 Final Menu'!$U$5:$U$200,MATCH($A94,'12 Final Menu'!$A$5:$A$200,0)),0)</f>
        <v/>
      </c>
      <c r="N94" s="165">
        <f>$G94*(1+$J94)*$M94*1000</f>
        <v/>
      </c>
    </row>
    <row r="95" ht="15" customHeight="1" s="106">
      <c r="A95" s="138" t="inlineStr">
        <is>
          <t>PP-SEA-Y1P-PEA</t>
        </is>
      </c>
      <c r="B95" s="138" t="inlineStr">
        <is>
          <t>Lemon &amp; Pea Spring</t>
        </is>
      </c>
      <c r="C95" s="138" t="inlineStr">
        <is>
          <t>Y1 Spring - Green &amp; Gold</t>
        </is>
      </c>
      <c r="D95" s="139" t="inlineStr">
        <is>
          <t>Ingredient</t>
        </is>
      </c>
      <c r="E95" s="134" t="inlineStr">
        <is>
          <t>PP-VEG-PEAS</t>
        </is>
      </c>
      <c r="F95" s="113" t="inlineStr">
        <is>
          <t>Peas</t>
        </is>
      </c>
      <c r="G95" s="147" t="n">
        <v>70</v>
      </c>
      <c r="H95" s="164" t="inlineStr">
        <is>
          <t>g</t>
        </is>
      </c>
      <c r="I95" s="150">
        <f>IFERROR(INDEX('04 SKU Master'!$AM$5:$AM$165,MATCH($E95,'04 SKU Master'!$A$5:$A$165,0)),IFERROR(INDEX('05 Packaging Master'!$AM$5:$AM$50,MATCH($E95,'05 Packaging Master'!$A$5:$A$50,0)),IFERROR(INDEX('09 Cost Index'!$C$5:$C$24,MATCH($E95,'09 Cost Index'!$A$5:$A$24,0)),"")))</f>
        <v/>
      </c>
      <c r="J95" s="153">
        <f>'01 Control'!$C$7</f>
        <v/>
      </c>
      <c r="K95" s="150">
        <f>IF($I95="","",$G95*$I95*(1+$J95))</f>
        <v/>
      </c>
      <c r="L95" s="177">
        <f>IF(ISNUMBER(MATCH($E95,'09 Cost Index'!$A$5:$A$24,0)),"09 Cost Index",IF(ISNUMBER(MATCH($E95,'05 Packaging Master'!$A$5:$A$46,0)),"05 Packaging Master",IF(ISNUMBER(MATCH($E95,'04 SKU Master'!$A$5:$A$165,0)),"04 SKU Master","NOT FOUND")))</f>
        <v/>
      </c>
      <c r="M95" s="178">
        <f>IFERROR(INDEX('12 Final Menu'!$U$5:$U$200,MATCH($A95,'12 Final Menu'!$A$5:$A$200,0)),0)</f>
        <v/>
      </c>
      <c r="N95" s="165">
        <f>$G95*(1+$J95)*$M95*1000</f>
        <v/>
      </c>
    </row>
    <row r="96" ht="15" customHeight="1" s="106">
      <c r="A96" s="138" t="inlineStr">
        <is>
          <t>PP-SEA-Y1P-PEA</t>
        </is>
      </c>
      <c r="B96" s="138" t="inlineStr">
        <is>
          <t>Lemon &amp; Pea Spring</t>
        </is>
      </c>
      <c r="C96" s="138" t="inlineStr">
        <is>
          <t>Y1 Spring - Green &amp; Gold</t>
        </is>
      </c>
      <c r="D96" s="139" t="inlineStr">
        <is>
          <t>Ingredient</t>
        </is>
      </c>
      <c r="E96" s="134" t="inlineStr">
        <is>
          <t>PP-VEG-LEMON</t>
        </is>
      </c>
      <c r="F96" s="113" t="inlineStr">
        <is>
          <t>Lemon</t>
        </is>
      </c>
      <c r="G96" s="147" t="n">
        <v>12</v>
      </c>
      <c r="H96" s="164" t="inlineStr">
        <is>
          <t>g</t>
        </is>
      </c>
      <c r="I96" s="150">
        <f>IFERROR(INDEX('04 SKU Master'!$AM$5:$AM$165,MATCH($E96,'04 SKU Master'!$A$5:$A$165,0)),IFERROR(INDEX('05 Packaging Master'!$AM$5:$AM$50,MATCH($E96,'05 Packaging Master'!$A$5:$A$50,0)),IFERROR(INDEX('09 Cost Index'!$C$5:$C$24,MATCH($E96,'09 Cost Index'!$A$5:$A$24,0)),"")))</f>
        <v/>
      </c>
      <c r="J96" s="153">
        <f>'01 Control'!$C$7</f>
        <v/>
      </c>
      <c r="K96" s="150">
        <f>IF($I96="","",$G96*$I96*(1+$J96))</f>
        <v/>
      </c>
      <c r="L96" s="177">
        <f>IF(ISNUMBER(MATCH($E96,'09 Cost Index'!$A$5:$A$24,0)),"09 Cost Index",IF(ISNUMBER(MATCH($E96,'05 Packaging Master'!$A$5:$A$46,0)),"05 Packaging Master",IF(ISNUMBER(MATCH($E96,'04 SKU Master'!$A$5:$A$165,0)),"04 SKU Master","NOT FOUND")))</f>
        <v/>
      </c>
      <c r="M96" s="178">
        <f>IFERROR(INDEX('12 Final Menu'!$U$5:$U$200,MATCH($A96,'12 Final Menu'!$A$5:$A$200,0)),0)</f>
        <v/>
      </c>
      <c r="N96" s="165">
        <f>$G96*(1+$J96)*$M96*1000</f>
        <v/>
      </c>
    </row>
    <row r="97" ht="15" customHeight="1" s="106">
      <c r="A97" s="138" t="inlineStr">
        <is>
          <t>PP-SEA-Y1P-PEA</t>
        </is>
      </c>
      <c r="B97" s="138" t="inlineStr">
        <is>
          <t>Lemon &amp; Pea Spring</t>
        </is>
      </c>
      <c r="C97" s="138" t="inlineStr">
        <is>
          <t>Y1 Spring - Green &amp; Gold</t>
        </is>
      </c>
      <c r="D97" s="139" t="inlineStr">
        <is>
          <t>Packaging</t>
        </is>
      </c>
      <c r="E97" s="134" t="inlineStr">
        <is>
          <t>PP-PACK-TUB</t>
        </is>
      </c>
      <c r="F97" s="113" t="inlineStr">
        <is>
          <t>Takeaway pasta tub</t>
        </is>
      </c>
      <c r="G97" s="147" t="n">
        <v>1</v>
      </c>
      <c r="H97" s="164" t="inlineStr">
        <is>
          <t>ea</t>
        </is>
      </c>
      <c r="I97" s="150">
        <f>IFERROR(INDEX('04 SKU Master'!$AM$5:$AM$165,MATCH($E97,'04 SKU Master'!$A$5:$A$165,0)),IFERROR(INDEX('05 Packaging Master'!$AM$5:$AM$50,MATCH($E97,'05 Packaging Master'!$A$5:$A$50,0)),IFERROR(INDEX('09 Cost Index'!$C$5:$C$24,MATCH($E97,'09 Cost Index'!$A$5:$A$24,0)),"")))</f>
        <v/>
      </c>
      <c r="J97" s="153">
        <f>'01 Control'!$C$7</f>
        <v/>
      </c>
      <c r="K97" s="150">
        <f>IF($I97="","",$G97*$I97*(1+$J97))</f>
        <v/>
      </c>
      <c r="L97" s="177">
        <f>IF(ISNUMBER(MATCH($E97,'09 Cost Index'!$A$5:$A$24,0)),"09 Cost Index",IF(ISNUMBER(MATCH($E97,'05 Packaging Master'!$A$5:$A$46,0)),"05 Packaging Master",IF(ISNUMBER(MATCH($E97,'04 SKU Master'!$A$5:$A$165,0)),"04 SKU Master","NOT FOUND")))</f>
        <v/>
      </c>
      <c r="M97" s="178">
        <f>IFERROR(INDEX('12 Final Menu'!$U$5:$U$200,MATCH($A97,'12 Final Menu'!$A$5:$A$200,0)),0)</f>
        <v/>
      </c>
      <c r="N97" s="165">
        <f>$G97*(1+$J97)*$M97*1000</f>
        <v/>
      </c>
    </row>
    <row r="98" ht="15" customHeight="1" s="106">
      <c r="A98" s="138" t="inlineStr">
        <is>
          <t>PP-SEA-Y1P-PEA</t>
        </is>
      </c>
      <c r="B98" s="138" t="inlineStr">
        <is>
          <t>Lemon &amp; Pea Spring</t>
        </is>
      </c>
      <c r="C98" s="138" t="inlineStr">
        <is>
          <t>Y1 Spring - Green &amp; Gold</t>
        </is>
      </c>
      <c r="D98" s="139" t="inlineStr">
        <is>
          <t>Packaging</t>
        </is>
      </c>
      <c r="E98" s="134" t="inlineStr">
        <is>
          <t>PP-PACK-LID</t>
        </is>
      </c>
      <c r="F98" s="113" t="inlineStr">
        <is>
          <t>Bowl lid</t>
        </is>
      </c>
      <c r="G98" s="147" t="n">
        <v>1</v>
      </c>
      <c r="H98" s="164" t="inlineStr">
        <is>
          <t>ea</t>
        </is>
      </c>
      <c r="I98" s="150">
        <f>IFERROR(INDEX('04 SKU Master'!$AM$5:$AM$165,MATCH($E98,'04 SKU Master'!$A$5:$A$165,0)),IFERROR(INDEX('05 Packaging Master'!$AM$5:$AM$50,MATCH($E98,'05 Packaging Master'!$A$5:$A$50,0)),IFERROR(INDEX('09 Cost Index'!$C$5:$C$24,MATCH($E98,'09 Cost Index'!$A$5:$A$24,0)),"")))</f>
        <v/>
      </c>
      <c r="J98" s="153">
        <f>'01 Control'!$C$7</f>
        <v/>
      </c>
      <c r="K98" s="150">
        <f>IF($I98="","",$G98*$I98*(1+$J98))</f>
        <v/>
      </c>
      <c r="L98" s="177">
        <f>IF(ISNUMBER(MATCH($E98,'09 Cost Index'!$A$5:$A$24,0)),"09 Cost Index",IF(ISNUMBER(MATCH($E98,'05 Packaging Master'!$A$5:$A$46,0)),"05 Packaging Master",IF(ISNUMBER(MATCH($E98,'04 SKU Master'!$A$5:$A$165,0)),"04 SKU Master","NOT FOUND")))</f>
        <v/>
      </c>
      <c r="M98" s="178">
        <f>IFERROR(INDEX('12 Final Menu'!$U$5:$U$200,MATCH($A98,'12 Final Menu'!$A$5:$A$200,0)),0)</f>
        <v/>
      </c>
      <c r="N98" s="165">
        <f>$G98*(1+$J98)*$M98*1000</f>
        <v/>
      </c>
    </row>
    <row r="99" ht="15" customHeight="1" s="106">
      <c r="A99" s="138" t="inlineStr">
        <is>
          <t>PP-SEA-Y1P-PEA</t>
        </is>
      </c>
      <c r="B99" s="138" t="inlineStr">
        <is>
          <t>Lemon &amp; Pea Spring</t>
        </is>
      </c>
      <c r="C99" s="138" t="inlineStr">
        <is>
          <t>Y1 Spring - Green &amp; Gold</t>
        </is>
      </c>
      <c r="D99" s="139" t="inlineStr">
        <is>
          <t>Packaging</t>
        </is>
      </c>
      <c r="E99" s="134" t="inlineStr">
        <is>
          <t>PP-PACK-CUTLERY</t>
        </is>
      </c>
      <c r="F99" s="113" t="inlineStr">
        <is>
          <t>Cutlery set</t>
        </is>
      </c>
      <c r="G99" s="147" t="n">
        <v>1</v>
      </c>
      <c r="H99" s="164" t="inlineStr">
        <is>
          <t>ea</t>
        </is>
      </c>
      <c r="I99" s="150">
        <f>IFERROR(INDEX('04 SKU Master'!$AM$5:$AM$165,MATCH($E99,'04 SKU Master'!$A$5:$A$165,0)),IFERROR(INDEX('05 Packaging Master'!$AM$5:$AM$50,MATCH($E99,'05 Packaging Master'!$A$5:$A$50,0)),IFERROR(INDEX('09 Cost Index'!$C$5:$C$24,MATCH($E99,'09 Cost Index'!$A$5:$A$24,0)),"")))</f>
        <v/>
      </c>
      <c r="J99" s="153">
        <f>'01 Control'!$C$7</f>
        <v/>
      </c>
      <c r="K99" s="150">
        <f>IF($I99="","",$G99*$I99*(1+$J99))</f>
        <v/>
      </c>
      <c r="L99" s="177">
        <f>IF(ISNUMBER(MATCH($E99,'09 Cost Index'!$A$5:$A$24,0)),"09 Cost Index",IF(ISNUMBER(MATCH($E99,'05 Packaging Master'!$A$5:$A$46,0)),"05 Packaging Master",IF(ISNUMBER(MATCH($E99,'04 SKU Master'!$A$5:$A$165,0)),"04 SKU Master","NOT FOUND")))</f>
        <v/>
      </c>
      <c r="M99" s="178">
        <f>IFERROR(INDEX('12 Final Menu'!$U$5:$U$200,MATCH($A99,'12 Final Menu'!$A$5:$A$200,0)),0)</f>
        <v/>
      </c>
      <c r="N99" s="165">
        <f>$G99*(1+$J99)*$M99*1000</f>
        <v/>
      </c>
    </row>
    <row r="100" ht="15" customHeight="1" s="106">
      <c r="A100" s="138" t="inlineStr">
        <is>
          <t>PP-SEA-Y1P-PEA</t>
        </is>
      </c>
      <c r="B100" s="138" t="inlineStr">
        <is>
          <t>Lemon &amp; Pea Spring</t>
        </is>
      </c>
      <c r="C100" s="138" t="inlineStr">
        <is>
          <t>Y1 Spring - Green &amp; Gold</t>
        </is>
      </c>
      <c r="D100" s="139" t="inlineStr">
        <is>
          <t>Packaging</t>
        </is>
      </c>
      <c r="E100" s="134" t="inlineStr">
        <is>
          <t>PP-PACK-NAPKIN</t>
        </is>
      </c>
      <c r="F100" s="113" t="inlineStr">
        <is>
          <t>Branded napkin</t>
        </is>
      </c>
      <c r="G100" s="147" t="n">
        <v>1</v>
      </c>
      <c r="H100" s="164" t="inlineStr">
        <is>
          <t>ea</t>
        </is>
      </c>
      <c r="I100" s="150">
        <f>IFERROR(INDEX('04 SKU Master'!$AM$5:$AM$165,MATCH($E100,'04 SKU Master'!$A$5:$A$165,0)),IFERROR(INDEX('05 Packaging Master'!$AM$5:$AM$50,MATCH($E100,'05 Packaging Master'!$A$5:$A$50,0)),IFERROR(INDEX('09 Cost Index'!$C$5:$C$24,MATCH($E100,'09 Cost Index'!$A$5:$A$24,0)),"")))</f>
        <v/>
      </c>
      <c r="J100" s="153">
        <f>'01 Control'!$C$7</f>
        <v/>
      </c>
      <c r="K100" s="150">
        <f>IF($I100="","",$G100*$I100*(1+$J100))</f>
        <v/>
      </c>
      <c r="L100" s="177">
        <f>IF(ISNUMBER(MATCH($E100,'09 Cost Index'!$A$5:$A$24,0)),"09 Cost Index",IF(ISNUMBER(MATCH($E100,'05 Packaging Master'!$A$5:$A$46,0)),"05 Packaging Master",IF(ISNUMBER(MATCH($E100,'04 SKU Master'!$A$5:$A$165,0)),"04 SKU Master","NOT FOUND")))</f>
        <v/>
      </c>
      <c r="M100" s="178">
        <f>IFERROR(INDEX('12 Final Menu'!$U$5:$U$200,MATCH($A100,'12 Final Menu'!$A$5:$A$200,0)),0)</f>
        <v/>
      </c>
      <c r="N100" s="165">
        <f>$G100*(1+$J100)*$M100*1000</f>
        <v/>
      </c>
    </row>
    <row r="101"/>
    <row r="102" ht="15" customHeight="1" s="106">
      <c r="A102" s="144" t="inlineStr">
        <is>
          <t>YEAR 1  |  Spring (Sep-Nov)  |  Green &amp; Gold   -&gt;   Pesto &amp; Grilled Beef   |   Casarecce   |   PP-SEA-Y1P-PEST</t>
        </is>
      </c>
      <c r="B102" s="110" t="n"/>
      <c r="C102" s="110" t="n"/>
      <c r="D102" s="110" t="n"/>
      <c r="E102" s="110" t="n"/>
      <c r="F102" s="110" t="n"/>
      <c r="G102" s="110" t="n"/>
      <c r="H102" s="110" t="n"/>
      <c r="I102" s="110" t="n"/>
      <c r="J102" s="110" t="n"/>
      <c r="K102" s="110" t="n"/>
      <c r="L102" s="110" t="n"/>
      <c r="M102" s="110" t="n"/>
      <c r="N102" s="111" t="n"/>
    </row>
    <row r="103" ht="15" customHeight="1" s="106">
      <c r="A103" s="138" t="inlineStr">
        <is>
          <t>PP-SEA-Y1P-PEST</t>
        </is>
      </c>
      <c r="B103" s="138" t="inlineStr">
        <is>
          <t>Pesto &amp; Grilled Beef</t>
        </is>
      </c>
      <c r="C103" s="138" t="inlineStr">
        <is>
          <t>Y1 Spring - Green &amp; Gold</t>
        </is>
      </c>
      <c r="D103" s="139" t="inlineStr">
        <is>
          <t>Pasta</t>
        </is>
      </c>
      <c r="E103" s="134" t="inlineStr">
        <is>
          <t>PP-DOUGH-PROTEIN</t>
        </is>
      </c>
      <c r="F103" s="113" t="inlineStr">
        <is>
          <t>Protein+ Pro, Casarecce - dried weight</t>
        </is>
      </c>
      <c r="G103" s="147" t="n">
        <v>111</v>
      </c>
      <c r="H103" s="164" t="inlineStr">
        <is>
          <t>g</t>
        </is>
      </c>
      <c r="I103" s="150">
        <f>IFERROR(INDEX('04 SKU Master'!$AM$5:$AM$165,MATCH($E103,'04 SKU Master'!$A$5:$A$165,0)),IFERROR(INDEX('05 Packaging Master'!$AM$5:$AM$50,MATCH($E103,'05 Packaging Master'!$A$5:$A$50,0)),IFERROR(INDEX('09 Cost Index'!$C$5:$C$24,MATCH($E103,'09 Cost Index'!$A$5:$A$24,0)),"")))</f>
        <v/>
      </c>
      <c r="J103" s="153">
        <f>'01 Control'!$C$7</f>
        <v/>
      </c>
      <c r="K103" s="150">
        <f>IF($I103="","",$G103*$I103*(1+$J103))</f>
        <v/>
      </c>
      <c r="L103" s="177">
        <f>IF(ISNUMBER(MATCH($E103,'09 Cost Index'!$A$5:$A$24,0)),"09 Cost Index",IF(ISNUMBER(MATCH($E103,'05 Packaging Master'!$A$5:$A$46,0)),"05 Packaging Master",IF(ISNUMBER(MATCH($E103,'04 SKU Master'!$A$5:$A$165,0)),"04 SKU Master","NOT FOUND")))</f>
        <v/>
      </c>
      <c r="M103" s="178">
        <f>IFERROR(INDEX('12 Final Menu'!$U$5:$U$200,MATCH($A103,'12 Final Menu'!$A$5:$A$200,0)),0)</f>
        <v/>
      </c>
      <c r="N103" s="165">
        <f>$G103*(1+$J103)*$M103*1000</f>
        <v/>
      </c>
    </row>
    <row r="104" ht="15" customHeight="1" s="106">
      <c r="A104" s="138" t="inlineStr">
        <is>
          <t>PP-SEA-Y1P-PEST</t>
        </is>
      </c>
      <c r="B104" s="138" t="inlineStr">
        <is>
          <t>Pesto &amp; Grilled Beef</t>
        </is>
      </c>
      <c r="C104" s="138" t="inlineStr">
        <is>
          <t>Y1 Spring - Green &amp; Gold</t>
        </is>
      </c>
      <c r="D104" s="139" t="inlineStr">
        <is>
          <t>Sauce</t>
        </is>
      </c>
      <c r="E104" s="134" t="inlineStr">
        <is>
          <t>PP-SAUCE-PES</t>
        </is>
      </c>
      <c r="F104" s="113" t="inlineStr">
        <is>
          <t>Basil Pesto base (CK - core)</t>
        </is>
      </c>
      <c r="G104" s="147" t="n">
        <v>70</v>
      </c>
      <c r="H104" s="164" t="inlineStr">
        <is>
          <t>g</t>
        </is>
      </c>
      <c r="I104" s="150">
        <f>IFERROR(INDEX('04 SKU Master'!$AM$5:$AM$165,MATCH($E104,'04 SKU Master'!$A$5:$A$165,0)),IFERROR(INDEX('05 Packaging Master'!$AM$5:$AM$50,MATCH($E104,'05 Packaging Master'!$A$5:$A$50,0)),IFERROR(INDEX('09 Cost Index'!$C$5:$C$24,MATCH($E104,'09 Cost Index'!$A$5:$A$24,0)),"")))</f>
        <v/>
      </c>
      <c r="J104" s="153">
        <f>'01 Control'!$C$7</f>
        <v/>
      </c>
      <c r="K104" s="150">
        <f>IF($I104="","",$G104*$I104*(1+$J104))</f>
        <v/>
      </c>
      <c r="L104" s="177">
        <f>IF(ISNUMBER(MATCH($E104,'09 Cost Index'!$A$5:$A$24,0)),"09 Cost Index",IF(ISNUMBER(MATCH($E104,'05 Packaging Master'!$A$5:$A$46,0)),"05 Packaging Master",IF(ISNUMBER(MATCH($E104,'04 SKU Master'!$A$5:$A$165,0)),"04 SKU Master","NOT FOUND")))</f>
        <v/>
      </c>
      <c r="M104" s="178">
        <f>IFERROR(INDEX('12 Final Menu'!$U$5:$U$200,MATCH($A104,'12 Final Menu'!$A$5:$A$200,0)),0)</f>
        <v/>
      </c>
      <c r="N104" s="165">
        <f>$G104*(1+$J104)*$M104*1000</f>
        <v/>
      </c>
    </row>
    <row r="105" ht="15" customHeight="1" s="106">
      <c r="A105" s="138" t="inlineStr">
        <is>
          <t>PP-SEA-Y1P-PEST</t>
        </is>
      </c>
      <c r="B105" s="138" t="inlineStr">
        <is>
          <t>Pesto &amp; Grilled Beef</t>
        </is>
      </c>
      <c r="C105" s="138" t="inlineStr">
        <is>
          <t>Y1 Spring - Green &amp; Gold</t>
        </is>
      </c>
      <c r="D105" s="139" t="inlineStr">
        <is>
          <t>Protein</t>
        </is>
      </c>
      <c r="E105" s="134" t="inlineStr">
        <is>
          <t>PP-BEEF-SEASONED</t>
        </is>
      </c>
      <c r="F105" s="113" t="inlineStr">
        <is>
          <t>Grilled beef</t>
        </is>
      </c>
      <c r="G105" s="147" t="n">
        <v>100</v>
      </c>
      <c r="H105" s="164" t="inlineStr">
        <is>
          <t>g</t>
        </is>
      </c>
      <c r="I105" s="150">
        <f>IFERROR(INDEX('04 SKU Master'!$AM$5:$AM$165,MATCH($E105,'04 SKU Master'!$A$5:$A$165,0)),IFERROR(INDEX('05 Packaging Master'!$AM$5:$AM$50,MATCH($E105,'05 Packaging Master'!$A$5:$A$50,0)),IFERROR(INDEX('09 Cost Index'!$C$5:$C$24,MATCH($E105,'09 Cost Index'!$A$5:$A$24,0)),"")))</f>
        <v/>
      </c>
      <c r="J105" s="153">
        <f>'01 Control'!$C$7</f>
        <v/>
      </c>
      <c r="K105" s="150">
        <f>IF($I105="","",$G105*$I105*(1+$J105))</f>
        <v/>
      </c>
      <c r="L105" s="177">
        <f>IF(ISNUMBER(MATCH($E105,'09 Cost Index'!$A$5:$A$24,0)),"09 Cost Index",IF(ISNUMBER(MATCH($E105,'05 Packaging Master'!$A$5:$A$46,0)),"05 Packaging Master",IF(ISNUMBER(MATCH($E105,'04 SKU Master'!$A$5:$A$165,0)),"04 SKU Master","NOT FOUND")))</f>
        <v/>
      </c>
      <c r="M105" s="178">
        <f>IFERROR(INDEX('12 Final Menu'!$U$5:$U$200,MATCH($A105,'12 Final Menu'!$A$5:$A$200,0)),0)</f>
        <v/>
      </c>
      <c r="N105" s="165">
        <f>$G105*(1+$J105)*$M105*1000</f>
        <v/>
      </c>
    </row>
    <row r="106" ht="15" customHeight="1" s="106">
      <c r="A106" s="138" t="inlineStr">
        <is>
          <t>PP-SEA-Y1P-PEST</t>
        </is>
      </c>
      <c r="B106" s="138" t="inlineStr">
        <is>
          <t>Pesto &amp; Grilled Beef</t>
        </is>
      </c>
      <c r="C106" s="138" t="inlineStr">
        <is>
          <t>Y1 Spring - Green &amp; Gold</t>
        </is>
      </c>
      <c r="D106" s="139" t="inlineStr">
        <is>
          <t>Packaging</t>
        </is>
      </c>
      <c r="E106" s="134" t="inlineStr">
        <is>
          <t>PP-PACK-TUB</t>
        </is>
      </c>
      <c r="F106" s="113" t="inlineStr">
        <is>
          <t>Takeaway pasta tub</t>
        </is>
      </c>
      <c r="G106" s="147" t="n">
        <v>1</v>
      </c>
      <c r="H106" s="164" t="inlineStr">
        <is>
          <t>ea</t>
        </is>
      </c>
      <c r="I106" s="150">
        <f>IFERROR(INDEX('04 SKU Master'!$AM$5:$AM$165,MATCH($E106,'04 SKU Master'!$A$5:$A$165,0)),IFERROR(INDEX('05 Packaging Master'!$AM$5:$AM$50,MATCH($E106,'05 Packaging Master'!$A$5:$A$50,0)),IFERROR(INDEX('09 Cost Index'!$C$5:$C$24,MATCH($E106,'09 Cost Index'!$A$5:$A$24,0)),"")))</f>
        <v/>
      </c>
      <c r="J106" s="153">
        <f>'01 Control'!$C$7</f>
        <v/>
      </c>
      <c r="K106" s="150">
        <f>IF($I106="","",$G106*$I106*(1+$J106))</f>
        <v/>
      </c>
      <c r="L106" s="177">
        <f>IF(ISNUMBER(MATCH($E106,'09 Cost Index'!$A$5:$A$24,0)),"09 Cost Index",IF(ISNUMBER(MATCH($E106,'05 Packaging Master'!$A$5:$A$46,0)),"05 Packaging Master",IF(ISNUMBER(MATCH($E106,'04 SKU Master'!$A$5:$A$165,0)),"04 SKU Master","NOT FOUND")))</f>
        <v/>
      </c>
      <c r="M106" s="178">
        <f>IFERROR(INDEX('12 Final Menu'!$U$5:$U$200,MATCH($A106,'12 Final Menu'!$A$5:$A$200,0)),0)</f>
        <v/>
      </c>
      <c r="N106" s="165">
        <f>$G106*(1+$J106)*$M106*1000</f>
        <v/>
      </c>
    </row>
    <row r="107" ht="15" customHeight="1" s="106">
      <c r="A107" s="138" t="inlineStr">
        <is>
          <t>PP-SEA-Y1P-PEST</t>
        </is>
      </c>
      <c r="B107" s="138" t="inlineStr">
        <is>
          <t>Pesto &amp; Grilled Beef</t>
        </is>
      </c>
      <c r="C107" s="138" t="inlineStr">
        <is>
          <t>Y1 Spring - Green &amp; Gold</t>
        </is>
      </c>
      <c r="D107" s="139" t="inlineStr">
        <is>
          <t>Packaging</t>
        </is>
      </c>
      <c r="E107" s="134" t="inlineStr">
        <is>
          <t>PP-PACK-LID</t>
        </is>
      </c>
      <c r="F107" s="113" t="inlineStr">
        <is>
          <t>Bowl lid</t>
        </is>
      </c>
      <c r="G107" s="147" t="n">
        <v>1</v>
      </c>
      <c r="H107" s="164" t="inlineStr">
        <is>
          <t>ea</t>
        </is>
      </c>
      <c r="I107" s="150">
        <f>IFERROR(INDEX('04 SKU Master'!$AM$5:$AM$165,MATCH($E107,'04 SKU Master'!$A$5:$A$165,0)),IFERROR(INDEX('05 Packaging Master'!$AM$5:$AM$50,MATCH($E107,'05 Packaging Master'!$A$5:$A$50,0)),IFERROR(INDEX('09 Cost Index'!$C$5:$C$24,MATCH($E107,'09 Cost Index'!$A$5:$A$24,0)),"")))</f>
        <v/>
      </c>
      <c r="J107" s="153">
        <f>'01 Control'!$C$7</f>
        <v/>
      </c>
      <c r="K107" s="150">
        <f>IF($I107="","",$G107*$I107*(1+$J107))</f>
        <v/>
      </c>
      <c r="L107" s="177">
        <f>IF(ISNUMBER(MATCH($E107,'09 Cost Index'!$A$5:$A$24,0)),"09 Cost Index",IF(ISNUMBER(MATCH($E107,'05 Packaging Master'!$A$5:$A$46,0)),"05 Packaging Master",IF(ISNUMBER(MATCH($E107,'04 SKU Master'!$A$5:$A$165,0)),"04 SKU Master","NOT FOUND")))</f>
        <v/>
      </c>
      <c r="M107" s="178">
        <f>IFERROR(INDEX('12 Final Menu'!$U$5:$U$200,MATCH($A107,'12 Final Menu'!$A$5:$A$200,0)),0)</f>
        <v/>
      </c>
      <c r="N107" s="165">
        <f>$G107*(1+$J107)*$M107*1000</f>
        <v/>
      </c>
    </row>
    <row r="108" ht="15" customHeight="1" s="106">
      <c r="A108" s="138" t="inlineStr">
        <is>
          <t>PP-SEA-Y1P-PEST</t>
        </is>
      </c>
      <c r="B108" s="138" t="inlineStr">
        <is>
          <t>Pesto &amp; Grilled Beef</t>
        </is>
      </c>
      <c r="C108" s="138" t="inlineStr">
        <is>
          <t>Y1 Spring - Green &amp; Gold</t>
        </is>
      </c>
      <c r="D108" s="139" t="inlineStr">
        <is>
          <t>Packaging</t>
        </is>
      </c>
      <c r="E108" s="134" t="inlineStr">
        <is>
          <t>PP-PACK-CUTLERY</t>
        </is>
      </c>
      <c r="F108" s="113" t="inlineStr">
        <is>
          <t>Cutlery set</t>
        </is>
      </c>
      <c r="G108" s="147" t="n">
        <v>1</v>
      </c>
      <c r="H108" s="164" t="inlineStr">
        <is>
          <t>ea</t>
        </is>
      </c>
      <c r="I108" s="150">
        <f>IFERROR(INDEX('04 SKU Master'!$AM$5:$AM$165,MATCH($E108,'04 SKU Master'!$A$5:$A$165,0)),IFERROR(INDEX('05 Packaging Master'!$AM$5:$AM$50,MATCH($E108,'05 Packaging Master'!$A$5:$A$50,0)),IFERROR(INDEX('09 Cost Index'!$C$5:$C$24,MATCH($E108,'09 Cost Index'!$A$5:$A$24,0)),"")))</f>
        <v/>
      </c>
      <c r="J108" s="153">
        <f>'01 Control'!$C$7</f>
        <v/>
      </c>
      <c r="K108" s="150">
        <f>IF($I108="","",$G108*$I108*(1+$J108))</f>
        <v/>
      </c>
      <c r="L108" s="177">
        <f>IF(ISNUMBER(MATCH($E108,'09 Cost Index'!$A$5:$A$24,0)),"09 Cost Index",IF(ISNUMBER(MATCH($E108,'05 Packaging Master'!$A$5:$A$46,0)),"05 Packaging Master",IF(ISNUMBER(MATCH($E108,'04 SKU Master'!$A$5:$A$165,0)),"04 SKU Master","NOT FOUND")))</f>
        <v/>
      </c>
      <c r="M108" s="178">
        <f>IFERROR(INDEX('12 Final Menu'!$U$5:$U$200,MATCH($A108,'12 Final Menu'!$A$5:$A$200,0)),0)</f>
        <v/>
      </c>
      <c r="N108" s="165">
        <f>$G108*(1+$J108)*$M108*1000</f>
        <v/>
      </c>
    </row>
    <row r="109" ht="15" customHeight="1" s="106">
      <c r="A109" s="138" t="inlineStr">
        <is>
          <t>PP-SEA-Y1P-PEST</t>
        </is>
      </c>
      <c r="B109" s="138" t="inlineStr">
        <is>
          <t>Pesto &amp; Grilled Beef</t>
        </is>
      </c>
      <c r="C109" s="138" t="inlineStr">
        <is>
          <t>Y1 Spring - Green &amp; Gold</t>
        </is>
      </c>
      <c r="D109" s="139" t="inlineStr">
        <is>
          <t>Packaging</t>
        </is>
      </c>
      <c r="E109" s="134" t="inlineStr">
        <is>
          <t>PP-PACK-NAPKIN</t>
        </is>
      </c>
      <c r="F109" s="113" t="inlineStr">
        <is>
          <t>Branded napkin</t>
        </is>
      </c>
      <c r="G109" s="147" t="n">
        <v>1</v>
      </c>
      <c r="H109" s="164" t="inlineStr">
        <is>
          <t>ea</t>
        </is>
      </c>
      <c r="I109" s="150">
        <f>IFERROR(INDEX('04 SKU Master'!$AM$5:$AM$165,MATCH($E109,'04 SKU Master'!$A$5:$A$165,0)),IFERROR(INDEX('05 Packaging Master'!$AM$5:$AM$50,MATCH($E109,'05 Packaging Master'!$A$5:$A$50,0)),IFERROR(INDEX('09 Cost Index'!$C$5:$C$24,MATCH($E109,'09 Cost Index'!$A$5:$A$24,0)),"")))</f>
        <v/>
      </c>
      <c r="J109" s="153">
        <f>'01 Control'!$C$7</f>
        <v/>
      </c>
      <c r="K109" s="150">
        <f>IF($I109="","",$G109*$I109*(1+$J109))</f>
        <v/>
      </c>
      <c r="L109" s="177">
        <f>IF(ISNUMBER(MATCH($E109,'09 Cost Index'!$A$5:$A$24,0)),"09 Cost Index",IF(ISNUMBER(MATCH($E109,'05 Packaging Master'!$A$5:$A$46,0)),"05 Packaging Master",IF(ISNUMBER(MATCH($E109,'04 SKU Master'!$A$5:$A$165,0)),"04 SKU Master","NOT FOUND")))</f>
        <v/>
      </c>
      <c r="M109" s="178">
        <f>IFERROR(INDEX('12 Final Menu'!$U$5:$U$200,MATCH($A109,'12 Final Menu'!$A$5:$A$200,0)),0)</f>
        <v/>
      </c>
      <c r="N109" s="165">
        <f>$G109*(1+$J109)*$M109*1000</f>
        <v/>
      </c>
    </row>
    <row r="110"/>
    <row r="111" ht="15" customHeight="1" s="106">
      <c r="A111" s="144" t="inlineStr">
        <is>
          <t>YEAR 1  |  Spring (Sep-Nov)  |  Green &amp; Gold   -&gt;   Chakalaka Arrabbiata   |   Casarecce   |   PP-SEA-Y1P-CHAK</t>
        </is>
      </c>
      <c r="B111" s="110" t="n"/>
      <c r="C111" s="110" t="n"/>
      <c r="D111" s="110" t="n"/>
      <c r="E111" s="110" t="n"/>
      <c r="F111" s="110" t="n"/>
      <c r="G111" s="110" t="n"/>
      <c r="H111" s="110" t="n"/>
      <c r="I111" s="110" t="n"/>
      <c r="J111" s="110" t="n"/>
      <c r="K111" s="110" t="n"/>
      <c r="L111" s="110" t="n"/>
      <c r="M111" s="110" t="n"/>
      <c r="N111" s="111" t="n"/>
    </row>
    <row r="112" ht="15" customHeight="1" s="106">
      <c r="A112" s="138" t="inlineStr">
        <is>
          <t>PP-SEA-Y1P-CHAK</t>
        </is>
      </c>
      <c r="B112" s="138" t="inlineStr">
        <is>
          <t>Chakalaka Arrabbiata</t>
        </is>
      </c>
      <c r="C112" s="138" t="inlineStr">
        <is>
          <t>Y1 Spring - Green &amp; Gold</t>
        </is>
      </c>
      <c r="D112" s="139" t="inlineStr">
        <is>
          <t>Pasta</t>
        </is>
      </c>
      <c r="E112" s="134" t="inlineStr">
        <is>
          <t>PP-DOUGH-BOKGAT</t>
        </is>
      </c>
      <c r="F112" s="113" t="inlineStr">
        <is>
          <t>Bokgat Base, Casarecce - dried weight</t>
        </is>
      </c>
      <c r="G112" s="147" t="n">
        <v>111</v>
      </c>
      <c r="H112" s="164" t="inlineStr">
        <is>
          <t>g</t>
        </is>
      </c>
      <c r="I112" s="150">
        <f>IFERROR(INDEX('04 SKU Master'!$AM$5:$AM$165,MATCH($E112,'04 SKU Master'!$A$5:$A$165,0)),IFERROR(INDEX('05 Packaging Master'!$AM$5:$AM$50,MATCH($E112,'05 Packaging Master'!$A$5:$A$50,0)),IFERROR(INDEX('09 Cost Index'!$C$5:$C$24,MATCH($E112,'09 Cost Index'!$A$5:$A$24,0)),"")))</f>
        <v/>
      </c>
      <c r="J112" s="153">
        <f>'01 Control'!$C$7</f>
        <v/>
      </c>
      <c r="K112" s="150">
        <f>IF($I112="","",$G112*$I112*(1+$J112))</f>
        <v/>
      </c>
      <c r="L112" s="177">
        <f>IF(ISNUMBER(MATCH($E112,'09 Cost Index'!$A$5:$A$24,0)),"09 Cost Index",IF(ISNUMBER(MATCH($E112,'05 Packaging Master'!$A$5:$A$46,0)),"05 Packaging Master",IF(ISNUMBER(MATCH($E112,'04 SKU Master'!$A$5:$A$165,0)),"04 SKU Master","NOT FOUND")))</f>
        <v/>
      </c>
      <c r="M112" s="178">
        <f>IFERROR(INDEX('12 Final Menu'!$U$5:$U$200,MATCH($A112,'12 Final Menu'!$A$5:$A$200,0)),0)</f>
        <v/>
      </c>
      <c r="N112" s="165">
        <f>$G112*(1+$J112)*$M112*1000</f>
        <v/>
      </c>
    </row>
    <row r="113" ht="15" customHeight="1" s="106">
      <c r="A113" s="138" t="inlineStr">
        <is>
          <t>PP-SEA-Y1P-CHAK</t>
        </is>
      </c>
      <c r="B113" s="138" t="inlineStr">
        <is>
          <t>Chakalaka Arrabbiata</t>
        </is>
      </c>
      <c r="C113" s="138" t="inlineStr">
        <is>
          <t>Y1 Spring - Green &amp; Gold</t>
        </is>
      </c>
      <c r="D113" s="139" t="inlineStr">
        <is>
          <t>Sauce</t>
        </is>
      </c>
      <c r="E113" s="134" t="inlineStr">
        <is>
          <t>PP-SAUCE-ARR</t>
        </is>
      </c>
      <c r="F113" s="113" t="inlineStr">
        <is>
          <t>Arrabbiata base (CK - core)</t>
        </is>
      </c>
      <c r="G113" s="147" t="n">
        <v>150</v>
      </c>
      <c r="H113" s="164" t="inlineStr">
        <is>
          <t>g</t>
        </is>
      </c>
      <c r="I113" s="150">
        <f>IFERROR(INDEX('04 SKU Master'!$AM$5:$AM$165,MATCH($E113,'04 SKU Master'!$A$5:$A$165,0)),IFERROR(INDEX('05 Packaging Master'!$AM$5:$AM$50,MATCH($E113,'05 Packaging Master'!$A$5:$A$50,0)),IFERROR(INDEX('09 Cost Index'!$C$5:$C$24,MATCH($E113,'09 Cost Index'!$A$5:$A$24,0)),"")))</f>
        <v/>
      </c>
      <c r="J113" s="153">
        <f>'01 Control'!$C$7</f>
        <v/>
      </c>
      <c r="K113" s="150">
        <f>IF($I113="","",$G113*$I113*(1+$J113))</f>
        <v/>
      </c>
      <c r="L113" s="177">
        <f>IF(ISNUMBER(MATCH($E113,'09 Cost Index'!$A$5:$A$24,0)),"09 Cost Index",IF(ISNUMBER(MATCH($E113,'05 Packaging Master'!$A$5:$A$46,0)),"05 Packaging Master",IF(ISNUMBER(MATCH($E113,'04 SKU Master'!$A$5:$A$165,0)),"04 SKU Master","NOT FOUND")))</f>
        <v/>
      </c>
      <c r="M113" s="178">
        <f>IFERROR(INDEX('12 Final Menu'!$U$5:$U$200,MATCH($A113,'12 Final Menu'!$A$5:$A$200,0)),0)</f>
        <v/>
      </c>
      <c r="N113" s="165">
        <f>$G113*(1+$J113)*$M113*1000</f>
        <v/>
      </c>
    </row>
    <row r="114" ht="15" customHeight="1" s="106">
      <c r="A114" s="138" t="inlineStr">
        <is>
          <t>PP-SEA-Y1P-CHAK</t>
        </is>
      </c>
      <c r="B114" s="138" t="inlineStr">
        <is>
          <t>Chakalaka Arrabbiata</t>
        </is>
      </c>
      <c r="C114" s="138" t="inlineStr">
        <is>
          <t>Y1 Spring - Green &amp; Gold</t>
        </is>
      </c>
      <c r="D114" s="139" t="inlineStr">
        <is>
          <t>Sauce</t>
        </is>
      </c>
      <c r="E114" s="134" t="inlineStr">
        <is>
          <t>PP-SEASAUCE-CHAKALAKA</t>
        </is>
      </c>
      <c r="F114" s="113" t="inlineStr">
        <is>
          <t>Chakalaka Relish Base (CK - SEASONAL base)</t>
        </is>
      </c>
      <c r="G114" s="147" t="n">
        <v>45</v>
      </c>
      <c r="H114" s="164" t="inlineStr">
        <is>
          <t>g</t>
        </is>
      </c>
      <c r="I114" s="150">
        <f>IFERROR(INDEX('04 SKU Master'!$AM$5:$AM$165,MATCH($E114,'04 SKU Master'!$A$5:$A$165,0)),IFERROR(INDEX('05 Packaging Master'!$AM$5:$AM$50,MATCH($E114,'05 Packaging Master'!$A$5:$A$50,0)),IFERROR(INDEX('09 Cost Index'!$C$5:$C$24,MATCH($E114,'09 Cost Index'!$A$5:$A$24,0)),"")))</f>
        <v/>
      </c>
      <c r="J114" s="153">
        <f>'01 Control'!$C$7</f>
        <v/>
      </c>
      <c r="K114" s="150">
        <f>IF($I114="","",$G114*$I114*(1+$J114))</f>
        <v/>
      </c>
      <c r="L114" s="177">
        <f>IF(ISNUMBER(MATCH($E114,'09 Cost Index'!$A$5:$A$24,0)),"09 Cost Index",IF(ISNUMBER(MATCH($E114,'05 Packaging Master'!$A$5:$A$46,0)),"05 Packaging Master",IF(ISNUMBER(MATCH($E114,'04 SKU Master'!$A$5:$A$165,0)),"04 SKU Master","NOT FOUND")))</f>
        <v/>
      </c>
      <c r="M114" s="178">
        <f>IFERROR(INDEX('12 Final Menu'!$U$5:$U$200,MATCH($A114,'12 Final Menu'!$A$5:$A$200,0)),0)</f>
        <v/>
      </c>
      <c r="N114" s="165">
        <f>$G114*(1+$J114)*$M114*1000</f>
        <v/>
      </c>
    </row>
    <row r="115" ht="15" customHeight="1" s="106">
      <c r="A115" s="138" t="inlineStr">
        <is>
          <t>PP-SEA-Y1P-CHAK</t>
        </is>
      </c>
      <c r="B115" s="138" t="inlineStr">
        <is>
          <t>Chakalaka Arrabbiata</t>
        </is>
      </c>
      <c r="C115" s="138" t="inlineStr">
        <is>
          <t>Y1 Spring - Green &amp; Gold</t>
        </is>
      </c>
      <c r="D115" s="139" t="inlineStr">
        <is>
          <t>Packaging</t>
        </is>
      </c>
      <c r="E115" s="134" t="inlineStr">
        <is>
          <t>PP-PACK-TUB</t>
        </is>
      </c>
      <c r="F115" s="113" t="inlineStr">
        <is>
          <t>Takeaway pasta tub</t>
        </is>
      </c>
      <c r="G115" s="147" t="n">
        <v>1</v>
      </c>
      <c r="H115" s="164" t="inlineStr">
        <is>
          <t>ea</t>
        </is>
      </c>
      <c r="I115" s="150">
        <f>IFERROR(INDEX('04 SKU Master'!$AM$5:$AM$165,MATCH($E115,'04 SKU Master'!$A$5:$A$165,0)),IFERROR(INDEX('05 Packaging Master'!$AM$5:$AM$50,MATCH($E115,'05 Packaging Master'!$A$5:$A$50,0)),IFERROR(INDEX('09 Cost Index'!$C$5:$C$24,MATCH($E115,'09 Cost Index'!$A$5:$A$24,0)),"")))</f>
        <v/>
      </c>
      <c r="J115" s="153">
        <f>'01 Control'!$C$7</f>
        <v/>
      </c>
      <c r="K115" s="150">
        <f>IF($I115="","",$G115*$I115*(1+$J115))</f>
        <v/>
      </c>
      <c r="L115" s="177">
        <f>IF(ISNUMBER(MATCH($E115,'09 Cost Index'!$A$5:$A$24,0)),"09 Cost Index",IF(ISNUMBER(MATCH($E115,'05 Packaging Master'!$A$5:$A$46,0)),"05 Packaging Master",IF(ISNUMBER(MATCH($E115,'04 SKU Master'!$A$5:$A$165,0)),"04 SKU Master","NOT FOUND")))</f>
        <v/>
      </c>
      <c r="M115" s="178">
        <f>IFERROR(INDEX('12 Final Menu'!$U$5:$U$200,MATCH($A115,'12 Final Menu'!$A$5:$A$200,0)),0)</f>
        <v/>
      </c>
      <c r="N115" s="165">
        <f>$G115*(1+$J115)*$M115*1000</f>
        <v/>
      </c>
    </row>
    <row r="116" ht="15" customHeight="1" s="106">
      <c r="A116" s="138" t="inlineStr">
        <is>
          <t>PP-SEA-Y1P-CHAK</t>
        </is>
      </c>
      <c r="B116" s="138" t="inlineStr">
        <is>
          <t>Chakalaka Arrabbiata</t>
        </is>
      </c>
      <c r="C116" s="138" t="inlineStr">
        <is>
          <t>Y1 Spring - Green &amp; Gold</t>
        </is>
      </c>
      <c r="D116" s="139" t="inlineStr">
        <is>
          <t>Packaging</t>
        </is>
      </c>
      <c r="E116" s="134" t="inlineStr">
        <is>
          <t>PP-PACK-LID</t>
        </is>
      </c>
      <c r="F116" s="113" t="inlineStr">
        <is>
          <t>Bowl lid</t>
        </is>
      </c>
      <c r="G116" s="147" t="n">
        <v>1</v>
      </c>
      <c r="H116" s="164" t="inlineStr">
        <is>
          <t>ea</t>
        </is>
      </c>
      <c r="I116" s="150">
        <f>IFERROR(INDEX('04 SKU Master'!$AM$5:$AM$165,MATCH($E116,'04 SKU Master'!$A$5:$A$165,0)),IFERROR(INDEX('05 Packaging Master'!$AM$5:$AM$50,MATCH($E116,'05 Packaging Master'!$A$5:$A$50,0)),IFERROR(INDEX('09 Cost Index'!$C$5:$C$24,MATCH($E116,'09 Cost Index'!$A$5:$A$24,0)),"")))</f>
        <v/>
      </c>
      <c r="J116" s="153">
        <f>'01 Control'!$C$7</f>
        <v/>
      </c>
      <c r="K116" s="150">
        <f>IF($I116="","",$G116*$I116*(1+$J116))</f>
        <v/>
      </c>
      <c r="L116" s="177">
        <f>IF(ISNUMBER(MATCH($E116,'09 Cost Index'!$A$5:$A$24,0)),"09 Cost Index",IF(ISNUMBER(MATCH($E116,'05 Packaging Master'!$A$5:$A$46,0)),"05 Packaging Master",IF(ISNUMBER(MATCH($E116,'04 SKU Master'!$A$5:$A$165,0)),"04 SKU Master","NOT FOUND")))</f>
        <v/>
      </c>
      <c r="M116" s="178">
        <f>IFERROR(INDEX('12 Final Menu'!$U$5:$U$200,MATCH($A116,'12 Final Menu'!$A$5:$A$200,0)),0)</f>
        <v/>
      </c>
      <c r="N116" s="165">
        <f>$G116*(1+$J116)*$M116*1000</f>
        <v/>
      </c>
    </row>
    <row r="117" ht="15" customHeight="1" s="106">
      <c r="A117" s="138" t="inlineStr">
        <is>
          <t>PP-SEA-Y1P-CHAK</t>
        </is>
      </c>
      <c r="B117" s="138" t="inlineStr">
        <is>
          <t>Chakalaka Arrabbiata</t>
        </is>
      </c>
      <c r="C117" s="138" t="inlineStr">
        <is>
          <t>Y1 Spring - Green &amp; Gold</t>
        </is>
      </c>
      <c r="D117" s="139" t="inlineStr">
        <is>
          <t>Packaging</t>
        </is>
      </c>
      <c r="E117" s="134" t="inlineStr">
        <is>
          <t>PP-PACK-CUTLERY</t>
        </is>
      </c>
      <c r="F117" s="113" t="inlineStr">
        <is>
          <t>Cutlery set</t>
        </is>
      </c>
      <c r="G117" s="147" t="n">
        <v>1</v>
      </c>
      <c r="H117" s="164" t="inlineStr">
        <is>
          <t>ea</t>
        </is>
      </c>
      <c r="I117" s="150">
        <f>IFERROR(INDEX('04 SKU Master'!$AM$5:$AM$165,MATCH($E117,'04 SKU Master'!$A$5:$A$165,0)),IFERROR(INDEX('05 Packaging Master'!$AM$5:$AM$50,MATCH($E117,'05 Packaging Master'!$A$5:$A$50,0)),IFERROR(INDEX('09 Cost Index'!$C$5:$C$24,MATCH($E117,'09 Cost Index'!$A$5:$A$24,0)),"")))</f>
        <v/>
      </c>
      <c r="J117" s="153">
        <f>'01 Control'!$C$7</f>
        <v/>
      </c>
      <c r="K117" s="150">
        <f>IF($I117="","",$G117*$I117*(1+$J117))</f>
        <v/>
      </c>
      <c r="L117" s="177">
        <f>IF(ISNUMBER(MATCH($E117,'09 Cost Index'!$A$5:$A$24,0)),"09 Cost Index",IF(ISNUMBER(MATCH($E117,'05 Packaging Master'!$A$5:$A$46,0)),"05 Packaging Master",IF(ISNUMBER(MATCH($E117,'04 SKU Master'!$A$5:$A$165,0)),"04 SKU Master","NOT FOUND")))</f>
        <v/>
      </c>
      <c r="M117" s="178">
        <f>IFERROR(INDEX('12 Final Menu'!$U$5:$U$200,MATCH($A117,'12 Final Menu'!$A$5:$A$200,0)),0)</f>
        <v/>
      </c>
      <c r="N117" s="165">
        <f>$G117*(1+$J117)*$M117*1000</f>
        <v/>
      </c>
    </row>
    <row r="118" ht="15" customHeight="1" s="106">
      <c r="A118" s="138" t="inlineStr">
        <is>
          <t>PP-SEA-Y1P-CHAK</t>
        </is>
      </c>
      <c r="B118" s="138" t="inlineStr">
        <is>
          <t>Chakalaka Arrabbiata</t>
        </is>
      </c>
      <c r="C118" s="138" t="inlineStr">
        <is>
          <t>Y1 Spring - Green &amp; Gold</t>
        </is>
      </c>
      <c r="D118" s="139" t="inlineStr">
        <is>
          <t>Packaging</t>
        </is>
      </c>
      <c r="E118" s="134" t="inlineStr">
        <is>
          <t>PP-PACK-NAPKIN</t>
        </is>
      </c>
      <c r="F118" s="113" t="inlineStr">
        <is>
          <t>Branded napkin</t>
        </is>
      </c>
      <c r="G118" s="147" t="n">
        <v>1</v>
      </c>
      <c r="H118" s="164" t="inlineStr">
        <is>
          <t>ea</t>
        </is>
      </c>
      <c r="I118" s="150">
        <f>IFERROR(INDEX('04 SKU Master'!$AM$5:$AM$165,MATCH($E118,'04 SKU Master'!$A$5:$A$165,0)),IFERROR(INDEX('05 Packaging Master'!$AM$5:$AM$50,MATCH($E118,'05 Packaging Master'!$A$5:$A$50,0)),IFERROR(INDEX('09 Cost Index'!$C$5:$C$24,MATCH($E118,'09 Cost Index'!$A$5:$A$24,0)),"")))</f>
        <v/>
      </c>
      <c r="J118" s="153">
        <f>'01 Control'!$C$7</f>
        <v/>
      </c>
      <c r="K118" s="150">
        <f>IF($I118="","",$G118*$I118*(1+$J118))</f>
        <v/>
      </c>
      <c r="L118" s="177">
        <f>IF(ISNUMBER(MATCH($E118,'09 Cost Index'!$A$5:$A$24,0)),"09 Cost Index",IF(ISNUMBER(MATCH($E118,'05 Packaging Master'!$A$5:$A$46,0)),"05 Packaging Master",IF(ISNUMBER(MATCH($E118,'04 SKU Master'!$A$5:$A$165,0)),"04 SKU Master","NOT FOUND")))</f>
        <v/>
      </c>
      <c r="M118" s="178">
        <f>IFERROR(INDEX('12 Final Menu'!$U$5:$U$200,MATCH($A118,'12 Final Menu'!$A$5:$A$200,0)),0)</f>
        <v/>
      </c>
      <c r="N118" s="165">
        <f>$G118*(1+$J118)*$M118*1000</f>
        <v/>
      </c>
    </row>
    <row r="119"/>
    <row r="120" ht="15" customHeight="1" s="106">
      <c r="A120" s="144" t="inlineStr">
        <is>
          <t>YEAR 2  |  Summer (Dec-Feb)  |  The Coast   -&gt;   Mozambican Peri-Peri Prawn   |   Spaghetti   |   PP-SEA-Y2S-PRWN</t>
        </is>
      </c>
      <c r="B120" s="110" t="n"/>
      <c r="C120" s="110" t="n"/>
      <c r="D120" s="110" t="n"/>
      <c r="E120" s="110" t="n"/>
      <c r="F120" s="110" t="n"/>
      <c r="G120" s="110" t="n"/>
      <c r="H120" s="110" t="n"/>
      <c r="I120" s="110" t="n"/>
      <c r="J120" s="110" t="n"/>
      <c r="K120" s="110" t="n"/>
      <c r="L120" s="110" t="n"/>
      <c r="M120" s="110" t="n"/>
      <c r="N120" s="111" t="n"/>
    </row>
    <row r="121" ht="15" customHeight="1" s="106">
      <c r="A121" s="138" t="inlineStr">
        <is>
          <t>PP-SEA-Y2S-PRWN</t>
        </is>
      </c>
      <c r="B121" s="138" t="inlineStr">
        <is>
          <t>Mozambican Peri-Peri Prawn</t>
        </is>
      </c>
      <c r="C121" s="138" t="inlineStr">
        <is>
          <t>Y2 Summer - The Coast</t>
        </is>
      </c>
      <c r="D121" s="139" t="inlineStr">
        <is>
          <t>Pasta</t>
        </is>
      </c>
      <c r="E121" s="134" t="inlineStr">
        <is>
          <t>PP-DOUGH-BOKGAT</t>
        </is>
      </c>
      <c r="F121" s="113" t="inlineStr">
        <is>
          <t>Bokgat Base, Spaghetti - dried weight</t>
        </is>
      </c>
      <c r="G121" s="147" t="n">
        <v>111</v>
      </c>
      <c r="H121" s="164" t="inlineStr">
        <is>
          <t>g</t>
        </is>
      </c>
      <c r="I121" s="150">
        <f>IFERROR(INDEX('04 SKU Master'!$AM$5:$AM$165,MATCH($E121,'04 SKU Master'!$A$5:$A$165,0)),IFERROR(INDEX('05 Packaging Master'!$AM$5:$AM$50,MATCH($E121,'05 Packaging Master'!$A$5:$A$50,0)),IFERROR(INDEX('09 Cost Index'!$C$5:$C$24,MATCH($E121,'09 Cost Index'!$A$5:$A$24,0)),"")))</f>
        <v/>
      </c>
      <c r="J121" s="153">
        <f>'01 Control'!$C$7</f>
        <v/>
      </c>
      <c r="K121" s="150">
        <f>IF($I121="","",$G121*$I121*(1+$J121))</f>
        <v/>
      </c>
      <c r="L121" s="177">
        <f>IF(ISNUMBER(MATCH($E121,'09 Cost Index'!$A$5:$A$24,0)),"09 Cost Index",IF(ISNUMBER(MATCH($E121,'05 Packaging Master'!$A$5:$A$46,0)),"05 Packaging Master",IF(ISNUMBER(MATCH($E121,'04 SKU Master'!$A$5:$A$165,0)),"04 SKU Master","NOT FOUND")))</f>
        <v/>
      </c>
      <c r="M121" s="178">
        <f>IFERROR(INDEX('12 Final Menu'!$U$5:$U$200,MATCH($A121,'12 Final Menu'!$A$5:$A$200,0)),0)</f>
        <v/>
      </c>
      <c r="N121" s="165">
        <f>$G121*(1+$J121)*$M121*1000</f>
        <v/>
      </c>
    </row>
    <row r="122" ht="15" customHeight="1" s="106">
      <c r="A122" s="138" t="inlineStr">
        <is>
          <t>PP-SEA-Y2S-PRWN</t>
        </is>
      </c>
      <c r="B122" s="138" t="inlineStr">
        <is>
          <t>Mozambican Peri-Peri Prawn</t>
        </is>
      </c>
      <c r="C122" s="138" t="inlineStr">
        <is>
          <t>Y2 Summer - The Coast</t>
        </is>
      </c>
      <c r="D122" s="139" t="inlineStr">
        <is>
          <t>Sauce</t>
        </is>
      </c>
      <c r="E122" s="134" t="inlineStr">
        <is>
          <t>PP-SAUCE-ALO</t>
        </is>
      </c>
      <c r="F122" s="113" t="inlineStr">
        <is>
          <t>Aglio e Olio Kit base (CK - core)</t>
        </is>
      </c>
      <c r="G122" s="147" t="n">
        <v>35</v>
      </c>
      <c r="H122" s="164" t="inlineStr">
        <is>
          <t>g</t>
        </is>
      </c>
      <c r="I122" s="150">
        <f>IFERROR(INDEX('04 SKU Master'!$AM$5:$AM$165,MATCH($E122,'04 SKU Master'!$A$5:$A$165,0)),IFERROR(INDEX('05 Packaging Master'!$AM$5:$AM$50,MATCH($E122,'05 Packaging Master'!$A$5:$A$50,0)),IFERROR(INDEX('09 Cost Index'!$C$5:$C$24,MATCH($E122,'09 Cost Index'!$A$5:$A$24,0)),"")))</f>
        <v/>
      </c>
      <c r="J122" s="153">
        <f>'01 Control'!$C$7</f>
        <v/>
      </c>
      <c r="K122" s="150">
        <f>IF($I122="","",$G122*$I122*(1+$J122))</f>
        <v/>
      </c>
      <c r="L122" s="177">
        <f>IF(ISNUMBER(MATCH($E122,'09 Cost Index'!$A$5:$A$24,0)),"09 Cost Index",IF(ISNUMBER(MATCH($E122,'05 Packaging Master'!$A$5:$A$46,0)),"05 Packaging Master",IF(ISNUMBER(MATCH($E122,'04 SKU Master'!$A$5:$A$165,0)),"04 SKU Master","NOT FOUND")))</f>
        <v/>
      </c>
      <c r="M122" s="178">
        <f>IFERROR(INDEX('12 Final Menu'!$U$5:$U$200,MATCH($A122,'12 Final Menu'!$A$5:$A$200,0)),0)</f>
        <v/>
      </c>
      <c r="N122" s="165">
        <f>$G122*(1+$J122)*$M122*1000</f>
        <v/>
      </c>
    </row>
    <row r="123" ht="15" customHeight="1" s="106">
      <c r="A123" s="138" t="inlineStr">
        <is>
          <t>PP-SEA-Y2S-PRWN</t>
        </is>
      </c>
      <c r="B123" s="138" t="inlineStr">
        <is>
          <t>Mozambican Peri-Peri Prawn</t>
        </is>
      </c>
      <c r="C123" s="138" t="inlineStr">
        <is>
          <t>Y2 Summer - The Coast</t>
        </is>
      </c>
      <c r="D123" s="139" t="inlineStr">
        <is>
          <t>Protein</t>
        </is>
      </c>
      <c r="E123" s="134" t="inlineStr">
        <is>
          <t>PP-PRAWN</t>
        </is>
      </c>
      <c r="F123" s="113" t="inlineStr">
        <is>
          <t>Prawns (halaal LTO)</t>
        </is>
      </c>
      <c r="G123" s="147" t="n">
        <v>85</v>
      </c>
      <c r="H123" s="164" t="inlineStr">
        <is>
          <t>g</t>
        </is>
      </c>
      <c r="I123" s="150">
        <f>IFERROR(INDEX('04 SKU Master'!$AM$5:$AM$165,MATCH($E123,'04 SKU Master'!$A$5:$A$165,0)),IFERROR(INDEX('05 Packaging Master'!$AM$5:$AM$50,MATCH($E123,'05 Packaging Master'!$A$5:$A$50,0)),IFERROR(INDEX('09 Cost Index'!$C$5:$C$24,MATCH($E123,'09 Cost Index'!$A$5:$A$24,0)),"")))</f>
        <v/>
      </c>
      <c r="J123" s="153">
        <f>'01 Control'!$C$7</f>
        <v/>
      </c>
      <c r="K123" s="150">
        <f>IF($I123="","",$G123*$I123*(1+$J123))</f>
        <v/>
      </c>
      <c r="L123" s="177">
        <f>IF(ISNUMBER(MATCH($E123,'09 Cost Index'!$A$5:$A$24,0)),"09 Cost Index",IF(ISNUMBER(MATCH($E123,'05 Packaging Master'!$A$5:$A$46,0)),"05 Packaging Master",IF(ISNUMBER(MATCH($E123,'04 SKU Master'!$A$5:$A$165,0)),"04 SKU Master","NOT FOUND")))</f>
        <v/>
      </c>
      <c r="M123" s="178">
        <f>IFERROR(INDEX('12 Final Menu'!$U$5:$U$200,MATCH($A123,'12 Final Menu'!$A$5:$A$200,0)),0)</f>
        <v/>
      </c>
      <c r="N123" s="165">
        <f>$G123*(1+$J123)*$M123*1000</f>
        <v/>
      </c>
    </row>
    <row r="124" ht="15" customHeight="1" s="106">
      <c r="A124" s="138" t="inlineStr">
        <is>
          <t>PP-SEA-Y2S-PRWN</t>
        </is>
      </c>
      <c r="B124" s="138" t="inlineStr">
        <is>
          <t>Mozambican Peri-Peri Prawn</t>
        </is>
      </c>
      <c r="C124" s="138" t="inlineStr">
        <is>
          <t>Y2 Summer - The Coast</t>
        </is>
      </c>
      <c r="D124" s="139" t="inlineStr">
        <is>
          <t>Ingredient</t>
        </is>
      </c>
      <c r="E124" s="134" t="inlineStr">
        <is>
          <t>PP-SPICE-PERIPERI</t>
        </is>
      </c>
      <c r="F124" s="113" t="inlineStr">
        <is>
          <t>LM-style peri-peri</t>
        </is>
      </c>
      <c r="G124" s="147" t="n">
        <v>10</v>
      </c>
      <c r="H124" s="164" t="inlineStr">
        <is>
          <t>g</t>
        </is>
      </c>
      <c r="I124" s="150">
        <f>IFERROR(INDEX('04 SKU Master'!$AM$5:$AM$165,MATCH($E124,'04 SKU Master'!$A$5:$A$165,0)),IFERROR(INDEX('05 Packaging Master'!$AM$5:$AM$50,MATCH($E124,'05 Packaging Master'!$A$5:$A$50,0)),IFERROR(INDEX('09 Cost Index'!$C$5:$C$24,MATCH($E124,'09 Cost Index'!$A$5:$A$24,0)),"")))</f>
        <v/>
      </c>
      <c r="J124" s="153">
        <f>'01 Control'!$C$7</f>
        <v/>
      </c>
      <c r="K124" s="150">
        <f>IF($I124="","",$G124*$I124*(1+$J124))</f>
        <v/>
      </c>
      <c r="L124" s="177">
        <f>IF(ISNUMBER(MATCH($E124,'09 Cost Index'!$A$5:$A$24,0)),"09 Cost Index",IF(ISNUMBER(MATCH($E124,'05 Packaging Master'!$A$5:$A$46,0)),"05 Packaging Master",IF(ISNUMBER(MATCH($E124,'04 SKU Master'!$A$5:$A$165,0)),"04 SKU Master","NOT FOUND")))</f>
        <v/>
      </c>
      <c r="M124" s="178">
        <f>IFERROR(INDEX('12 Final Menu'!$U$5:$U$200,MATCH($A124,'12 Final Menu'!$A$5:$A$200,0)),0)</f>
        <v/>
      </c>
      <c r="N124" s="165">
        <f>$G124*(1+$J124)*$M124*1000</f>
        <v/>
      </c>
    </row>
    <row r="125" ht="15" customHeight="1" s="106">
      <c r="A125" s="138" t="inlineStr">
        <is>
          <t>PP-SEA-Y2S-PRWN</t>
        </is>
      </c>
      <c r="B125" s="138" t="inlineStr">
        <is>
          <t>Mozambican Peri-Peri Prawn</t>
        </is>
      </c>
      <c r="C125" s="138" t="inlineStr">
        <is>
          <t>Y2 Summer - The Coast</t>
        </is>
      </c>
      <c r="D125" s="139" t="inlineStr">
        <is>
          <t>Packaging</t>
        </is>
      </c>
      <c r="E125" s="134" t="inlineStr">
        <is>
          <t>PP-PACK-TUB</t>
        </is>
      </c>
      <c r="F125" s="113" t="inlineStr">
        <is>
          <t>Takeaway pasta tub</t>
        </is>
      </c>
      <c r="G125" s="147" t="n">
        <v>1</v>
      </c>
      <c r="H125" s="164" t="inlineStr">
        <is>
          <t>ea</t>
        </is>
      </c>
      <c r="I125" s="150">
        <f>IFERROR(INDEX('04 SKU Master'!$AM$5:$AM$165,MATCH($E125,'04 SKU Master'!$A$5:$A$165,0)),IFERROR(INDEX('05 Packaging Master'!$AM$5:$AM$50,MATCH($E125,'05 Packaging Master'!$A$5:$A$50,0)),IFERROR(INDEX('09 Cost Index'!$C$5:$C$24,MATCH($E125,'09 Cost Index'!$A$5:$A$24,0)),"")))</f>
        <v/>
      </c>
      <c r="J125" s="153">
        <f>'01 Control'!$C$7</f>
        <v/>
      </c>
      <c r="K125" s="150">
        <f>IF($I125="","",$G125*$I125*(1+$J125))</f>
        <v/>
      </c>
      <c r="L125" s="177">
        <f>IF(ISNUMBER(MATCH($E125,'09 Cost Index'!$A$5:$A$24,0)),"09 Cost Index",IF(ISNUMBER(MATCH($E125,'05 Packaging Master'!$A$5:$A$46,0)),"05 Packaging Master",IF(ISNUMBER(MATCH($E125,'04 SKU Master'!$A$5:$A$165,0)),"04 SKU Master","NOT FOUND")))</f>
        <v/>
      </c>
      <c r="M125" s="178">
        <f>IFERROR(INDEX('12 Final Menu'!$U$5:$U$200,MATCH($A125,'12 Final Menu'!$A$5:$A$200,0)),0)</f>
        <v/>
      </c>
      <c r="N125" s="165">
        <f>$G125*(1+$J125)*$M125*1000</f>
        <v/>
      </c>
    </row>
    <row r="126" ht="15" customHeight="1" s="106">
      <c r="A126" s="138" t="inlineStr">
        <is>
          <t>PP-SEA-Y2S-PRWN</t>
        </is>
      </c>
      <c r="B126" s="138" t="inlineStr">
        <is>
          <t>Mozambican Peri-Peri Prawn</t>
        </is>
      </c>
      <c r="C126" s="138" t="inlineStr">
        <is>
          <t>Y2 Summer - The Coast</t>
        </is>
      </c>
      <c r="D126" s="139" t="inlineStr">
        <is>
          <t>Packaging</t>
        </is>
      </c>
      <c r="E126" s="134" t="inlineStr">
        <is>
          <t>PP-PACK-LID</t>
        </is>
      </c>
      <c r="F126" s="113" t="inlineStr">
        <is>
          <t>Bowl lid</t>
        </is>
      </c>
      <c r="G126" s="147" t="n">
        <v>1</v>
      </c>
      <c r="H126" s="164" t="inlineStr">
        <is>
          <t>ea</t>
        </is>
      </c>
      <c r="I126" s="150">
        <f>IFERROR(INDEX('04 SKU Master'!$AM$5:$AM$165,MATCH($E126,'04 SKU Master'!$A$5:$A$165,0)),IFERROR(INDEX('05 Packaging Master'!$AM$5:$AM$50,MATCH($E126,'05 Packaging Master'!$A$5:$A$50,0)),IFERROR(INDEX('09 Cost Index'!$C$5:$C$24,MATCH($E126,'09 Cost Index'!$A$5:$A$24,0)),"")))</f>
        <v/>
      </c>
      <c r="J126" s="153">
        <f>'01 Control'!$C$7</f>
        <v/>
      </c>
      <c r="K126" s="150">
        <f>IF($I126="","",$G126*$I126*(1+$J126))</f>
        <v/>
      </c>
      <c r="L126" s="177">
        <f>IF(ISNUMBER(MATCH($E126,'09 Cost Index'!$A$5:$A$24,0)),"09 Cost Index",IF(ISNUMBER(MATCH($E126,'05 Packaging Master'!$A$5:$A$46,0)),"05 Packaging Master",IF(ISNUMBER(MATCH($E126,'04 SKU Master'!$A$5:$A$165,0)),"04 SKU Master","NOT FOUND")))</f>
        <v/>
      </c>
      <c r="M126" s="178">
        <f>IFERROR(INDEX('12 Final Menu'!$U$5:$U$200,MATCH($A126,'12 Final Menu'!$A$5:$A$200,0)),0)</f>
        <v/>
      </c>
      <c r="N126" s="165">
        <f>$G126*(1+$J126)*$M126*1000</f>
        <v/>
      </c>
    </row>
    <row r="127" ht="15" customHeight="1" s="106">
      <c r="A127" s="138" t="inlineStr">
        <is>
          <t>PP-SEA-Y2S-PRWN</t>
        </is>
      </c>
      <c r="B127" s="138" t="inlineStr">
        <is>
          <t>Mozambican Peri-Peri Prawn</t>
        </is>
      </c>
      <c r="C127" s="138" t="inlineStr">
        <is>
          <t>Y2 Summer - The Coast</t>
        </is>
      </c>
      <c r="D127" s="139" t="inlineStr">
        <is>
          <t>Packaging</t>
        </is>
      </c>
      <c r="E127" s="134" t="inlineStr">
        <is>
          <t>PP-PACK-CUTLERY</t>
        </is>
      </c>
      <c r="F127" s="113" t="inlineStr">
        <is>
          <t>Cutlery set</t>
        </is>
      </c>
      <c r="G127" s="147" t="n">
        <v>1</v>
      </c>
      <c r="H127" s="164" t="inlineStr">
        <is>
          <t>ea</t>
        </is>
      </c>
      <c r="I127" s="150">
        <f>IFERROR(INDEX('04 SKU Master'!$AM$5:$AM$165,MATCH($E127,'04 SKU Master'!$A$5:$A$165,0)),IFERROR(INDEX('05 Packaging Master'!$AM$5:$AM$50,MATCH($E127,'05 Packaging Master'!$A$5:$A$50,0)),IFERROR(INDEX('09 Cost Index'!$C$5:$C$24,MATCH($E127,'09 Cost Index'!$A$5:$A$24,0)),"")))</f>
        <v/>
      </c>
      <c r="J127" s="153">
        <f>'01 Control'!$C$7</f>
        <v/>
      </c>
      <c r="K127" s="150">
        <f>IF($I127="","",$G127*$I127*(1+$J127))</f>
        <v/>
      </c>
      <c r="L127" s="177">
        <f>IF(ISNUMBER(MATCH($E127,'09 Cost Index'!$A$5:$A$24,0)),"09 Cost Index",IF(ISNUMBER(MATCH($E127,'05 Packaging Master'!$A$5:$A$46,0)),"05 Packaging Master",IF(ISNUMBER(MATCH($E127,'04 SKU Master'!$A$5:$A$165,0)),"04 SKU Master","NOT FOUND")))</f>
        <v/>
      </c>
      <c r="M127" s="178">
        <f>IFERROR(INDEX('12 Final Menu'!$U$5:$U$200,MATCH($A127,'12 Final Menu'!$A$5:$A$200,0)),0)</f>
        <v/>
      </c>
      <c r="N127" s="165">
        <f>$G127*(1+$J127)*$M127*1000</f>
        <v/>
      </c>
    </row>
    <row r="128" ht="15" customHeight="1" s="106">
      <c r="A128" s="138" t="inlineStr">
        <is>
          <t>PP-SEA-Y2S-PRWN</t>
        </is>
      </c>
      <c r="B128" s="138" t="inlineStr">
        <is>
          <t>Mozambican Peri-Peri Prawn</t>
        </is>
      </c>
      <c r="C128" s="138" t="inlineStr">
        <is>
          <t>Y2 Summer - The Coast</t>
        </is>
      </c>
      <c r="D128" s="139" t="inlineStr">
        <is>
          <t>Packaging</t>
        </is>
      </c>
      <c r="E128" s="134" t="inlineStr">
        <is>
          <t>PP-PACK-NAPKIN</t>
        </is>
      </c>
      <c r="F128" s="113" t="inlineStr">
        <is>
          <t>Branded napkin</t>
        </is>
      </c>
      <c r="G128" s="147" t="n">
        <v>1</v>
      </c>
      <c r="H128" s="164" t="inlineStr">
        <is>
          <t>ea</t>
        </is>
      </c>
      <c r="I128" s="150">
        <f>IFERROR(INDEX('04 SKU Master'!$AM$5:$AM$165,MATCH($E128,'04 SKU Master'!$A$5:$A$165,0)),IFERROR(INDEX('05 Packaging Master'!$AM$5:$AM$50,MATCH($E128,'05 Packaging Master'!$A$5:$A$50,0)),IFERROR(INDEX('09 Cost Index'!$C$5:$C$24,MATCH($E128,'09 Cost Index'!$A$5:$A$24,0)),"")))</f>
        <v/>
      </c>
      <c r="J128" s="153">
        <f>'01 Control'!$C$7</f>
        <v/>
      </c>
      <c r="K128" s="150">
        <f>IF($I128="","",$G128*$I128*(1+$J128))</f>
        <v/>
      </c>
      <c r="L128" s="177">
        <f>IF(ISNUMBER(MATCH($E128,'09 Cost Index'!$A$5:$A$24,0)),"09 Cost Index",IF(ISNUMBER(MATCH($E128,'05 Packaging Master'!$A$5:$A$46,0)),"05 Packaging Master",IF(ISNUMBER(MATCH($E128,'04 SKU Master'!$A$5:$A$165,0)),"04 SKU Master","NOT FOUND")))</f>
        <v/>
      </c>
      <c r="M128" s="178">
        <f>IFERROR(INDEX('12 Final Menu'!$U$5:$U$200,MATCH($A128,'12 Final Menu'!$A$5:$A$200,0)),0)</f>
        <v/>
      </c>
      <c r="N128" s="165">
        <f>$G128*(1+$J128)*$M128*1000</f>
        <v/>
      </c>
    </row>
    <row r="129"/>
    <row r="130" ht="15" customHeight="1" s="106">
      <c r="A130" s="144" t="inlineStr">
        <is>
          <t>YEAR 2  |  Summer (Dec-Feb)  |  The Coast   -&gt;   Coconut-Lime Beef   |   Casarecce   |   PP-SEA-Y2S-COCO</t>
        </is>
      </c>
      <c r="B130" s="110" t="n"/>
      <c r="C130" s="110" t="n"/>
      <c r="D130" s="110" t="n"/>
      <c r="E130" s="110" t="n"/>
      <c r="F130" s="110" t="n"/>
      <c r="G130" s="110" t="n"/>
      <c r="H130" s="110" t="n"/>
      <c r="I130" s="110" t="n"/>
      <c r="J130" s="110" t="n"/>
      <c r="K130" s="110" t="n"/>
      <c r="L130" s="110" t="n"/>
      <c r="M130" s="110" t="n"/>
      <c r="N130" s="111" t="n"/>
    </row>
    <row r="131" ht="15" customHeight="1" s="106">
      <c r="A131" s="138" t="inlineStr">
        <is>
          <t>PP-SEA-Y2S-COCO</t>
        </is>
      </c>
      <c r="B131" s="138" t="inlineStr">
        <is>
          <t>Coconut-Lime Beef</t>
        </is>
      </c>
      <c r="C131" s="138" t="inlineStr">
        <is>
          <t>Y2 Summer - The Coast</t>
        </is>
      </c>
      <c r="D131" s="139" t="inlineStr">
        <is>
          <t>Pasta</t>
        </is>
      </c>
      <c r="E131" s="134" t="inlineStr">
        <is>
          <t>PP-DOUGH-BOKGAT</t>
        </is>
      </c>
      <c r="F131" s="113" t="inlineStr">
        <is>
          <t>Bokgat Base, Casarecce - dried weight</t>
        </is>
      </c>
      <c r="G131" s="147" t="n">
        <v>111</v>
      </c>
      <c r="H131" s="164" t="inlineStr">
        <is>
          <t>g</t>
        </is>
      </c>
      <c r="I131" s="150">
        <f>IFERROR(INDEX('04 SKU Master'!$AM$5:$AM$165,MATCH($E131,'04 SKU Master'!$A$5:$A$165,0)),IFERROR(INDEX('05 Packaging Master'!$AM$5:$AM$50,MATCH($E131,'05 Packaging Master'!$A$5:$A$50,0)),IFERROR(INDEX('09 Cost Index'!$C$5:$C$24,MATCH($E131,'09 Cost Index'!$A$5:$A$24,0)),"")))</f>
        <v/>
      </c>
      <c r="J131" s="153">
        <f>'01 Control'!$C$7</f>
        <v/>
      </c>
      <c r="K131" s="150">
        <f>IF($I131="","",$G131*$I131*(1+$J131))</f>
        <v/>
      </c>
      <c r="L131" s="177">
        <f>IF(ISNUMBER(MATCH($E131,'09 Cost Index'!$A$5:$A$24,0)),"09 Cost Index",IF(ISNUMBER(MATCH($E131,'05 Packaging Master'!$A$5:$A$46,0)),"05 Packaging Master",IF(ISNUMBER(MATCH($E131,'04 SKU Master'!$A$5:$A$165,0)),"04 SKU Master","NOT FOUND")))</f>
        <v/>
      </c>
      <c r="M131" s="178">
        <f>IFERROR(INDEX('12 Final Menu'!$U$5:$U$200,MATCH($A131,'12 Final Menu'!$A$5:$A$200,0)),0)</f>
        <v/>
      </c>
      <c r="N131" s="165">
        <f>$G131*(1+$J131)*$M131*1000</f>
        <v/>
      </c>
    </row>
    <row r="132" ht="15" customHeight="1" s="106">
      <c r="A132" s="138" t="inlineStr">
        <is>
          <t>PP-SEA-Y2S-COCO</t>
        </is>
      </c>
      <c r="B132" s="138" t="inlineStr">
        <is>
          <t>Coconut-Lime Beef</t>
        </is>
      </c>
      <c r="C132" s="138" t="inlineStr">
        <is>
          <t>Y2 Summer - The Coast</t>
        </is>
      </c>
      <c r="D132" s="139" t="inlineStr">
        <is>
          <t>Sauce</t>
        </is>
      </c>
      <c r="E132" s="134" t="inlineStr">
        <is>
          <t>PP-SEASAUCE-COCONUT</t>
        </is>
      </c>
      <c r="F132" s="113" t="inlineStr">
        <is>
          <t>Coconut-Cream Base (CK - SEASONAL base)</t>
        </is>
      </c>
      <c r="G132" s="147" t="n">
        <v>140</v>
      </c>
      <c r="H132" s="164" t="inlineStr">
        <is>
          <t>g</t>
        </is>
      </c>
      <c r="I132" s="150">
        <f>IFERROR(INDEX('04 SKU Master'!$AM$5:$AM$165,MATCH($E132,'04 SKU Master'!$A$5:$A$165,0)),IFERROR(INDEX('05 Packaging Master'!$AM$5:$AM$50,MATCH($E132,'05 Packaging Master'!$A$5:$A$50,0)),IFERROR(INDEX('09 Cost Index'!$C$5:$C$24,MATCH($E132,'09 Cost Index'!$A$5:$A$24,0)),"")))</f>
        <v/>
      </c>
      <c r="J132" s="153">
        <f>'01 Control'!$C$7</f>
        <v/>
      </c>
      <c r="K132" s="150">
        <f>IF($I132="","",$G132*$I132*(1+$J132))</f>
        <v/>
      </c>
      <c r="L132" s="177">
        <f>IF(ISNUMBER(MATCH($E132,'09 Cost Index'!$A$5:$A$24,0)),"09 Cost Index",IF(ISNUMBER(MATCH($E132,'05 Packaging Master'!$A$5:$A$46,0)),"05 Packaging Master",IF(ISNUMBER(MATCH($E132,'04 SKU Master'!$A$5:$A$165,0)),"04 SKU Master","NOT FOUND")))</f>
        <v/>
      </c>
      <c r="M132" s="178">
        <f>IFERROR(INDEX('12 Final Menu'!$U$5:$U$200,MATCH($A132,'12 Final Menu'!$A$5:$A$200,0)),0)</f>
        <v/>
      </c>
      <c r="N132" s="165">
        <f>$G132*(1+$J132)*$M132*1000</f>
        <v/>
      </c>
    </row>
    <row r="133" ht="15" customHeight="1" s="106">
      <c r="A133" s="138" t="inlineStr">
        <is>
          <t>PP-SEA-Y2S-COCO</t>
        </is>
      </c>
      <c r="B133" s="138" t="inlineStr">
        <is>
          <t>Coconut-Lime Beef</t>
        </is>
      </c>
      <c r="C133" s="138" t="inlineStr">
        <is>
          <t>Y2 Summer - The Coast</t>
        </is>
      </c>
      <c r="D133" s="139" t="inlineStr">
        <is>
          <t>Protein</t>
        </is>
      </c>
      <c r="E133" s="134" t="inlineStr">
        <is>
          <t>PP-BEEF-SEASONED</t>
        </is>
      </c>
      <c r="F133" s="113" t="inlineStr">
        <is>
          <t>Seasoned beef</t>
        </is>
      </c>
      <c r="G133" s="147" t="n">
        <v>90</v>
      </c>
      <c r="H133" s="164" t="inlineStr">
        <is>
          <t>g</t>
        </is>
      </c>
      <c r="I133" s="150">
        <f>IFERROR(INDEX('04 SKU Master'!$AM$5:$AM$165,MATCH($E133,'04 SKU Master'!$A$5:$A$165,0)),IFERROR(INDEX('05 Packaging Master'!$AM$5:$AM$50,MATCH($E133,'05 Packaging Master'!$A$5:$A$50,0)),IFERROR(INDEX('09 Cost Index'!$C$5:$C$24,MATCH($E133,'09 Cost Index'!$A$5:$A$24,0)),"")))</f>
        <v/>
      </c>
      <c r="J133" s="153">
        <f>'01 Control'!$C$7</f>
        <v/>
      </c>
      <c r="K133" s="150">
        <f>IF($I133="","",$G133*$I133*(1+$J133))</f>
        <v/>
      </c>
      <c r="L133" s="177">
        <f>IF(ISNUMBER(MATCH($E133,'09 Cost Index'!$A$5:$A$24,0)),"09 Cost Index",IF(ISNUMBER(MATCH($E133,'05 Packaging Master'!$A$5:$A$46,0)),"05 Packaging Master",IF(ISNUMBER(MATCH($E133,'04 SKU Master'!$A$5:$A$165,0)),"04 SKU Master","NOT FOUND")))</f>
        <v/>
      </c>
      <c r="M133" s="178">
        <f>IFERROR(INDEX('12 Final Menu'!$U$5:$U$200,MATCH($A133,'12 Final Menu'!$A$5:$A$200,0)),0)</f>
        <v/>
      </c>
      <c r="N133" s="165">
        <f>$G133*(1+$J133)*$M133*1000</f>
        <v/>
      </c>
    </row>
    <row r="134" ht="15" customHeight="1" s="106">
      <c r="A134" s="138" t="inlineStr">
        <is>
          <t>PP-SEA-Y2S-COCO</t>
        </is>
      </c>
      <c r="B134" s="138" t="inlineStr">
        <is>
          <t>Coconut-Lime Beef</t>
        </is>
      </c>
      <c r="C134" s="138" t="inlineStr">
        <is>
          <t>Y2 Summer - The Coast</t>
        </is>
      </c>
      <c r="D134" s="139" t="inlineStr">
        <is>
          <t>Finish</t>
        </is>
      </c>
      <c r="E134" s="134" t="inlineStr">
        <is>
          <t>PP-VEG-LEMON</t>
        </is>
      </c>
      <c r="F134" s="113" t="inlineStr">
        <is>
          <t>Fresh lime at the pass</t>
        </is>
      </c>
      <c r="G134" s="147" t="n">
        <v>10</v>
      </c>
      <c r="H134" s="164" t="inlineStr">
        <is>
          <t>g</t>
        </is>
      </c>
      <c r="I134" s="150">
        <f>IFERROR(INDEX('04 SKU Master'!$AM$5:$AM$165,MATCH($E134,'04 SKU Master'!$A$5:$A$165,0)),IFERROR(INDEX('05 Packaging Master'!$AM$5:$AM$50,MATCH($E134,'05 Packaging Master'!$A$5:$A$50,0)),IFERROR(INDEX('09 Cost Index'!$C$5:$C$24,MATCH($E134,'09 Cost Index'!$A$5:$A$24,0)),"")))</f>
        <v/>
      </c>
      <c r="J134" s="153">
        <f>'01 Control'!$C$7</f>
        <v/>
      </c>
      <c r="K134" s="150">
        <f>IF($I134="","",$G134*$I134*(1+$J134))</f>
        <v/>
      </c>
      <c r="L134" s="177">
        <f>IF(ISNUMBER(MATCH($E134,'09 Cost Index'!$A$5:$A$24,0)),"09 Cost Index",IF(ISNUMBER(MATCH($E134,'05 Packaging Master'!$A$5:$A$46,0)),"05 Packaging Master",IF(ISNUMBER(MATCH($E134,'04 SKU Master'!$A$5:$A$165,0)),"04 SKU Master","NOT FOUND")))</f>
        <v/>
      </c>
      <c r="M134" s="178">
        <f>IFERROR(INDEX('12 Final Menu'!$U$5:$U$200,MATCH($A134,'12 Final Menu'!$A$5:$A$200,0)),0)</f>
        <v/>
      </c>
      <c r="N134" s="165">
        <f>$G134*(1+$J134)*$M134*1000</f>
        <v/>
      </c>
    </row>
    <row r="135" ht="15" customHeight="1" s="106">
      <c r="A135" s="138" t="inlineStr">
        <is>
          <t>PP-SEA-Y2S-COCO</t>
        </is>
      </c>
      <c r="B135" s="138" t="inlineStr">
        <is>
          <t>Coconut-Lime Beef</t>
        </is>
      </c>
      <c r="C135" s="138" t="inlineStr">
        <is>
          <t>Y2 Summer - The Coast</t>
        </is>
      </c>
      <c r="D135" s="139" t="inlineStr">
        <is>
          <t>Packaging</t>
        </is>
      </c>
      <c r="E135" s="134" t="inlineStr">
        <is>
          <t>PP-PACK-TUB</t>
        </is>
      </c>
      <c r="F135" s="113" t="inlineStr">
        <is>
          <t>Takeaway pasta tub</t>
        </is>
      </c>
      <c r="G135" s="147" t="n">
        <v>1</v>
      </c>
      <c r="H135" s="164" t="inlineStr">
        <is>
          <t>ea</t>
        </is>
      </c>
      <c r="I135" s="150">
        <f>IFERROR(INDEX('04 SKU Master'!$AM$5:$AM$165,MATCH($E135,'04 SKU Master'!$A$5:$A$165,0)),IFERROR(INDEX('05 Packaging Master'!$AM$5:$AM$50,MATCH($E135,'05 Packaging Master'!$A$5:$A$50,0)),IFERROR(INDEX('09 Cost Index'!$C$5:$C$24,MATCH($E135,'09 Cost Index'!$A$5:$A$24,0)),"")))</f>
        <v/>
      </c>
      <c r="J135" s="153">
        <f>'01 Control'!$C$7</f>
        <v/>
      </c>
      <c r="K135" s="150">
        <f>IF($I135="","",$G135*$I135*(1+$J135))</f>
        <v/>
      </c>
      <c r="L135" s="177">
        <f>IF(ISNUMBER(MATCH($E135,'09 Cost Index'!$A$5:$A$24,0)),"09 Cost Index",IF(ISNUMBER(MATCH($E135,'05 Packaging Master'!$A$5:$A$46,0)),"05 Packaging Master",IF(ISNUMBER(MATCH($E135,'04 SKU Master'!$A$5:$A$165,0)),"04 SKU Master","NOT FOUND")))</f>
        <v/>
      </c>
      <c r="M135" s="178">
        <f>IFERROR(INDEX('12 Final Menu'!$U$5:$U$200,MATCH($A135,'12 Final Menu'!$A$5:$A$200,0)),0)</f>
        <v/>
      </c>
      <c r="N135" s="165">
        <f>$G135*(1+$J135)*$M135*1000</f>
        <v/>
      </c>
    </row>
    <row r="136" ht="15" customHeight="1" s="106">
      <c r="A136" s="138" t="inlineStr">
        <is>
          <t>PP-SEA-Y2S-COCO</t>
        </is>
      </c>
      <c r="B136" s="138" t="inlineStr">
        <is>
          <t>Coconut-Lime Beef</t>
        </is>
      </c>
      <c r="C136" s="138" t="inlineStr">
        <is>
          <t>Y2 Summer - The Coast</t>
        </is>
      </c>
      <c r="D136" s="139" t="inlineStr">
        <is>
          <t>Packaging</t>
        </is>
      </c>
      <c r="E136" s="134" t="inlineStr">
        <is>
          <t>PP-PACK-LID</t>
        </is>
      </c>
      <c r="F136" s="113" t="inlineStr">
        <is>
          <t>Bowl lid</t>
        </is>
      </c>
      <c r="G136" s="147" t="n">
        <v>1</v>
      </c>
      <c r="H136" s="164" t="inlineStr">
        <is>
          <t>ea</t>
        </is>
      </c>
      <c r="I136" s="150">
        <f>IFERROR(INDEX('04 SKU Master'!$AM$5:$AM$165,MATCH($E136,'04 SKU Master'!$A$5:$A$165,0)),IFERROR(INDEX('05 Packaging Master'!$AM$5:$AM$50,MATCH($E136,'05 Packaging Master'!$A$5:$A$50,0)),IFERROR(INDEX('09 Cost Index'!$C$5:$C$24,MATCH($E136,'09 Cost Index'!$A$5:$A$24,0)),"")))</f>
        <v/>
      </c>
      <c r="J136" s="153">
        <f>'01 Control'!$C$7</f>
        <v/>
      </c>
      <c r="K136" s="150">
        <f>IF($I136="","",$G136*$I136*(1+$J136))</f>
        <v/>
      </c>
      <c r="L136" s="177">
        <f>IF(ISNUMBER(MATCH($E136,'09 Cost Index'!$A$5:$A$24,0)),"09 Cost Index",IF(ISNUMBER(MATCH($E136,'05 Packaging Master'!$A$5:$A$46,0)),"05 Packaging Master",IF(ISNUMBER(MATCH($E136,'04 SKU Master'!$A$5:$A$165,0)),"04 SKU Master","NOT FOUND")))</f>
        <v/>
      </c>
      <c r="M136" s="178">
        <f>IFERROR(INDEX('12 Final Menu'!$U$5:$U$200,MATCH($A136,'12 Final Menu'!$A$5:$A$200,0)),0)</f>
        <v/>
      </c>
      <c r="N136" s="165">
        <f>$G136*(1+$J136)*$M136*1000</f>
        <v/>
      </c>
    </row>
    <row r="137" ht="15" customHeight="1" s="106">
      <c r="A137" s="138" t="inlineStr">
        <is>
          <t>PP-SEA-Y2S-COCO</t>
        </is>
      </c>
      <c r="B137" s="138" t="inlineStr">
        <is>
          <t>Coconut-Lime Beef</t>
        </is>
      </c>
      <c r="C137" s="138" t="inlineStr">
        <is>
          <t>Y2 Summer - The Coast</t>
        </is>
      </c>
      <c r="D137" s="139" t="inlineStr">
        <is>
          <t>Packaging</t>
        </is>
      </c>
      <c r="E137" s="134" t="inlineStr">
        <is>
          <t>PP-PACK-CUTLERY</t>
        </is>
      </c>
      <c r="F137" s="113" t="inlineStr">
        <is>
          <t>Cutlery set</t>
        </is>
      </c>
      <c r="G137" s="147" t="n">
        <v>1</v>
      </c>
      <c r="H137" s="164" t="inlineStr">
        <is>
          <t>ea</t>
        </is>
      </c>
      <c r="I137" s="150">
        <f>IFERROR(INDEX('04 SKU Master'!$AM$5:$AM$165,MATCH($E137,'04 SKU Master'!$A$5:$A$165,0)),IFERROR(INDEX('05 Packaging Master'!$AM$5:$AM$50,MATCH($E137,'05 Packaging Master'!$A$5:$A$50,0)),IFERROR(INDEX('09 Cost Index'!$C$5:$C$24,MATCH($E137,'09 Cost Index'!$A$5:$A$24,0)),"")))</f>
        <v/>
      </c>
      <c r="J137" s="153">
        <f>'01 Control'!$C$7</f>
        <v/>
      </c>
      <c r="K137" s="150">
        <f>IF($I137="","",$G137*$I137*(1+$J137))</f>
        <v/>
      </c>
      <c r="L137" s="177">
        <f>IF(ISNUMBER(MATCH($E137,'09 Cost Index'!$A$5:$A$24,0)),"09 Cost Index",IF(ISNUMBER(MATCH($E137,'05 Packaging Master'!$A$5:$A$46,0)),"05 Packaging Master",IF(ISNUMBER(MATCH($E137,'04 SKU Master'!$A$5:$A$165,0)),"04 SKU Master","NOT FOUND")))</f>
        <v/>
      </c>
      <c r="M137" s="178">
        <f>IFERROR(INDEX('12 Final Menu'!$U$5:$U$200,MATCH($A137,'12 Final Menu'!$A$5:$A$200,0)),0)</f>
        <v/>
      </c>
      <c r="N137" s="165">
        <f>$G137*(1+$J137)*$M137*1000</f>
        <v/>
      </c>
    </row>
    <row r="138" ht="15" customHeight="1" s="106">
      <c r="A138" s="138" t="inlineStr">
        <is>
          <t>PP-SEA-Y2S-COCO</t>
        </is>
      </c>
      <c r="B138" s="138" t="inlineStr">
        <is>
          <t>Coconut-Lime Beef</t>
        </is>
      </c>
      <c r="C138" s="138" t="inlineStr">
        <is>
          <t>Y2 Summer - The Coast</t>
        </is>
      </c>
      <c r="D138" s="139" t="inlineStr">
        <is>
          <t>Packaging</t>
        </is>
      </c>
      <c r="E138" s="134" t="inlineStr">
        <is>
          <t>PP-PACK-NAPKIN</t>
        </is>
      </c>
      <c r="F138" s="113" t="inlineStr">
        <is>
          <t>Branded napkin</t>
        </is>
      </c>
      <c r="G138" s="147" t="n">
        <v>1</v>
      </c>
      <c r="H138" s="164" t="inlineStr">
        <is>
          <t>ea</t>
        </is>
      </c>
      <c r="I138" s="150">
        <f>IFERROR(INDEX('04 SKU Master'!$AM$5:$AM$165,MATCH($E138,'04 SKU Master'!$A$5:$A$165,0)),IFERROR(INDEX('05 Packaging Master'!$AM$5:$AM$50,MATCH($E138,'05 Packaging Master'!$A$5:$A$50,0)),IFERROR(INDEX('09 Cost Index'!$C$5:$C$24,MATCH($E138,'09 Cost Index'!$A$5:$A$24,0)),"")))</f>
        <v/>
      </c>
      <c r="J138" s="153">
        <f>'01 Control'!$C$7</f>
        <v/>
      </c>
      <c r="K138" s="150">
        <f>IF($I138="","",$G138*$I138*(1+$J138))</f>
        <v/>
      </c>
      <c r="L138" s="177">
        <f>IF(ISNUMBER(MATCH($E138,'09 Cost Index'!$A$5:$A$24,0)),"09 Cost Index",IF(ISNUMBER(MATCH($E138,'05 Packaging Master'!$A$5:$A$46,0)),"05 Packaging Master",IF(ISNUMBER(MATCH($E138,'04 SKU Master'!$A$5:$A$165,0)),"04 SKU Master","NOT FOUND")))</f>
        <v/>
      </c>
      <c r="M138" s="178">
        <f>IFERROR(INDEX('12 Final Menu'!$U$5:$U$200,MATCH($A138,'12 Final Menu'!$A$5:$A$200,0)),0)</f>
        <v/>
      </c>
      <c r="N138" s="165">
        <f>$G138*(1+$J138)*$M138*1000</f>
        <v/>
      </c>
    </row>
    <row r="139"/>
    <row r="140" ht="15" customHeight="1" s="106">
      <c r="A140" s="144" t="inlineStr">
        <is>
          <t>YEAR 2  |  Summer (Dec-Feb)  |  The Coast   -&gt;   Chilled Citrus &amp; Herb Salad   |   Fusilli   |   PP-SEA-Y2S-CITR</t>
        </is>
      </c>
      <c r="B140" s="110" t="n"/>
      <c r="C140" s="110" t="n"/>
      <c r="D140" s="110" t="n"/>
      <c r="E140" s="110" t="n"/>
      <c r="F140" s="110" t="n"/>
      <c r="G140" s="110" t="n"/>
      <c r="H140" s="110" t="n"/>
      <c r="I140" s="110" t="n"/>
      <c r="J140" s="110" t="n"/>
      <c r="K140" s="110" t="n"/>
      <c r="L140" s="110" t="n"/>
      <c r="M140" s="110" t="n"/>
      <c r="N140" s="111" t="n"/>
    </row>
    <row r="141" ht="15" customHeight="1" s="106">
      <c r="A141" s="138" t="inlineStr">
        <is>
          <t>PP-SEA-Y2S-CITR</t>
        </is>
      </c>
      <c r="B141" s="138" t="inlineStr">
        <is>
          <t>Chilled Citrus &amp; Herb Salad</t>
        </is>
      </c>
      <c r="C141" s="138" t="inlineStr">
        <is>
          <t>Y2 Summer - The Coast</t>
        </is>
      </c>
      <c r="D141" s="139" t="inlineStr">
        <is>
          <t>Pasta</t>
        </is>
      </c>
      <c r="E141" s="134" t="inlineStr">
        <is>
          <t>PP-DOUGH-BOKGAT</t>
        </is>
      </c>
      <c r="F141" s="113" t="inlineStr">
        <is>
          <t>Bokgat Base, Fusilli - dried weight</t>
        </is>
      </c>
      <c r="G141" s="147" t="n">
        <v>95</v>
      </c>
      <c r="H141" s="164" t="inlineStr">
        <is>
          <t>g</t>
        </is>
      </c>
      <c r="I141" s="150">
        <f>IFERROR(INDEX('04 SKU Master'!$AM$5:$AM$165,MATCH($E141,'04 SKU Master'!$A$5:$A$165,0)),IFERROR(INDEX('05 Packaging Master'!$AM$5:$AM$50,MATCH($E141,'05 Packaging Master'!$A$5:$A$50,0)),IFERROR(INDEX('09 Cost Index'!$C$5:$C$24,MATCH($E141,'09 Cost Index'!$A$5:$A$24,0)),"")))</f>
        <v/>
      </c>
      <c r="J141" s="153">
        <f>'01 Control'!$C$7</f>
        <v/>
      </c>
      <c r="K141" s="150">
        <f>IF($I141="","",$G141*$I141*(1+$J141))</f>
        <v/>
      </c>
      <c r="L141" s="177">
        <f>IF(ISNUMBER(MATCH($E141,'09 Cost Index'!$A$5:$A$24,0)),"09 Cost Index",IF(ISNUMBER(MATCH($E141,'05 Packaging Master'!$A$5:$A$46,0)),"05 Packaging Master",IF(ISNUMBER(MATCH($E141,'04 SKU Master'!$A$5:$A$165,0)),"04 SKU Master","NOT FOUND")))</f>
        <v/>
      </c>
      <c r="M141" s="178">
        <f>IFERROR(INDEX('12 Final Menu'!$U$5:$U$200,MATCH($A141,'12 Final Menu'!$A$5:$A$200,0)),0)</f>
        <v/>
      </c>
      <c r="N141" s="165">
        <f>$G141*(1+$J141)*$M141*1000</f>
        <v/>
      </c>
    </row>
    <row r="142" ht="15" customHeight="1" s="106">
      <c r="A142" s="138" t="inlineStr">
        <is>
          <t>PP-SEA-Y2S-CITR</t>
        </is>
      </c>
      <c r="B142" s="138" t="inlineStr">
        <is>
          <t>Chilled Citrus &amp; Herb Salad</t>
        </is>
      </c>
      <c r="C142" s="138" t="inlineStr">
        <is>
          <t>Y2 Summer - The Coast</t>
        </is>
      </c>
      <c r="D142" s="139" t="inlineStr">
        <is>
          <t>Ingredient</t>
        </is>
      </c>
      <c r="E142" s="134" t="inlineStr">
        <is>
          <t>PP-VEG-LEMON</t>
        </is>
      </c>
      <c r="F142" s="113" t="inlineStr">
        <is>
          <t>Citrus</t>
        </is>
      </c>
      <c r="G142" s="147" t="n">
        <v>25</v>
      </c>
      <c r="H142" s="164" t="inlineStr">
        <is>
          <t>g</t>
        </is>
      </c>
      <c r="I142" s="150">
        <f>IFERROR(INDEX('04 SKU Master'!$AM$5:$AM$165,MATCH($E142,'04 SKU Master'!$A$5:$A$165,0)),IFERROR(INDEX('05 Packaging Master'!$AM$5:$AM$50,MATCH($E142,'05 Packaging Master'!$A$5:$A$50,0)),IFERROR(INDEX('09 Cost Index'!$C$5:$C$24,MATCH($E142,'09 Cost Index'!$A$5:$A$24,0)),"")))</f>
        <v/>
      </c>
      <c r="J142" s="153">
        <f>'01 Control'!$C$7</f>
        <v/>
      </c>
      <c r="K142" s="150">
        <f>IF($I142="","",$G142*$I142*(1+$J142))</f>
        <v/>
      </c>
      <c r="L142" s="177">
        <f>IF(ISNUMBER(MATCH($E142,'09 Cost Index'!$A$5:$A$24,0)),"09 Cost Index",IF(ISNUMBER(MATCH($E142,'05 Packaging Master'!$A$5:$A$46,0)),"05 Packaging Master",IF(ISNUMBER(MATCH($E142,'04 SKU Master'!$A$5:$A$165,0)),"04 SKU Master","NOT FOUND")))</f>
        <v/>
      </c>
      <c r="M142" s="178">
        <f>IFERROR(INDEX('12 Final Menu'!$U$5:$U$200,MATCH($A142,'12 Final Menu'!$A$5:$A$200,0)),0)</f>
        <v/>
      </c>
      <c r="N142" s="165">
        <f>$G142*(1+$J142)*$M142*1000</f>
        <v/>
      </c>
    </row>
    <row r="143" ht="15" customHeight="1" s="106">
      <c r="A143" s="138" t="inlineStr">
        <is>
          <t>PP-SEA-Y2S-CITR</t>
        </is>
      </c>
      <c r="B143" s="138" t="inlineStr">
        <is>
          <t>Chilled Citrus &amp; Herb Salad</t>
        </is>
      </c>
      <c r="C143" s="138" t="inlineStr">
        <is>
          <t>Y2 Summer - The Coast</t>
        </is>
      </c>
      <c r="D143" s="139" t="inlineStr">
        <is>
          <t>Ingredient</t>
        </is>
      </c>
      <c r="E143" s="134" t="inlineStr">
        <is>
          <t>PP-BA-MIC-001</t>
        </is>
      </c>
      <c r="F143" s="113" t="inlineStr">
        <is>
          <t>Basil microgreens</t>
        </is>
      </c>
      <c r="G143" s="147" t="n">
        <v>15</v>
      </c>
      <c r="H143" s="164" t="inlineStr">
        <is>
          <t>g</t>
        </is>
      </c>
      <c r="I143" s="150">
        <f>IFERROR(INDEX('04 SKU Master'!$AM$5:$AM$165,MATCH($E143,'04 SKU Master'!$A$5:$A$165,0)),IFERROR(INDEX('05 Packaging Master'!$AM$5:$AM$50,MATCH($E143,'05 Packaging Master'!$A$5:$A$50,0)),IFERROR(INDEX('09 Cost Index'!$C$5:$C$24,MATCH($E143,'09 Cost Index'!$A$5:$A$24,0)),"")))</f>
        <v/>
      </c>
      <c r="J143" s="153">
        <f>'01 Control'!$C$7</f>
        <v/>
      </c>
      <c r="K143" s="150">
        <f>IF($I143="","",$G143*$I143*(1+$J143))</f>
        <v/>
      </c>
      <c r="L143" s="177">
        <f>IF(ISNUMBER(MATCH($E143,'09 Cost Index'!$A$5:$A$24,0)),"09 Cost Index",IF(ISNUMBER(MATCH($E143,'05 Packaging Master'!$A$5:$A$46,0)),"05 Packaging Master",IF(ISNUMBER(MATCH($E143,'04 SKU Master'!$A$5:$A$165,0)),"04 SKU Master","NOT FOUND")))</f>
        <v/>
      </c>
      <c r="M143" s="178">
        <f>IFERROR(INDEX('12 Final Menu'!$U$5:$U$200,MATCH($A143,'12 Final Menu'!$A$5:$A$200,0)),0)</f>
        <v/>
      </c>
      <c r="N143" s="165">
        <f>$G143*(1+$J143)*$M143*1000</f>
        <v/>
      </c>
    </row>
    <row r="144" ht="15" customHeight="1" s="106">
      <c r="A144" s="138" t="inlineStr">
        <is>
          <t>PP-SEA-Y2S-CITR</t>
        </is>
      </c>
      <c r="B144" s="138" t="inlineStr">
        <is>
          <t>Chilled Citrus &amp; Herb Salad</t>
        </is>
      </c>
      <c r="C144" s="138" t="inlineStr">
        <is>
          <t>Y2 Summer - The Coast</t>
        </is>
      </c>
      <c r="D144" s="139" t="inlineStr">
        <is>
          <t>Ingredient</t>
        </is>
      </c>
      <c r="E144" s="134" t="inlineStr">
        <is>
          <t>PP-VEG-SPINACH</t>
        </is>
      </c>
      <c r="F144" s="113" t="inlineStr">
        <is>
          <t>Leaves</t>
        </is>
      </c>
      <c r="G144" s="147" t="n">
        <v>45</v>
      </c>
      <c r="H144" s="164" t="inlineStr">
        <is>
          <t>g</t>
        </is>
      </c>
      <c r="I144" s="150">
        <f>IFERROR(INDEX('04 SKU Master'!$AM$5:$AM$165,MATCH($E144,'04 SKU Master'!$A$5:$A$165,0)),IFERROR(INDEX('05 Packaging Master'!$AM$5:$AM$50,MATCH($E144,'05 Packaging Master'!$A$5:$A$50,0)),IFERROR(INDEX('09 Cost Index'!$C$5:$C$24,MATCH($E144,'09 Cost Index'!$A$5:$A$24,0)),"")))</f>
        <v/>
      </c>
      <c r="J144" s="153">
        <f>'01 Control'!$C$7</f>
        <v/>
      </c>
      <c r="K144" s="150">
        <f>IF($I144="","",$G144*$I144*(1+$J144))</f>
        <v/>
      </c>
      <c r="L144" s="177">
        <f>IF(ISNUMBER(MATCH($E144,'09 Cost Index'!$A$5:$A$24,0)),"09 Cost Index",IF(ISNUMBER(MATCH($E144,'05 Packaging Master'!$A$5:$A$46,0)),"05 Packaging Master",IF(ISNUMBER(MATCH($E144,'04 SKU Master'!$A$5:$A$165,0)),"04 SKU Master","NOT FOUND")))</f>
        <v/>
      </c>
      <c r="M144" s="178">
        <f>IFERROR(INDEX('12 Final Menu'!$U$5:$U$200,MATCH($A144,'12 Final Menu'!$A$5:$A$200,0)),0)</f>
        <v/>
      </c>
      <c r="N144" s="165">
        <f>$G144*(1+$J144)*$M144*1000</f>
        <v/>
      </c>
    </row>
    <row r="145" ht="15" customHeight="1" s="106">
      <c r="A145" s="138" t="inlineStr">
        <is>
          <t>PP-SEA-Y2S-CITR</t>
        </is>
      </c>
      <c r="B145" s="138" t="inlineStr">
        <is>
          <t>Chilled Citrus &amp; Herb Salad</t>
        </is>
      </c>
      <c r="C145" s="138" t="inlineStr">
        <is>
          <t>Y2 Summer - The Coast</t>
        </is>
      </c>
      <c r="D145" s="139" t="inlineStr">
        <is>
          <t>Ingredient</t>
        </is>
      </c>
      <c r="E145" s="134" t="inlineStr">
        <is>
          <t>PP-DRESSING-LEMHERB</t>
        </is>
      </c>
      <c r="F145" s="113" t="inlineStr">
        <is>
          <t>Citrus dressing</t>
        </is>
      </c>
      <c r="G145" s="147" t="n">
        <v>25</v>
      </c>
      <c r="H145" s="164" t="inlineStr">
        <is>
          <t>ml</t>
        </is>
      </c>
      <c r="I145" s="150">
        <f>IFERROR(INDEX('04 SKU Master'!$AM$5:$AM$165,MATCH($E145,'04 SKU Master'!$A$5:$A$165,0)),IFERROR(INDEX('05 Packaging Master'!$AM$5:$AM$50,MATCH($E145,'05 Packaging Master'!$A$5:$A$50,0)),IFERROR(INDEX('09 Cost Index'!$C$5:$C$24,MATCH($E145,'09 Cost Index'!$A$5:$A$24,0)),"")))</f>
        <v/>
      </c>
      <c r="J145" s="153">
        <f>'01 Control'!$C$7</f>
        <v/>
      </c>
      <c r="K145" s="150">
        <f>IF($I145="","",$G145*$I145*(1+$J145))</f>
        <v/>
      </c>
      <c r="L145" s="177">
        <f>IF(ISNUMBER(MATCH($E145,'09 Cost Index'!$A$5:$A$24,0)),"09 Cost Index",IF(ISNUMBER(MATCH($E145,'05 Packaging Master'!$A$5:$A$46,0)),"05 Packaging Master",IF(ISNUMBER(MATCH($E145,'04 SKU Master'!$A$5:$A$165,0)),"04 SKU Master","NOT FOUND")))</f>
        <v/>
      </c>
      <c r="M145" s="178">
        <f>IFERROR(INDEX('12 Final Menu'!$U$5:$U$200,MATCH($A145,'12 Final Menu'!$A$5:$A$200,0)),0)</f>
        <v/>
      </c>
      <c r="N145" s="165">
        <f>$G145*(1+$J145)*$M145*1000</f>
        <v/>
      </c>
    </row>
    <row r="146" ht="15" customHeight="1" s="106">
      <c r="A146" s="138" t="inlineStr">
        <is>
          <t>PP-SEA-Y2S-CITR</t>
        </is>
      </c>
      <c r="B146" s="138" t="inlineStr">
        <is>
          <t>Chilled Citrus &amp; Herb Salad</t>
        </is>
      </c>
      <c r="C146" s="138" t="inlineStr">
        <is>
          <t>Y2 Summer - The Coast</t>
        </is>
      </c>
      <c r="D146" s="139" t="inlineStr">
        <is>
          <t>Packaging</t>
        </is>
      </c>
      <c r="E146" s="134" t="inlineStr">
        <is>
          <t>PP-PACK-SALAD-BOWL</t>
        </is>
      </c>
      <c r="F146" s="113" t="inlineStr">
        <is>
          <t>Salad bowl</t>
        </is>
      </c>
      <c r="G146" s="147" t="n">
        <v>1</v>
      </c>
      <c r="H146" s="164" t="inlineStr">
        <is>
          <t>ea</t>
        </is>
      </c>
      <c r="I146" s="150">
        <f>IFERROR(INDEX('04 SKU Master'!$AM$5:$AM$165,MATCH($E146,'04 SKU Master'!$A$5:$A$165,0)),IFERROR(INDEX('05 Packaging Master'!$AM$5:$AM$50,MATCH($E146,'05 Packaging Master'!$A$5:$A$50,0)),IFERROR(INDEX('09 Cost Index'!$C$5:$C$24,MATCH($E146,'09 Cost Index'!$A$5:$A$24,0)),"")))</f>
        <v/>
      </c>
      <c r="J146" s="153">
        <f>'01 Control'!$C$7</f>
        <v/>
      </c>
      <c r="K146" s="150">
        <f>IF($I146="","",$G146*$I146*(1+$J146))</f>
        <v/>
      </c>
      <c r="L146" s="177">
        <f>IF(ISNUMBER(MATCH($E146,'09 Cost Index'!$A$5:$A$24,0)),"09 Cost Index",IF(ISNUMBER(MATCH($E146,'05 Packaging Master'!$A$5:$A$46,0)),"05 Packaging Master",IF(ISNUMBER(MATCH($E146,'04 SKU Master'!$A$5:$A$165,0)),"04 SKU Master","NOT FOUND")))</f>
        <v/>
      </c>
      <c r="M146" s="178">
        <f>IFERROR(INDEX('12 Final Menu'!$U$5:$U$200,MATCH($A146,'12 Final Menu'!$A$5:$A$200,0)),0)</f>
        <v/>
      </c>
      <c r="N146" s="165">
        <f>$G146*(1+$J146)*$M146*1000</f>
        <v/>
      </c>
    </row>
    <row r="147" ht="15" customHeight="1" s="106">
      <c r="A147" s="138" t="inlineStr">
        <is>
          <t>PP-SEA-Y2S-CITR</t>
        </is>
      </c>
      <c r="B147" s="138" t="inlineStr">
        <is>
          <t>Chilled Citrus &amp; Herb Salad</t>
        </is>
      </c>
      <c r="C147" s="138" t="inlineStr">
        <is>
          <t>Y2 Summer - The Coast</t>
        </is>
      </c>
      <c r="D147" s="139" t="inlineStr">
        <is>
          <t>Packaging</t>
        </is>
      </c>
      <c r="E147" s="134" t="inlineStr">
        <is>
          <t>PP-PACK-SALAD-LID</t>
        </is>
      </c>
      <c r="F147" s="113" t="inlineStr">
        <is>
          <t>Salad bowl lid</t>
        </is>
      </c>
      <c r="G147" s="147" t="n">
        <v>1</v>
      </c>
      <c r="H147" s="164" t="inlineStr">
        <is>
          <t>ea</t>
        </is>
      </c>
      <c r="I147" s="150">
        <f>IFERROR(INDEX('04 SKU Master'!$AM$5:$AM$165,MATCH($E147,'04 SKU Master'!$A$5:$A$165,0)),IFERROR(INDEX('05 Packaging Master'!$AM$5:$AM$50,MATCH($E147,'05 Packaging Master'!$A$5:$A$50,0)),IFERROR(INDEX('09 Cost Index'!$C$5:$C$24,MATCH($E147,'09 Cost Index'!$A$5:$A$24,0)),"")))</f>
        <v/>
      </c>
      <c r="J147" s="153">
        <f>'01 Control'!$C$7</f>
        <v/>
      </c>
      <c r="K147" s="150">
        <f>IF($I147="","",$G147*$I147*(1+$J147))</f>
        <v/>
      </c>
      <c r="L147" s="177">
        <f>IF(ISNUMBER(MATCH($E147,'09 Cost Index'!$A$5:$A$24,0)),"09 Cost Index",IF(ISNUMBER(MATCH($E147,'05 Packaging Master'!$A$5:$A$46,0)),"05 Packaging Master",IF(ISNUMBER(MATCH($E147,'04 SKU Master'!$A$5:$A$165,0)),"04 SKU Master","NOT FOUND")))</f>
        <v/>
      </c>
      <c r="M147" s="178">
        <f>IFERROR(INDEX('12 Final Menu'!$U$5:$U$200,MATCH($A147,'12 Final Menu'!$A$5:$A$200,0)),0)</f>
        <v/>
      </c>
      <c r="N147" s="165">
        <f>$G147*(1+$J147)*$M147*1000</f>
        <v/>
      </c>
    </row>
    <row r="148" ht="15" customHeight="1" s="106">
      <c r="A148" s="138" t="inlineStr">
        <is>
          <t>PP-SEA-Y2S-CITR</t>
        </is>
      </c>
      <c r="B148" s="138" t="inlineStr">
        <is>
          <t>Chilled Citrus &amp; Herb Salad</t>
        </is>
      </c>
      <c r="C148" s="138" t="inlineStr">
        <is>
          <t>Y2 Summer - The Coast</t>
        </is>
      </c>
      <c r="D148" s="139" t="inlineStr">
        <is>
          <t>Packaging</t>
        </is>
      </c>
      <c r="E148" s="134" t="inlineStr">
        <is>
          <t>PP-PACK-SAUCE-POT</t>
        </is>
      </c>
      <c r="F148" s="113" t="inlineStr">
        <is>
          <t>Dressing pot</t>
        </is>
      </c>
      <c r="G148" s="147" t="n">
        <v>1</v>
      </c>
      <c r="H148" s="164" t="inlineStr">
        <is>
          <t>ea</t>
        </is>
      </c>
      <c r="I148" s="150">
        <f>IFERROR(INDEX('04 SKU Master'!$AM$5:$AM$165,MATCH($E148,'04 SKU Master'!$A$5:$A$165,0)),IFERROR(INDEX('05 Packaging Master'!$AM$5:$AM$50,MATCH($E148,'05 Packaging Master'!$A$5:$A$50,0)),IFERROR(INDEX('09 Cost Index'!$C$5:$C$24,MATCH($E148,'09 Cost Index'!$A$5:$A$24,0)),"")))</f>
        <v/>
      </c>
      <c r="J148" s="153">
        <f>'01 Control'!$C$7</f>
        <v/>
      </c>
      <c r="K148" s="150">
        <f>IF($I148="","",$G148*$I148*(1+$J148))</f>
        <v/>
      </c>
      <c r="L148" s="177">
        <f>IF(ISNUMBER(MATCH($E148,'09 Cost Index'!$A$5:$A$24,0)),"09 Cost Index",IF(ISNUMBER(MATCH($E148,'05 Packaging Master'!$A$5:$A$46,0)),"05 Packaging Master",IF(ISNUMBER(MATCH($E148,'04 SKU Master'!$A$5:$A$165,0)),"04 SKU Master","NOT FOUND")))</f>
        <v/>
      </c>
      <c r="M148" s="178">
        <f>IFERROR(INDEX('12 Final Menu'!$U$5:$U$200,MATCH($A148,'12 Final Menu'!$A$5:$A$200,0)),0)</f>
        <v/>
      </c>
      <c r="N148" s="165">
        <f>$G148*(1+$J148)*$M148*1000</f>
        <v/>
      </c>
    </row>
    <row r="149" ht="15" customHeight="1" s="106">
      <c r="A149" s="138" t="inlineStr">
        <is>
          <t>PP-SEA-Y2S-CITR</t>
        </is>
      </c>
      <c r="B149" s="138" t="inlineStr">
        <is>
          <t>Chilled Citrus &amp; Herb Salad</t>
        </is>
      </c>
      <c r="C149" s="138" t="inlineStr">
        <is>
          <t>Y2 Summer - The Coast</t>
        </is>
      </c>
      <c r="D149" s="139" t="inlineStr">
        <is>
          <t>Packaging</t>
        </is>
      </c>
      <c r="E149" s="134" t="inlineStr">
        <is>
          <t>PP-PACK-CUTLERY</t>
        </is>
      </c>
      <c r="F149" s="113" t="inlineStr">
        <is>
          <t>Cutlery set</t>
        </is>
      </c>
      <c r="G149" s="147" t="n">
        <v>1</v>
      </c>
      <c r="H149" s="164" t="inlineStr">
        <is>
          <t>ea</t>
        </is>
      </c>
      <c r="I149" s="150">
        <f>IFERROR(INDEX('04 SKU Master'!$AM$5:$AM$165,MATCH($E149,'04 SKU Master'!$A$5:$A$165,0)),IFERROR(INDEX('05 Packaging Master'!$AM$5:$AM$50,MATCH($E149,'05 Packaging Master'!$A$5:$A$50,0)),IFERROR(INDEX('09 Cost Index'!$C$5:$C$24,MATCH($E149,'09 Cost Index'!$A$5:$A$24,0)),"")))</f>
        <v/>
      </c>
      <c r="J149" s="153">
        <f>'01 Control'!$C$7</f>
        <v/>
      </c>
      <c r="K149" s="150">
        <f>IF($I149="","",$G149*$I149*(1+$J149))</f>
        <v/>
      </c>
      <c r="L149" s="177">
        <f>IF(ISNUMBER(MATCH($E149,'09 Cost Index'!$A$5:$A$24,0)),"09 Cost Index",IF(ISNUMBER(MATCH($E149,'05 Packaging Master'!$A$5:$A$46,0)),"05 Packaging Master",IF(ISNUMBER(MATCH($E149,'04 SKU Master'!$A$5:$A$165,0)),"04 SKU Master","NOT FOUND")))</f>
        <v/>
      </c>
      <c r="M149" s="178">
        <f>IFERROR(INDEX('12 Final Menu'!$U$5:$U$200,MATCH($A149,'12 Final Menu'!$A$5:$A$200,0)),0)</f>
        <v/>
      </c>
      <c r="N149" s="165">
        <f>$G149*(1+$J149)*$M149*1000</f>
        <v/>
      </c>
    </row>
    <row r="150" ht="15" customHeight="1" s="106">
      <c r="A150" s="138" t="inlineStr">
        <is>
          <t>PP-SEA-Y2S-CITR</t>
        </is>
      </c>
      <c r="B150" s="138" t="inlineStr">
        <is>
          <t>Chilled Citrus &amp; Herb Salad</t>
        </is>
      </c>
      <c r="C150" s="138" t="inlineStr">
        <is>
          <t>Y2 Summer - The Coast</t>
        </is>
      </c>
      <c r="D150" s="139" t="inlineStr">
        <is>
          <t>Packaging</t>
        </is>
      </c>
      <c r="E150" s="134" t="inlineStr">
        <is>
          <t>PP-PACK-NAPKIN</t>
        </is>
      </c>
      <c r="F150" s="113" t="inlineStr">
        <is>
          <t>Branded napkin</t>
        </is>
      </c>
      <c r="G150" s="147" t="n">
        <v>1</v>
      </c>
      <c r="H150" s="164" t="inlineStr">
        <is>
          <t>ea</t>
        </is>
      </c>
      <c r="I150" s="150">
        <f>IFERROR(INDEX('04 SKU Master'!$AM$5:$AM$165,MATCH($E150,'04 SKU Master'!$A$5:$A$165,0)),IFERROR(INDEX('05 Packaging Master'!$AM$5:$AM$50,MATCH($E150,'05 Packaging Master'!$A$5:$A$50,0)),IFERROR(INDEX('09 Cost Index'!$C$5:$C$24,MATCH($E150,'09 Cost Index'!$A$5:$A$24,0)),"")))</f>
        <v/>
      </c>
      <c r="J150" s="153">
        <f>'01 Control'!$C$7</f>
        <v/>
      </c>
      <c r="K150" s="150">
        <f>IF($I150="","",$G150*$I150*(1+$J150))</f>
        <v/>
      </c>
      <c r="L150" s="177">
        <f>IF(ISNUMBER(MATCH($E150,'09 Cost Index'!$A$5:$A$24,0)),"09 Cost Index",IF(ISNUMBER(MATCH($E150,'05 Packaging Master'!$A$5:$A$46,0)),"05 Packaging Master",IF(ISNUMBER(MATCH($E150,'04 SKU Master'!$A$5:$A$165,0)),"04 SKU Master","NOT FOUND")))</f>
        <v/>
      </c>
      <c r="M150" s="178">
        <f>IFERROR(INDEX('12 Final Menu'!$U$5:$U$200,MATCH($A150,'12 Final Menu'!$A$5:$A$200,0)),0)</f>
        <v/>
      </c>
      <c r="N150" s="165">
        <f>$G150*(1+$J150)*$M150*1000</f>
        <v/>
      </c>
    </row>
    <row r="151"/>
    <row r="152" ht="15" customHeight="1" s="106">
      <c r="A152" s="144" t="inlineStr">
        <is>
          <t>YEAR 2  |  Autumn (Mar-May)  |  Cape Malay   -&gt;   Cape Malay Curry Beef   |   Fusilli   |   PP-SEA-Y2A-CURR</t>
        </is>
      </c>
      <c r="B152" s="110" t="n"/>
      <c r="C152" s="110" t="n"/>
      <c r="D152" s="110" t="n"/>
      <c r="E152" s="110" t="n"/>
      <c r="F152" s="110" t="n"/>
      <c r="G152" s="110" t="n"/>
      <c r="H152" s="110" t="n"/>
      <c r="I152" s="110" t="n"/>
      <c r="J152" s="110" t="n"/>
      <c r="K152" s="110" t="n"/>
      <c r="L152" s="110" t="n"/>
      <c r="M152" s="110" t="n"/>
      <c r="N152" s="111" t="n"/>
    </row>
    <row r="153" ht="15" customHeight="1" s="106">
      <c r="A153" s="138" t="inlineStr">
        <is>
          <t>PP-SEA-Y2A-CURR</t>
        </is>
      </c>
      <c r="B153" s="138" t="inlineStr">
        <is>
          <t>Cape Malay Curry Beef</t>
        </is>
      </c>
      <c r="C153" s="138" t="inlineStr">
        <is>
          <t>Y2 Autumn - Cape Malay</t>
        </is>
      </c>
      <c r="D153" s="139" t="inlineStr">
        <is>
          <t>Pasta</t>
        </is>
      </c>
      <c r="E153" s="134" t="inlineStr">
        <is>
          <t>PP-DOUGH-BOKGAT</t>
        </is>
      </c>
      <c r="F153" s="113" t="inlineStr">
        <is>
          <t>Bokgat Base, Fusilli - dried weight</t>
        </is>
      </c>
      <c r="G153" s="147" t="n">
        <v>111</v>
      </c>
      <c r="H153" s="164" t="inlineStr">
        <is>
          <t>g</t>
        </is>
      </c>
      <c r="I153" s="150">
        <f>IFERROR(INDEX('04 SKU Master'!$AM$5:$AM$165,MATCH($E153,'04 SKU Master'!$A$5:$A$165,0)),IFERROR(INDEX('05 Packaging Master'!$AM$5:$AM$50,MATCH($E153,'05 Packaging Master'!$A$5:$A$50,0)),IFERROR(INDEX('09 Cost Index'!$C$5:$C$24,MATCH($E153,'09 Cost Index'!$A$5:$A$24,0)),"")))</f>
        <v/>
      </c>
      <c r="J153" s="153">
        <f>'01 Control'!$C$7</f>
        <v/>
      </c>
      <c r="K153" s="150">
        <f>IF($I153="","",$G153*$I153*(1+$J153))</f>
        <v/>
      </c>
      <c r="L153" s="177">
        <f>IF(ISNUMBER(MATCH($E153,'09 Cost Index'!$A$5:$A$24,0)),"09 Cost Index",IF(ISNUMBER(MATCH($E153,'05 Packaging Master'!$A$5:$A$46,0)),"05 Packaging Master",IF(ISNUMBER(MATCH($E153,'04 SKU Master'!$A$5:$A$165,0)),"04 SKU Master","NOT FOUND")))</f>
        <v/>
      </c>
      <c r="M153" s="178">
        <f>IFERROR(INDEX('12 Final Menu'!$U$5:$U$200,MATCH($A153,'12 Final Menu'!$A$5:$A$200,0)),0)</f>
        <v/>
      </c>
      <c r="N153" s="165">
        <f>$G153*(1+$J153)*$M153*1000</f>
        <v/>
      </c>
    </row>
    <row r="154" ht="15" customHeight="1" s="106">
      <c r="A154" s="138" t="inlineStr">
        <is>
          <t>PP-SEA-Y2A-CURR</t>
        </is>
      </c>
      <c r="B154" s="138" t="inlineStr">
        <is>
          <t>Cape Malay Curry Beef</t>
        </is>
      </c>
      <c r="C154" s="138" t="inlineStr">
        <is>
          <t>Y2 Autumn - Cape Malay</t>
        </is>
      </c>
      <c r="D154" s="139" t="inlineStr">
        <is>
          <t>Sauce</t>
        </is>
      </c>
      <c r="E154" s="134" t="inlineStr">
        <is>
          <t>PP-SEASAUCE-CAPEMALAY</t>
        </is>
      </c>
      <c r="F154" s="113" t="inlineStr">
        <is>
          <t>Cape Malay Curry-Cream Base (CK - SEASONAL base)</t>
        </is>
      </c>
      <c r="G154" s="147" t="n">
        <v>140</v>
      </c>
      <c r="H154" s="164" t="inlineStr">
        <is>
          <t>g</t>
        </is>
      </c>
      <c r="I154" s="150">
        <f>IFERROR(INDEX('04 SKU Master'!$AM$5:$AM$165,MATCH($E154,'04 SKU Master'!$A$5:$A$165,0)),IFERROR(INDEX('05 Packaging Master'!$AM$5:$AM$50,MATCH($E154,'05 Packaging Master'!$A$5:$A$50,0)),IFERROR(INDEX('09 Cost Index'!$C$5:$C$24,MATCH($E154,'09 Cost Index'!$A$5:$A$24,0)),"")))</f>
        <v/>
      </c>
      <c r="J154" s="153">
        <f>'01 Control'!$C$7</f>
        <v/>
      </c>
      <c r="K154" s="150">
        <f>IF($I154="","",$G154*$I154*(1+$J154))</f>
        <v/>
      </c>
      <c r="L154" s="177">
        <f>IF(ISNUMBER(MATCH($E154,'09 Cost Index'!$A$5:$A$24,0)),"09 Cost Index",IF(ISNUMBER(MATCH($E154,'05 Packaging Master'!$A$5:$A$46,0)),"05 Packaging Master",IF(ISNUMBER(MATCH($E154,'04 SKU Master'!$A$5:$A$165,0)),"04 SKU Master","NOT FOUND")))</f>
        <v/>
      </c>
      <c r="M154" s="178">
        <f>IFERROR(INDEX('12 Final Menu'!$U$5:$U$200,MATCH($A154,'12 Final Menu'!$A$5:$A$200,0)),0)</f>
        <v/>
      </c>
      <c r="N154" s="165">
        <f>$G154*(1+$J154)*$M154*1000</f>
        <v/>
      </c>
    </row>
    <row r="155" ht="15" customHeight="1" s="106">
      <c r="A155" s="138" t="inlineStr">
        <is>
          <t>PP-SEA-Y2A-CURR</t>
        </is>
      </c>
      <c r="B155" s="138" t="inlineStr">
        <is>
          <t>Cape Malay Curry Beef</t>
        </is>
      </c>
      <c r="C155" s="138" t="inlineStr">
        <is>
          <t>Y2 Autumn - Cape Malay</t>
        </is>
      </c>
      <c r="D155" s="139" t="inlineStr">
        <is>
          <t>Protein</t>
        </is>
      </c>
      <c r="E155" s="134" t="inlineStr">
        <is>
          <t>PP-BEEF-CHUNK</t>
        </is>
      </c>
      <c r="F155" s="113" t="inlineStr">
        <is>
          <t>Curry beef</t>
        </is>
      </c>
      <c r="G155" s="147" t="n">
        <v>90</v>
      </c>
      <c r="H155" s="164" t="inlineStr">
        <is>
          <t>g</t>
        </is>
      </c>
      <c r="I155" s="150">
        <f>IFERROR(INDEX('04 SKU Master'!$AM$5:$AM$165,MATCH($E155,'04 SKU Master'!$A$5:$A$165,0)),IFERROR(INDEX('05 Packaging Master'!$AM$5:$AM$50,MATCH($E155,'05 Packaging Master'!$A$5:$A$50,0)),IFERROR(INDEX('09 Cost Index'!$C$5:$C$24,MATCH($E155,'09 Cost Index'!$A$5:$A$24,0)),"")))</f>
        <v/>
      </c>
      <c r="J155" s="153">
        <f>'01 Control'!$C$7</f>
        <v/>
      </c>
      <c r="K155" s="150">
        <f>IF($I155="","",$G155*$I155*(1+$J155))</f>
        <v/>
      </c>
      <c r="L155" s="177">
        <f>IF(ISNUMBER(MATCH($E155,'09 Cost Index'!$A$5:$A$24,0)),"09 Cost Index",IF(ISNUMBER(MATCH($E155,'05 Packaging Master'!$A$5:$A$46,0)),"05 Packaging Master",IF(ISNUMBER(MATCH($E155,'04 SKU Master'!$A$5:$A$165,0)),"04 SKU Master","NOT FOUND")))</f>
        <v/>
      </c>
      <c r="M155" s="178">
        <f>IFERROR(INDEX('12 Final Menu'!$U$5:$U$200,MATCH($A155,'12 Final Menu'!$A$5:$A$200,0)),0)</f>
        <v/>
      </c>
      <c r="N155" s="165">
        <f>$G155*(1+$J155)*$M155*1000</f>
        <v/>
      </c>
    </row>
    <row r="156" ht="15" customHeight="1" s="106">
      <c r="A156" s="138" t="inlineStr">
        <is>
          <t>PP-SEA-Y2A-CURR</t>
        </is>
      </c>
      <c r="B156" s="138" t="inlineStr">
        <is>
          <t>Cape Malay Curry Beef</t>
        </is>
      </c>
      <c r="C156" s="138" t="inlineStr">
        <is>
          <t>Y2 Autumn - Cape Malay</t>
        </is>
      </c>
      <c r="D156" s="139" t="inlineStr">
        <is>
          <t>Packaging</t>
        </is>
      </c>
      <c r="E156" s="134" t="inlineStr">
        <is>
          <t>PP-PACK-TUB</t>
        </is>
      </c>
      <c r="F156" s="113" t="inlineStr">
        <is>
          <t>Takeaway pasta tub</t>
        </is>
      </c>
      <c r="G156" s="147" t="n">
        <v>1</v>
      </c>
      <c r="H156" s="164" t="inlineStr">
        <is>
          <t>ea</t>
        </is>
      </c>
      <c r="I156" s="150">
        <f>IFERROR(INDEX('04 SKU Master'!$AM$5:$AM$165,MATCH($E156,'04 SKU Master'!$A$5:$A$165,0)),IFERROR(INDEX('05 Packaging Master'!$AM$5:$AM$50,MATCH($E156,'05 Packaging Master'!$A$5:$A$50,0)),IFERROR(INDEX('09 Cost Index'!$C$5:$C$24,MATCH($E156,'09 Cost Index'!$A$5:$A$24,0)),"")))</f>
        <v/>
      </c>
      <c r="J156" s="153">
        <f>'01 Control'!$C$7</f>
        <v/>
      </c>
      <c r="K156" s="150">
        <f>IF($I156="","",$G156*$I156*(1+$J156))</f>
        <v/>
      </c>
      <c r="L156" s="177">
        <f>IF(ISNUMBER(MATCH($E156,'09 Cost Index'!$A$5:$A$24,0)),"09 Cost Index",IF(ISNUMBER(MATCH($E156,'05 Packaging Master'!$A$5:$A$46,0)),"05 Packaging Master",IF(ISNUMBER(MATCH($E156,'04 SKU Master'!$A$5:$A$165,0)),"04 SKU Master","NOT FOUND")))</f>
        <v/>
      </c>
      <c r="M156" s="178">
        <f>IFERROR(INDEX('12 Final Menu'!$U$5:$U$200,MATCH($A156,'12 Final Menu'!$A$5:$A$200,0)),0)</f>
        <v/>
      </c>
      <c r="N156" s="165">
        <f>$G156*(1+$J156)*$M156*1000</f>
        <v/>
      </c>
    </row>
    <row r="157" ht="15" customHeight="1" s="106">
      <c r="A157" s="138" t="inlineStr">
        <is>
          <t>PP-SEA-Y2A-CURR</t>
        </is>
      </c>
      <c r="B157" s="138" t="inlineStr">
        <is>
          <t>Cape Malay Curry Beef</t>
        </is>
      </c>
      <c r="C157" s="138" t="inlineStr">
        <is>
          <t>Y2 Autumn - Cape Malay</t>
        </is>
      </c>
      <c r="D157" s="139" t="inlineStr">
        <is>
          <t>Packaging</t>
        </is>
      </c>
      <c r="E157" s="134" t="inlineStr">
        <is>
          <t>PP-PACK-LID</t>
        </is>
      </c>
      <c r="F157" s="113" t="inlineStr">
        <is>
          <t>Bowl lid</t>
        </is>
      </c>
      <c r="G157" s="147" t="n">
        <v>1</v>
      </c>
      <c r="H157" s="164" t="inlineStr">
        <is>
          <t>ea</t>
        </is>
      </c>
      <c r="I157" s="150">
        <f>IFERROR(INDEX('04 SKU Master'!$AM$5:$AM$165,MATCH($E157,'04 SKU Master'!$A$5:$A$165,0)),IFERROR(INDEX('05 Packaging Master'!$AM$5:$AM$50,MATCH($E157,'05 Packaging Master'!$A$5:$A$50,0)),IFERROR(INDEX('09 Cost Index'!$C$5:$C$24,MATCH($E157,'09 Cost Index'!$A$5:$A$24,0)),"")))</f>
        <v/>
      </c>
      <c r="J157" s="153">
        <f>'01 Control'!$C$7</f>
        <v/>
      </c>
      <c r="K157" s="150">
        <f>IF($I157="","",$G157*$I157*(1+$J157))</f>
        <v/>
      </c>
      <c r="L157" s="177">
        <f>IF(ISNUMBER(MATCH($E157,'09 Cost Index'!$A$5:$A$24,0)),"09 Cost Index",IF(ISNUMBER(MATCH($E157,'05 Packaging Master'!$A$5:$A$46,0)),"05 Packaging Master",IF(ISNUMBER(MATCH($E157,'04 SKU Master'!$A$5:$A$165,0)),"04 SKU Master","NOT FOUND")))</f>
        <v/>
      </c>
      <c r="M157" s="178">
        <f>IFERROR(INDEX('12 Final Menu'!$U$5:$U$200,MATCH($A157,'12 Final Menu'!$A$5:$A$200,0)),0)</f>
        <v/>
      </c>
      <c r="N157" s="165">
        <f>$G157*(1+$J157)*$M157*1000</f>
        <v/>
      </c>
    </row>
    <row r="158" ht="15" customHeight="1" s="106">
      <c r="A158" s="138" t="inlineStr">
        <is>
          <t>PP-SEA-Y2A-CURR</t>
        </is>
      </c>
      <c r="B158" s="138" t="inlineStr">
        <is>
          <t>Cape Malay Curry Beef</t>
        </is>
      </c>
      <c r="C158" s="138" t="inlineStr">
        <is>
          <t>Y2 Autumn - Cape Malay</t>
        </is>
      </c>
      <c r="D158" s="139" t="inlineStr">
        <is>
          <t>Packaging</t>
        </is>
      </c>
      <c r="E158" s="134" t="inlineStr">
        <is>
          <t>PP-PACK-CUTLERY</t>
        </is>
      </c>
      <c r="F158" s="113" t="inlineStr">
        <is>
          <t>Cutlery set</t>
        </is>
      </c>
      <c r="G158" s="147" t="n">
        <v>1</v>
      </c>
      <c r="H158" s="164" t="inlineStr">
        <is>
          <t>ea</t>
        </is>
      </c>
      <c r="I158" s="150">
        <f>IFERROR(INDEX('04 SKU Master'!$AM$5:$AM$165,MATCH($E158,'04 SKU Master'!$A$5:$A$165,0)),IFERROR(INDEX('05 Packaging Master'!$AM$5:$AM$50,MATCH($E158,'05 Packaging Master'!$A$5:$A$50,0)),IFERROR(INDEX('09 Cost Index'!$C$5:$C$24,MATCH($E158,'09 Cost Index'!$A$5:$A$24,0)),"")))</f>
        <v/>
      </c>
      <c r="J158" s="153">
        <f>'01 Control'!$C$7</f>
        <v/>
      </c>
      <c r="K158" s="150">
        <f>IF($I158="","",$G158*$I158*(1+$J158))</f>
        <v/>
      </c>
      <c r="L158" s="177">
        <f>IF(ISNUMBER(MATCH($E158,'09 Cost Index'!$A$5:$A$24,0)),"09 Cost Index",IF(ISNUMBER(MATCH($E158,'05 Packaging Master'!$A$5:$A$46,0)),"05 Packaging Master",IF(ISNUMBER(MATCH($E158,'04 SKU Master'!$A$5:$A$165,0)),"04 SKU Master","NOT FOUND")))</f>
        <v/>
      </c>
      <c r="M158" s="178">
        <f>IFERROR(INDEX('12 Final Menu'!$U$5:$U$200,MATCH($A158,'12 Final Menu'!$A$5:$A$200,0)),0)</f>
        <v/>
      </c>
      <c r="N158" s="165">
        <f>$G158*(1+$J158)*$M158*1000</f>
        <v/>
      </c>
    </row>
    <row r="159" ht="15" customHeight="1" s="106">
      <c r="A159" s="138" t="inlineStr">
        <is>
          <t>PP-SEA-Y2A-CURR</t>
        </is>
      </c>
      <c r="B159" s="138" t="inlineStr">
        <is>
          <t>Cape Malay Curry Beef</t>
        </is>
      </c>
      <c r="C159" s="138" t="inlineStr">
        <is>
          <t>Y2 Autumn - Cape Malay</t>
        </is>
      </c>
      <c r="D159" s="139" t="inlineStr">
        <is>
          <t>Packaging</t>
        </is>
      </c>
      <c r="E159" s="134" t="inlineStr">
        <is>
          <t>PP-PACK-NAPKIN</t>
        </is>
      </c>
      <c r="F159" s="113" t="inlineStr">
        <is>
          <t>Branded napkin</t>
        </is>
      </c>
      <c r="G159" s="147" t="n">
        <v>1</v>
      </c>
      <c r="H159" s="164" t="inlineStr">
        <is>
          <t>ea</t>
        </is>
      </c>
      <c r="I159" s="150">
        <f>IFERROR(INDEX('04 SKU Master'!$AM$5:$AM$165,MATCH($E159,'04 SKU Master'!$A$5:$A$165,0)),IFERROR(INDEX('05 Packaging Master'!$AM$5:$AM$50,MATCH($E159,'05 Packaging Master'!$A$5:$A$50,0)),IFERROR(INDEX('09 Cost Index'!$C$5:$C$24,MATCH($E159,'09 Cost Index'!$A$5:$A$24,0)),"")))</f>
        <v/>
      </c>
      <c r="J159" s="153">
        <f>'01 Control'!$C$7</f>
        <v/>
      </c>
      <c r="K159" s="150">
        <f>IF($I159="","",$G159*$I159*(1+$J159))</f>
        <v/>
      </c>
      <c r="L159" s="177">
        <f>IF(ISNUMBER(MATCH($E159,'09 Cost Index'!$A$5:$A$24,0)),"09 Cost Index",IF(ISNUMBER(MATCH($E159,'05 Packaging Master'!$A$5:$A$46,0)),"05 Packaging Master",IF(ISNUMBER(MATCH($E159,'04 SKU Master'!$A$5:$A$165,0)),"04 SKU Master","NOT FOUND")))</f>
        <v/>
      </c>
      <c r="M159" s="178">
        <f>IFERROR(INDEX('12 Final Menu'!$U$5:$U$200,MATCH($A159,'12 Final Menu'!$A$5:$A$200,0)),0)</f>
        <v/>
      </c>
      <c r="N159" s="165">
        <f>$G159*(1+$J159)*$M159*1000</f>
        <v/>
      </c>
    </row>
    <row r="160"/>
    <row r="161" ht="15" customHeight="1" s="106">
      <c r="A161" s="144" t="inlineStr">
        <is>
          <t>YEAR 2  |  Autumn (Mar-May)  |  Cape Malay   -&gt;   Apricot &amp; Spiced Beef   |   Rigatoni   |   PP-SEA-Y2A-APRI</t>
        </is>
      </c>
      <c r="B161" s="110" t="n"/>
      <c r="C161" s="110" t="n"/>
      <c r="D161" s="110" t="n"/>
      <c r="E161" s="110" t="n"/>
      <c r="F161" s="110" t="n"/>
      <c r="G161" s="110" t="n"/>
      <c r="H161" s="110" t="n"/>
      <c r="I161" s="110" t="n"/>
      <c r="J161" s="110" t="n"/>
      <c r="K161" s="110" t="n"/>
      <c r="L161" s="110" t="n"/>
      <c r="M161" s="110" t="n"/>
      <c r="N161" s="111" t="n"/>
    </row>
    <row r="162" ht="15" customHeight="1" s="106">
      <c r="A162" s="138" t="inlineStr">
        <is>
          <t>PP-SEA-Y2A-APRI</t>
        </is>
      </c>
      <c r="B162" s="138" t="inlineStr">
        <is>
          <t>Apricot &amp; Spiced Beef</t>
        </is>
      </c>
      <c r="C162" s="138" t="inlineStr">
        <is>
          <t>Y2 Autumn - Cape Malay</t>
        </is>
      </c>
      <c r="D162" s="139" t="inlineStr">
        <is>
          <t>Pasta</t>
        </is>
      </c>
      <c r="E162" s="134" t="inlineStr">
        <is>
          <t>PP-DOUGH-BOKGAT</t>
        </is>
      </c>
      <c r="F162" s="113" t="inlineStr">
        <is>
          <t>Bokgat Base, Rigatoni - dried weight</t>
        </is>
      </c>
      <c r="G162" s="147" t="n">
        <v>111</v>
      </c>
      <c r="H162" s="164" t="inlineStr">
        <is>
          <t>g</t>
        </is>
      </c>
      <c r="I162" s="150">
        <f>IFERROR(INDEX('04 SKU Master'!$AM$5:$AM$165,MATCH($E162,'04 SKU Master'!$A$5:$A$165,0)),IFERROR(INDEX('05 Packaging Master'!$AM$5:$AM$50,MATCH($E162,'05 Packaging Master'!$A$5:$A$50,0)),IFERROR(INDEX('09 Cost Index'!$C$5:$C$24,MATCH($E162,'09 Cost Index'!$A$5:$A$24,0)),"")))</f>
        <v/>
      </c>
      <c r="J162" s="153">
        <f>'01 Control'!$C$7</f>
        <v/>
      </c>
      <c r="K162" s="150">
        <f>IF($I162="","",$G162*$I162*(1+$J162))</f>
        <v/>
      </c>
      <c r="L162" s="177">
        <f>IF(ISNUMBER(MATCH($E162,'09 Cost Index'!$A$5:$A$24,0)),"09 Cost Index",IF(ISNUMBER(MATCH($E162,'05 Packaging Master'!$A$5:$A$46,0)),"05 Packaging Master",IF(ISNUMBER(MATCH($E162,'04 SKU Master'!$A$5:$A$165,0)),"04 SKU Master","NOT FOUND")))</f>
        <v/>
      </c>
      <c r="M162" s="178">
        <f>IFERROR(INDEX('12 Final Menu'!$U$5:$U$200,MATCH($A162,'12 Final Menu'!$A$5:$A$200,0)),0)</f>
        <v/>
      </c>
      <c r="N162" s="165">
        <f>$G162*(1+$J162)*$M162*1000</f>
        <v/>
      </c>
    </row>
    <row r="163" ht="15" customHeight="1" s="106">
      <c r="A163" s="138" t="inlineStr">
        <is>
          <t>PP-SEA-Y2A-APRI</t>
        </is>
      </c>
      <c r="B163" s="138" t="inlineStr">
        <is>
          <t>Apricot &amp; Spiced Beef</t>
        </is>
      </c>
      <c r="C163" s="138" t="inlineStr">
        <is>
          <t>Y2 Autumn - Cape Malay</t>
        </is>
      </c>
      <c r="D163" s="139" t="inlineStr">
        <is>
          <t>Sauce</t>
        </is>
      </c>
      <c r="E163" s="134" t="inlineStr">
        <is>
          <t>PP-SAUCE-BOL</t>
        </is>
      </c>
      <c r="F163" s="113" t="inlineStr">
        <is>
          <t>Papa's Bolognese base (CK - core)</t>
        </is>
      </c>
      <c r="G163" s="147" t="n">
        <v>150</v>
      </c>
      <c r="H163" s="164" t="inlineStr">
        <is>
          <t>g</t>
        </is>
      </c>
      <c r="I163" s="150">
        <f>IFERROR(INDEX('04 SKU Master'!$AM$5:$AM$165,MATCH($E163,'04 SKU Master'!$A$5:$A$165,0)),IFERROR(INDEX('05 Packaging Master'!$AM$5:$AM$50,MATCH($E163,'05 Packaging Master'!$A$5:$A$50,0)),IFERROR(INDEX('09 Cost Index'!$C$5:$C$24,MATCH($E163,'09 Cost Index'!$A$5:$A$24,0)),"")))</f>
        <v/>
      </c>
      <c r="J163" s="153">
        <f>'01 Control'!$C$7</f>
        <v/>
      </c>
      <c r="K163" s="150">
        <f>IF($I163="","",$G163*$I163*(1+$J163))</f>
        <v/>
      </c>
      <c r="L163" s="177">
        <f>IF(ISNUMBER(MATCH($E163,'09 Cost Index'!$A$5:$A$24,0)),"09 Cost Index",IF(ISNUMBER(MATCH($E163,'05 Packaging Master'!$A$5:$A$46,0)),"05 Packaging Master",IF(ISNUMBER(MATCH($E163,'04 SKU Master'!$A$5:$A$165,0)),"04 SKU Master","NOT FOUND")))</f>
        <v/>
      </c>
      <c r="M163" s="178">
        <f>IFERROR(INDEX('12 Final Menu'!$U$5:$U$200,MATCH($A163,'12 Final Menu'!$A$5:$A$200,0)),0)</f>
        <v/>
      </c>
      <c r="N163" s="165">
        <f>$G163*(1+$J163)*$M163*1000</f>
        <v/>
      </c>
    </row>
    <row r="164" ht="15" customHeight="1" s="106">
      <c r="A164" s="138" t="inlineStr">
        <is>
          <t>PP-SEA-Y2A-APRI</t>
        </is>
      </c>
      <c r="B164" s="138" t="inlineStr">
        <is>
          <t>Apricot &amp; Spiced Beef</t>
        </is>
      </c>
      <c r="C164" s="138" t="inlineStr">
        <is>
          <t>Y2 Autumn - Cape Malay</t>
        </is>
      </c>
      <c r="D164" s="139" t="inlineStr">
        <is>
          <t>Ingredient</t>
        </is>
      </c>
      <c r="E164" s="134" t="inlineStr">
        <is>
          <t>PP-APRICOT-DRY</t>
        </is>
      </c>
      <c r="F164" s="113" t="inlineStr">
        <is>
          <t>Dried apricot</t>
        </is>
      </c>
      <c r="G164" s="147" t="n">
        <v>30</v>
      </c>
      <c r="H164" s="164" t="inlineStr">
        <is>
          <t>g</t>
        </is>
      </c>
      <c r="I164" s="150">
        <f>IFERROR(INDEX('04 SKU Master'!$AM$5:$AM$165,MATCH($E164,'04 SKU Master'!$A$5:$A$165,0)),IFERROR(INDEX('05 Packaging Master'!$AM$5:$AM$50,MATCH($E164,'05 Packaging Master'!$A$5:$A$50,0)),IFERROR(INDEX('09 Cost Index'!$C$5:$C$24,MATCH($E164,'09 Cost Index'!$A$5:$A$24,0)),"")))</f>
        <v/>
      </c>
      <c r="J164" s="153">
        <f>'01 Control'!$C$7</f>
        <v/>
      </c>
      <c r="K164" s="150">
        <f>IF($I164="","",$G164*$I164*(1+$J164))</f>
        <v/>
      </c>
      <c r="L164" s="177">
        <f>IF(ISNUMBER(MATCH($E164,'09 Cost Index'!$A$5:$A$24,0)),"09 Cost Index",IF(ISNUMBER(MATCH($E164,'05 Packaging Master'!$A$5:$A$46,0)),"05 Packaging Master",IF(ISNUMBER(MATCH($E164,'04 SKU Master'!$A$5:$A$165,0)),"04 SKU Master","NOT FOUND")))</f>
        <v/>
      </c>
      <c r="M164" s="178">
        <f>IFERROR(INDEX('12 Final Menu'!$U$5:$U$200,MATCH($A164,'12 Final Menu'!$A$5:$A$200,0)),0)</f>
        <v/>
      </c>
      <c r="N164" s="165">
        <f>$G164*(1+$J164)*$M164*1000</f>
        <v/>
      </c>
    </row>
    <row r="165" ht="15" customHeight="1" s="106">
      <c r="A165" s="138" t="inlineStr">
        <is>
          <t>PP-SEA-Y2A-APRI</t>
        </is>
      </c>
      <c r="B165" s="138" t="inlineStr">
        <is>
          <t>Apricot &amp; Spiced Beef</t>
        </is>
      </c>
      <c r="C165" s="138" t="inlineStr">
        <is>
          <t>Y2 Autumn - Cape Malay</t>
        </is>
      </c>
      <c r="D165" s="139" t="inlineStr">
        <is>
          <t>Ingredient</t>
        </is>
      </c>
      <c r="E165" s="134" t="inlineStr">
        <is>
          <t>PP-SPICE-CAPEMALAY</t>
        </is>
      </c>
      <c r="F165" s="113" t="inlineStr">
        <is>
          <t>Cinnamon-spice blend</t>
        </is>
      </c>
      <c r="G165" s="147" t="n">
        <v>4</v>
      </c>
      <c r="H165" s="164" t="inlineStr">
        <is>
          <t>g</t>
        </is>
      </c>
      <c r="I165" s="150">
        <f>IFERROR(INDEX('04 SKU Master'!$AM$5:$AM$165,MATCH($E165,'04 SKU Master'!$A$5:$A$165,0)),IFERROR(INDEX('05 Packaging Master'!$AM$5:$AM$50,MATCH($E165,'05 Packaging Master'!$A$5:$A$50,0)),IFERROR(INDEX('09 Cost Index'!$C$5:$C$24,MATCH($E165,'09 Cost Index'!$A$5:$A$24,0)),"")))</f>
        <v/>
      </c>
      <c r="J165" s="153">
        <f>'01 Control'!$C$7</f>
        <v/>
      </c>
      <c r="K165" s="150">
        <f>IF($I165="","",$G165*$I165*(1+$J165))</f>
        <v/>
      </c>
      <c r="L165" s="177">
        <f>IF(ISNUMBER(MATCH($E165,'09 Cost Index'!$A$5:$A$24,0)),"09 Cost Index",IF(ISNUMBER(MATCH($E165,'05 Packaging Master'!$A$5:$A$46,0)),"05 Packaging Master",IF(ISNUMBER(MATCH($E165,'04 SKU Master'!$A$5:$A$165,0)),"04 SKU Master","NOT FOUND")))</f>
        <v/>
      </c>
      <c r="M165" s="178">
        <f>IFERROR(INDEX('12 Final Menu'!$U$5:$U$200,MATCH($A165,'12 Final Menu'!$A$5:$A$200,0)),0)</f>
        <v/>
      </c>
      <c r="N165" s="165">
        <f>$G165*(1+$J165)*$M165*1000</f>
        <v/>
      </c>
    </row>
    <row r="166" ht="15" customHeight="1" s="106">
      <c r="A166" s="138" t="inlineStr">
        <is>
          <t>PP-SEA-Y2A-APRI</t>
        </is>
      </c>
      <c r="B166" s="138" t="inlineStr">
        <is>
          <t>Apricot &amp; Spiced Beef</t>
        </is>
      </c>
      <c r="C166" s="138" t="inlineStr">
        <is>
          <t>Y2 Autumn - Cape Malay</t>
        </is>
      </c>
      <c r="D166" s="139" t="inlineStr">
        <is>
          <t>Packaging</t>
        </is>
      </c>
      <c r="E166" s="134" t="inlineStr">
        <is>
          <t>PP-PACK-TUB</t>
        </is>
      </c>
      <c r="F166" s="113" t="inlineStr">
        <is>
          <t>Takeaway pasta tub</t>
        </is>
      </c>
      <c r="G166" s="147" t="n">
        <v>1</v>
      </c>
      <c r="H166" s="164" t="inlineStr">
        <is>
          <t>ea</t>
        </is>
      </c>
      <c r="I166" s="150">
        <f>IFERROR(INDEX('04 SKU Master'!$AM$5:$AM$165,MATCH($E166,'04 SKU Master'!$A$5:$A$165,0)),IFERROR(INDEX('05 Packaging Master'!$AM$5:$AM$50,MATCH($E166,'05 Packaging Master'!$A$5:$A$50,0)),IFERROR(INDEX('09 Cost Index'!$C$5:$C$24,MATCH($E166,'09 Cost Index'!$A$5:$A$24,0)),"")))</f>
        <v/>
      </c>
      <c r="J166" s="153">
        <f>'01 Control'!$C$7</f>
        <v/>
      </c>
      <c r="K166" s="150">
        <f>IF($I166="","",$G166*$I166*(1+$J166))</f>
        <v/>
      </c>
      <c r="L166" s="177">
        <f>IF(ISNUMBER(MATCH($E166,'09 Cost Index'!$A$5:$A$24,0)),"09 Cost Index",IF(ISNUMBER(MATCH($E166,'05 Packaging Master'!$A$5:$A$46,0)),"05 Packaging Master",IF(ISNUMBER(MATCH($E166,'04 SKU Master'!$A$5:$A$165,0)),"04 SKU Master","NOT FOUND")))</f>
        <v/>
      </c>
      <c r="M166" s="178">
        <f>IFERROR(INDEX('12 Final Menu'!$U$5:$U$200,MATCH($A166,'12 Final Menu'!$A$5:$A$200,0)),0)</f>
        <v/>
      </c>
      <c r="N166" s="165">
        <f>$G166*(1+$J166)*$M166*1000</f>
        <v/>
      </c>
    </row>
    <row r="167" ht="15" customHeight="1" s="106">
      <c r="A167" s="138" t="inlineStr">
        <is>
          <t>PP-SEA-Y2A-APRI</t>
        </is>
      </c>
      <c r="B167" s="138" t="inlineStr">
        <is>
          <t>Apricot &amp; Spiced Beef</t>
        </is>
      </c>
      <c r="C167" s="138" t="inlineStr">
        <is>
          <t>Y2 Autumn - Cape Malay</t>
        </is>
      </c>
      <c r="D167" s="139" t="inlineStr">
        <is>
          <t>Packaging</t>
        </is>
      </c>
      <c r="E167" s="134" t="inlineStr">
        <is>
          <t>PP-PACK-LID</t>
        </is>
      </c>
      <c r="F167" s="113" t="inlineStr">
        <is>
          <t>Bowl lid</t>
        </is>
      </c>
      <c r="G167" s="147" t="n">
        <v>1</v>
      </c>
      <c r="H167" s="164" t="inlineStr">
        <is>
          <t>ea</t>
        </is>
      </c>
      <c r="I167" s="150">
        <f>IFERROR(INDEX('04 SKU Master'!$AM$5:$AM$165,MATCH($E167,'04 SKU Master'!$A$5:$A$165,0)),IFERROR(INDEX('05 Packaging Master'!$AM$5:$AM$50,MATCH($E167,'05 Packaging Master'!$A$5:$A$50,0)),IFERROR(INDEX('09 Cost Index'!$C$5:$C$24,MATCH($E167,'09 Cost Index'!$A$5:$A$24,0)),"")))</f>
        <v/>
      </c>
      <c r="J167" s="153">
        <f>'01 Control'!$C$7</f>
        <v/>
      </c>
      <c r="K167" s="150">
        <f>IF($I167="","",$G167*$I167*(1+$J167))</f>
        <v/>
      </c>
      <c r="L167" s="177">
        <f>IF(ISNUMBER(MATCH($E167,'09 Cost Index'!$A$5:$A$24,0)),"09 Cost Index",IF(ISNUMBER(MATCH($E167,'05 Packaging Master'!$A$5:$A$46,0)),"05 Packaging Master",IF(ISNUMBER(MATCH($E167,'04 SKU Master'!$A$5:$A$165,0)),"04 SKU Master","NOT FOUND")))</f>
        <v/>
      </c>
      <c r="M167" s="178">
        <f>IFERROR(INDEX('12 Final Menu'!$U$5:$U$200,MATCH($A167,'12 Final Menu'!$A$5:$A$200,0)),0)</f>
        <v/>
      </c>
      <c r="N167" s="165">
        <f>$G167*(1+$J167)*$M167*1000</f>
        <v/>
      </c>
    </row>
    <row r="168" ht="15" customHeight="1" s="106">
      <c r="A168" s="138" t="inlineStr">
        <is>
          <t>PP-SEA-Y2A-APRI</t>
        </is>
      </c>
      <c r="B168" s="138" t="inlineStr">
        <is>
          <t>Apricot &amp; Spiced Beef</t>
        </is>
      </c>
      <c r="C168" s="138" t="inlineStr">
        <is>
          <t>Y2 Autumn - Cape Malay</t>
        </is>
      </c>
      <c r="D168" s="139" t="inlineStr">
        <is>
          <t>Packaging</t>
        </is>
      </c>
      <c r="E168" s="134" t="inlineStr">
        <is>
          <t>PP-PACK-CUTLERY</t>
        </is>
      </c>
      <c r="F168" s="113" t="inlineStr">
        <is>
          <t>Cutlery set</t>
        </is>
      </c>
      <c r="G168" s="147" t="n">
        <v>1</v>
      </c>
      <c r="H168" s="164" t="inlineStr">
        <is>
          <t>ea</t>
        </is>
      </c>
      <c r="I168" s="150">
        <f>IFERROR(INDEX('04 SKU Master'!$AM$5:$AM$165,MATCH($E168,'04 SKU Master'!$A$5:$A$165,0)),IFERROR(INDEX('05 Packaging Master'!$AM$5:$AM$50,MATCH($E168,'05 Packaging Master'!$A$5:$A$50,0)),IFERROR(INDEX('09 Cost Index'!$C$5:$C$24,MATCH($E168,'09 Cost Index'!$A$5:$A$24,0)),"")))</f>
        <v/>
      </c>
      <c r="J168" s="153">
        <f>'01 Control'!$C$7</f>
        <v/>
      </c>
      <c r="K168" s="150">
        <f>IF($I168="","",$G168*$I168*(1+$J168))</f>
        <v/>
      </c>
      <c r="L168" s="177">
        <f>IF(ISNUMBER(MATCH($E168,'09 Cost Index'!$A$5:$A$24,0)),"09 Cost Index",IF(ISNUMBER(MATCH($E168,'05 Packaging Master'!$A$5:$A$46,0)),"05 Packaging Master",IF(ISNUMBER(MATCH($E168,'04 SKU Master'!$A$5:$A$165,0)),"04 SKU Master","NOT FOUND")))</f>
        <v/>
      </c>
      <c r="M168" s="178">
        <f>IFERROR(INDEX('12 Final Menu'!$U$5:$U$200,MATCH($A168,'12 Final Menu'!$A$5:$A$200,0)),0)</f>
        <v/>
      </c>
      <c r="N168" s="165">
        <f>$G168*(1+$J168)*$M168*1000</f>
        <v/>
      </c>
    </row>
    <row r="169" ht="15" customHeight="1" s="106">
      <c r="A169" s="138" t="inlineStr">
        <is>
          <t>PP-SEA-Y2A-APRI</t>
        </is>
      </c>
      <c r="B169" s="138" t="inlineStr">
        <is>
          <t>Apricot &amp; Spiced Beef</t>
        </is>
      </c>
      <c r="C169" s="138" t="inlineStr">
        <is>
          <t>Y2 Autumn - Cape Malay</t>
        </is>
      </c>
      <c r="D169" s="139" t="inlineStr">
        <is>
          <t>Packaging</t>
        </is>
      </c>
      <c r="E169" s="134" t="inlineStr">
        <is>
          <t>PP-PACK-NAPKIN</t>
        </is>
      </c>
      <c r="F169" s="113" t="inlineStr">
        <is>
          <t>Branded napkin</t>
        </is>
      </c>
      <c r="G169" s="147" t="n">
        <v>1</v>
      </c>
      <c r="H169" s="164" t="inlineStr">
        <is>
          <t>ea</t>
        </is>
      </c>
      <c r="I169" s="150">
        <f>IFERROR(INDEX('04 SKU Master'!$AM$5:$AM$165,MATCH($E169,'04 SKU Master'!$A$5:$A$165,0)),IFERROR(INDEX('05 Packaging Master'!$AM$5:$AM$50,MATCH($E169,'05 Packaging Master'!$A$5:$A$50,0)),IFERROR(INDEX('09 Cost Index'!$C$5:$C$24,MATCH($E169,'09 Cost Index'!$A$5:$A$24,0)),"")))</f>
        <v/>
      </c>
      <c r="J169" s="153">
        <f>'01 Control'!$C$7</f>
        <v/>
      </c>
      <c r="K169" s="150">
        <f>IF($I169="","",$G169*$I169*(1+$J169))</f>
        <v/>
      </c>
      <c r="L169" s="177">
        <f>IF(ISNUMBER(MATCH($E169,'09 Cost Index'!$A$5:$A$24,0)),"09 Cost Index",IF(ISNUMBER(MATCH($E169,'05 Packaging Master'!$A$5:$A$46,0)),"05 Packaging Master",IF(ISNUMBER(MATCH($E169,'04 SKU Master'!$A$5:$A$165,0)),"04 SKU Master","NOT FOUND")))</f>
        <v/>
      </c>
      <c r="M169" s="178">
        <f>IFERROR(INDEX('12 Final Menu'!$U$5:$U$200,MATCH($A169,'12 Final Menu'!$A$5:$A$200,0)),0)</f>
        <v/>
      </c>
      <c r="N169" s="165">
        <f>$G169*(1+$J169)*$M169*1000</f>
        <v/>
      </c>
    </row>
    <row r="170"/>
    <row r="171" ht="15" customHeight="1" s="106">
      <c r="A171" s="144" t="inlineStr">
        <is>
          <t>YEAR 2  |  Autumn (Mar-May)  |  Cape Malay   -&gt;   Turmeric Roast Veg   |   Casarecce   |   PP-SEA-Y2A-TURM</t>
        </is>
      </c>
      <c r="B171" s="110" t="n"/>
      <c r="C171" s="110" t="n"/>
      <c r="D171" s="110" t="n"/>
      <c r="E171" s="110" t="n"/>
      <c r="F171" s="110" t="n"/>
      <c r="G171" s="110" t="n"/>
      <c r="H171" s="110" t="n"/>
      <c r="I171" s="110" t="n"/>
      <c r="J171" s="110" t="n"/>
      <c r="K171" s="110" t="n"/>
      <c r="L171" s="110" t="n"/>
      <c r="M171" s="110" t="n"/>
      <c r="N171" s="111" t="n"/>
    </row>
    <row r="172" ht="15" customHeight="1" s="106">
      <c r="A172" s="138" t="inlineStr">
        <is>
          <t>PP-SEA-Y2A-TURM</t>
        </is>
      </c>
      <c r="B172" s="138" t="inlineStr">
        <is>
          <t>Turmeric Roast Veg</t>
        </is>
      </c>
      <c r="C172" s="138" t="inlineStr">
        <is>
          <t>Y2 Autumn - Cape Malay</t>
        </is>
      </c>
      <c r="D172" s="139" t="inlineStr">
        <is>
          <t>Pasta</t>
        </is>
      </c>
      <c r="E172" s="134" t="inlineStr">
        <is>
          <t>PP-DOUGH-CHICKPEA</t>
        </is>
      </c>
      <c r="F172" s="113" t="inlineStr">
        <is>
          <t>Chickpea Power Pro, Casarecce - dried weight</t>
        </is>
      </c>
      <c r="G172" s="147" t="n">
        <v>111</v>
      </c>
      <c r="H172" s="164" t="inlineStr">
        <is>
          <t>g</t>
        </is>
      </c>
      <c r="I172" s="150">
        <f>IFERROR(INDEX('04 SKU Master'!$AM$5:$AM$165,MATCH($E172,'04 SKU Master'!$A$5:$A$165,0)),IFERROR(INDEX('05 Packaging Master'!$AM$5:$AM$50,MATCH($E172,'05 Packaging Master'!$A$5:$A$50,0)),IFERROR(INDEX('09 Cost Index'!$C$5:$C$24,MATCH($E172,'09 Cost Index'!$A$5:$A$24,0)),"")))</f>
        <v/>
      </c>
      <c r="J172" s="153">
        <f>'01 Control'!$C$7</f>
        <v/>
      </c>
      <c r="K172" s="150">
        <f>IF($I172="","",$G172*$I172*(1+$J172))</f>
        <v/>
      </c>
      <c r="L172" s="177">
        <f>IF(ISNUMBER(MATCH($E172,'09 Cost Index'!$A$5:$A$24,0)),"09 Cost Index",IF(ISNUMBER(MATCH($E172,'05 Packaging Master'!$A$5:$A$46,0)),"05 Packaging Master",IF(ISNUMBER(MATCH($E172,'04 SKU Master'!$A$5:$A$165,0)),"04 SKU Master","NOT FOUND")))</f>
        <v/>
      </c>
      <c r="M172" s="178">
        <f>IFERROR(INDEX('12 Final Menu'!$U$5:$U$200,MATCH($A172,'12 Final Menu'!$A$5:$A$200,0)),0)</f>
        <v/>
      </c>
      <c r="N172" s="165">
        <f>$G172*(1+$J172)*$M172*1000</f>
        <v/>
      </c>
    </row>
    <row r="173" ht="15" customHeight="1" s="106">
      <c r="A173" s="138" t="inlineStr">
        <is>
          <t>PP-SEA-Y2A-TURM</t>
        </is>
      </c>
      <c r="B173" s="138" t="inlineStr">
        <is>
          <t>Turmeric Roast Veg</t>
        </is>
      </c>
      <c r="C173" s="138" t="inlineStr">
        <is>
          <t>Y2 Autumn - Cape Malay</t>
        </is>
      </c>
      <c r="D173" s="139" t="inlineStr">
        <is>
          <t>Sauce</t>
        </is>
      </c>
      <c r="E173" s="134" t="inlineStr">
        <is>
          <t>PP-SAUCE-ALO</t>
        </is>
      </c>
      <c r="F173" s="113" t="inlineStr">
        <is>
          <t>Aglio e Olio Kit base (CK - core)</t>
        </is>
      </c>
      <c r="G173" s="147" t="n">
        <v>35</v>
      </c>
      <c r="H173" s="164" t="inlineStr">
        <is>
          <t>g</t>
        </is>
      </c>
      <c r="I173" s="150">
        <f>IFERROR(INDEX('04 SKU Master'!$AM$5:$AM$165,MATCH($E173,'04 SKU Master'!$A$5:$A$165,0)),IFERROR(INDEX('05 Packaging Master'!$AM$5:$AM$50,MATCH($E173,'05 Packaging Master'!$A$5:$A$50,0)),IFERROR(INDEX('09 Cost Index'!$C$5:$C$24,MATCH($E173,'09 Cost Index'!$A$5:$A$24,0)),"")))</f>
        <v/>
      </c>
      <c r="J173" s="153">
        <f>'01 Control'!$C$7</f>
        <v/>
      </c>
      <c r="K173" s="150">
        <f>IF($I173="","",$G173*$I173*(1+$J173))</f>
        <v/>
      </c>
      <c r="L173" s="177">
        <f>IF(ISNUMBER(MATCH($E173,'09 Cost Index'!$A$5:$A$24,0)),"09 Cost Index",IF(ISNUMBER(MATCH($E173,'05 Packaging Master'!$A$5:$A$46,0)),"05 Packaging Master",IF(ISNUMBER(MATCH($E173,'04 SKU Master'!$A$5:$A$165,0)),"04 SKU Master","NOT FOUND")))</f>
        <v/>
      </c>
      <c r="M173" s="178">
        <f>IFERROR(INDEX('12 Final Menu'!$U$5:$U$200,MATCH($A173,'12 Final Menu'!$A$5:$A$200,0)),0)</f>
        <v/>
      </c>
      <c r="N173" s="165">
        <f>$G173*(1+$J173)*$M173*1000</f>
        <v/>
      </c>
    </row>
    <row r="174" ht="15" customHeight="1" s="106">
      <c r="A174" s="138" t="inlineStr">
        <is>
          <t>PP-SEA-Y2A-TURM</t>
        </is>
      </c>
      <c r="B174" s="138" t="inlineStr">
        <is>
          <t>Turmeric Roast Veg</t>
        </is>
      </c>
      <c r="C174" s="138" t="inlineStr">
        <is>
          <t>Y2 Autumn - Cape Malay</t>
        </is>
      </c>
      <c r="D174" s="139" t="inlineStr">
        <is>
          <t>Ingredient</t>
        </is>
      </c>
      <c r="E174" s="134" t="inlineStr">
        <is>
          <t>PP-VEG-BUTTERNUT</t>
        </is>
      </c>
      <c r="F174" s="113" t="inlineStr">
        <is>
          <t>Roast butternut</t>
        </is>
      </c>
      <c r="G174" s="147" t="n">
        <v>60</v>
      </c>
      <c r="H174" s="164" t="inlineStr">
        <is>
          <t>g</t>
        </is>
      </c>
      <c r="I174" s="150">
        <f>IFERROR(INDEX('04 SKU Master'!$AM$5:$AM$165,MATCH($E174,'04 SKU Master'!$A$5:$A$165,0)),IFERROR(INDEX('05 Packaging Master'!$AM$5:$AM$50,MATCH($E174,'05 Packaging Master'!$A$5:$A$50,0)),IFERROR(INDEX('09 Cost Index'!$C$5:$C$24,MATCH($E174,'09 Cost Index'!$A$5:$A$24,0)),"")))</f>
        <v/>
      </c>
      <c r="J174" s="153">
        <f>'01 Control'!$C$7</f>
        <v/>
      </c>
      <c r="K174" s="150">
        <f>IF($I174="","",$G174*$I174*(1+$J174))</f>
        <v/>
      </c>
      <c r="L174" s="177">
        <f>IF(ISNUMBER(MATCH($E174,'09 Cost Index'!$A$5:$A$24,0)),"09 Cost Index",IF(ISNUMBER(MATCH($E174,'05 Packaging Master'!$A$5:$A$46,0)),"05 Packaging Master",IF(ISNUMBER(MATCH($E174,'04 SKU Master'!$A$5:$A$165,0)),"04 SKU Master","NOT FOUND")))</f>
        <v/>
      </c>
      <c r="M174" s="178">
        <f>IFERROR(INDEX('12 Final Menu'!$U$5:$U$200,MATCH($A174,'12 Final Menu'!$A$5:$A$200,0)),0)</f>
        <v/>
      </c>
      <c r="N174" s="165">
        <f>$G174*(1+$J174)*$M174*1000</f>
        <v/>
      </c>
    </row>
    <row r="175" ht="15" customHeight="1" s="106">
      <c r="A175" s="138" t="inlineStr">
        <is>
          <t>PP-SEA-Y2A-TURM</t>
        </is>
      </c>
      <c r="B175" s="138" t="inlineStr">
        <is>
          <t>Turmeric Roast Veg</t>
        </is>
      </c>
      <c r="C175" s="138" t="inlineStr">
        <is>
          <t>Y2 Autumn - Cape Malay</t>
        </is>
      </c>
      <c r="D175" s="139" t="inlineStr">
        <is>
          <t>Ingredient</t>
        </is>
      </c>
      <c r="E175" s="134" t="inlineStr">
        <is>
          <t>PP-VEG-ZUCCHINI</t>
        </is>
      </c>
      <c r="F175" s="113" t="inlineStr">
        <is>
          <t>Baby marrow</t>
        </is>
      </c>
      <c r="G175" s="147" t="n">
        <v>50</v>
      </c>
      <c r="H175" s="164" t="inlineStr">
        <is>
          <t>g</t>
        </is>
      </c>
      <c r="I175" s="150">
        <f>IFERROR(INDEX('04 SKU Master'!$AM$5:$AM$165,MATCH($E175,'04 SKU Master'!$A$5:$A$165,0)),IFERROR(INDEX('05 Packaging Master'!$AM$5:$AM$50,MATCH($E175,'05 Packaging Master'!$A$5:$A$50,0)),IFERROR(INDEX('09 Cost Index'!$C$5:$C$24,MATCH($E175,'09 Cost Index'!$A$5:$A$24,0)),"")))</f>
        <v/>
      </c>
      <c r="J175" s="153">
        <f>'01 Control'!$C$7</f>
        <v/>
      </c>
      <c r="K175" s="150">
        <f>IF($I175="","",$G175*$I175*(1+$J175))</f>
        <v/>
      </c>
      <c r="L175" s="177">
        <f>IF(ISNUMBER(MATCH($E175,'09 Cost Index'!$A$5:$A$24,0)),"09 Cost Index",IF(ISNUMBER(MATCH($E175,'05 Packaging Master'!$A$5:$A$46,0)),"05 Packaging Master",IF(ISNUMBER(MATCH($E175,'04 SKU Master'!$A$5:$A$165,0)),"04 SKU Master","NOT FOUND")))</f>
        <v/>
      </c>
      <c r="M175" s="178">
        <f>IFERROR(INDEX('12 Final Menu'!$U$5:$U$200,MATCH($A175,'12 Final Menu'!$A$5:$A$200,0)),0)</f>
        <v/>
      </c>
      <c r="N175" s="165">
        <f>$G175*(1+$J175)*$M175*1000</f>
        <v/>
      </c>
    </row>
    <row r="176" ht="15" customHeight="1" s="106">
      <c r="A176" s="138" t="inlineStr">
        <is>
          <t>PP-SEA-Y2A-TURM</t>
        </is>
      </c>
      <c r="B176" s="138" t="inlineStr">
        <is>
          <t>Turmeric Roast Veg</t>
        </is>
      </c>
      <c r="C176" s="138" t="inlineStr">
        <is>
          <t>Y2 Autumn - Cape Malay</t>
        </is>
      </c>
      <c r="D176" s="139" t="inlineStr">
        <is>
          <t>Ingredient</t>
        </is>
      </c>
      <c r="E176" s="134" t="inlineStr">
        <is>
          <t>PP-SPICE-TURMERIC</t>
        </is>
      </c>
      <c r="F176" s="113" t="inlineStr">
        <is>
          <t>Turmeric</t>
        </is>
      </c>
      <c r="G176" s="147" t="n">
        <v>5</v>
      </c>
      <c r="H176" s="164" t="inlineStr">
        <is>
          <t>g</t>
        </is>
      </c>
      <c r="I176" s="150">
        <f>IFERROR(INDEX('04 SKU Master'!$AM$5:$AM$165,MATCH($E176,'04 SKU Master'!$A$5:$A$165,0)),IFERROR(INDEX('05 Packaging Master'!$AM$5:$AM$50,MATCH($E176,'05 Packaging Master'!$A$5:$A$50,0)),IFERROR(INDEX('09 Cost Index'!$C$5:$C$24,MATCH($E176,'09 Cost Index'!$A$5:$A$24,0)),"")))</f>
        <v/>
      </c>
      <c r="J176" s="153">
        <f>'01 Control'!$C$7</f>
        <v/>
      </c>
      <c r="K176" s="150">
        <f>IF($I176="","",$G176*$I176*(1+$J176))</f>
        <v/>
      </c>
      <c r="L176" s="177">
        <f>IF(ISNUMBER(MATCH($E176,'09 Cost Index'!$A$5:$A$24,0)),"09 Cost Index",IF(ISNUMBER(MATCH($E176,'05 Packaging Master'!$A$5:$A$46,0)),"05 Packaging Master",IF(ISNUMBER(MATCH($E176,'04 SKU Master'!$A$5:$A$165,0)),"04 SKU Master","NOT FOUND")))</f>
        <v/>
      </c>
      <c r="M176" s="178">
        <f>IFERROR(INDEX('12 Final Menu'!$U$5:$U$200,MATCH($A176,'12 Final Menu'!$A$5:$A$200,0)),0)</f>
        <v/>
      </c>
      <c r="N176" s="165">
        <f>$G176*(1+$J176)*$M176*1000</f>
        <v/>
      </c>
    </row>
    <row r="177" ht="15" customHeight="1" s="106">
      <c r="A177" s="138" t="inlineStr">
        <is>
          <t>PP-SEA-Y2A-TURM</t>
        </is>
      </c>
      <c r="B177" s="138" t="inlineStr">
        <is>
          <t>Turmeric Roast Veg</t>
        </is>
      </c>
      <c r="C177" s="138" t="inlineStr">
        <is>
          <t>Y2 Autumn - Cape Malay</t>
        </is>
      </c>
      <c r="D177" s="139" t="inlineStr">
        <is>
          <t>Packaging</t>
        </is>
      </c>
      <c r="E177" s="134" t="inlineStr">
        <is>
          <t>PP-PACK-TUB</t>
        </is>
      </c>
      <c r="F177" s="113" t="inlineStr">
        <is>
          <t>Takeaway pasta tub</t>
        </is>
      </c>
      <c r="G177" s="147" t="n">
        <v>1</v>
      </c>
      <c r="H177" s="164" t="inlineStr">
        <is>
          <t>ea</t>
        </is>
      </c>
      <c r="I177" s="150">
        <f>IFERROR(INDEX('04 SKU Master'!$AM$5:$AM$165,MATCH($E177,'04 SKU Master'!$A$5:$A$165,0)),IFERROR(INDEX('05 Packaging Master'!$AM$5:$AM$50,MATCH($E177,'05 Packaging Master'!$A$5:$A$50,0)),IFERROR(INDEX('09 Cost Index'!$C$5:$C$24,MATCH($E177,'09 Cost Index'!$A$5:$A$24,0)),"")))</f>
        <v/>
      </c>
      <c r="J177" s="153">
        <f>'01 Control'!$C$7</f>
        <v/>
      </c>
      <c r="K177" s="150">
        <f>IF($I177="","",$G177*$I177*(1+$J177))</f>
        <v/>
      </c>
      <c r="L177" s="177">
        <f>IF(ISNUMBER(MATCH($E177,'09 Cost Index'!$A$5:$A$24,0)),"09 Cost Index",IF(ISNUMBER(MATCH($E177,'05 Packaging Master'!$A$5:$A$46,0)),"05 Packaging Master",IF(ISNUMBER(MATCH($E177,'04 SKU Master'!$A$5:$A$165,0)),"04 SKU Master","NOT FOUND")))</f>
        <v/>
      </c>
      <c r="M177" s="178">
        <f>IFERROR(INDEX('12 Final Menu'!$U$5:$U$200,MATCH($A177,'12 Final Menu'!$A$5:$A$200,0)),0)</f>
        <v/>
      </c>
      <c r="N177" s="165">
        <f>$G177*(1+$J177)*$M177*1000</f>
        <v/>
      </c>
    </row>
    <row r="178" ht="15" customHeight="1" s="106">
      <c r="A178" s="138" t="inlineStr">
        <is>
          <t>PP-SEA-Y2A-TURM</t>
        </is>
      </c>
      <c r="B178" s="138" t="inlineStr">
        <is>
          <t>Turmeric Roast Veg</t>
        </is>
      </c>
      <c r="C178" s="138" t="inlineStr">
        <is>
          <t>Y2 Autumn - Cape Malay</t>
        </is>
      </c>
      <c r="D178" s="139" t="inlineStr">
        <is>
          <t>Packaging</t>
        </is>
      </c>
      <c r="E178" s="134" t="inlineStr">
        <is>
          <t>PP-PACK-LID</t>
        </is>
      </c>
      <c r="F178" s="113" t="inlineStr">
        <is>
          <t>Bowl lid</t>
        </is>
      </c>
      <c r="G178" s="147" t="n">
        <v>1</v>
      </c>
      <c r="H178" s="164" t="inlineStr">
        <is>
          <t>ea</t>
        </is>
      </c>
      <c r="I178" s="150">
        <f>IFERROR(INDEX('04 SKU Master'!$AM$5:$AM$165,MATCH($E178,'04 SKU Master'!$A$5:$A$165,0)),IFERROR(INDEX('05 Packaging Master'!$AM$5:$AM$50,MATCH($E178,'05 Packaging Master'!$A$5:$A$50,0)),IFERROR(INDEX('09 Cost Index'!$C$5:$C$24,MATCH($E178,'09 Cost Index'!$A$5:$A$24,0)),"")))</f>
        <v/>
      </c>
      <c r="J178" s="153">
        <f>'01 Control'!$C$7</f>
        <v/>
      </c>
      <c r="K178" s="150">
        <f>IF($I178="","",$G178*$I178*(1+$J178))</f>
        <v/>
      </c>
      <c r="L178" s="177">
        <f>IF(ISNUMBER(MATCH($E178,'09 Cost Index'!$A$5:$A$24,0)),"09 Cost Index",IF(ISNUMBER(MATCH($E178,'05 Packaging Master'!$A$5:$A$46,0)),"05 Packaging Master",IF(ISNUMBER(MATCH($E178,'04 SKU Master'!$A$5:$A$165,0)),"04 SKU Master","NOT FOUND")))</f>
        <v/>
      </c>
      <c r="M178" s="178">
        <f>IFERROR(INDEX('12 Final Menu'!$U$5:$U$200,MATCH($A178,'12 Final Menu'!$A$5:$A$200,0)),0)</f>
        <v/>
      </c>
      <c r="N178" s="165">
        <f>$G178*(1+$J178)*$M178*1000</f>
        <v/>
      </c>
    </row>
    <row r="179" ht="15" customHeight="1" s="106">
      <c r="A179" s="138" t="inlineStr">
        <is>
          <t>PP-SEA-Y2A-TURM</t>
        </is>
      </c>
      <c r="B179" s="138" t="inlineStr">
        <is>
          <t>Turmeric Roast Veg</t>
        </is>
      </c>
      <c r="C179" s="138" t="inlineStr">
        <is>
          <t>Y2 Autumn - Cape Malay</t>
        </is>
      </c>
      <c r="D179" s="139" t="inlineStr">
        <is>
          <t>Packaging</t>
        </is>
      </c>
      <c r="E179" s="134" t="inlineStr">
        <is>
          <t>PP-PACK-CUTLERY</t>
        </is>
      </c>
      <c r="F179" s="113" t="inlineStr">
        <is>
          <t>Cutlery set</t>
        </is>
      </c>
      <c r="G179" s="147" t="n">
        <v>1</v>
      </c>
      <c r="H179" s="164" t="inlineStr">
        <is>
          <t>ea</t>
        </is>
      </c>
      <c r="I179" s="150">
        <f>IFERROR(INDEX('04 SKU Master'!$AM$5:$AM$165,MATCH($E179,'04 SKU Master'!$A$5:$A$165,0)),IFERROR(INDEX('05 Packaging Master'!$AM$5:$AM$50,MATCH($E179,'05 Packaging Master'!$A$5:$A$50,0)),IFERROR(INDEX('09 Cost Index'!$C$5:$C$24,MATCH($E179,'09 Cost Index'!$A$5:$A$24,0)),"")))</f>
        <v/>
      </c>
      <c r="J179" s="153">
        <f>'01 Control'!$C$7</f>
        <v/>
      </c>
      <c r="K179" s="150">
        <f>IF($I179="","",$G179*$I179*(1+$J179))</f>
        <v/>
      </c>
      <c r="L179" s="177">
        <f>IF(ISNUMBER(MATCH($E179,'09 Cost Index'!$A$5:$A$24,0)),"09 Cost Index",IF(ISNUMBER(MATCH($E179,'05 Packaging Master'!$A$5:$A$46,0)),"05 Packaging Master",IF(ISNUMBER(MATCH($E179,'04 SKU Master'!$A$5:$A$165,0)),"04 SKU Master","NOT FOUND")))</f>
        <v/>
      </c>
      <c r="M179" s="178">
        <f>IFERROR(INDEX('12 Final Menu'!$U$5:$U$200,MATCH($A179,'12 Final Menu'!$A$5:$A$200,0)),0)</f>
        <v/>
      </c>
      <c r="N179" s="165">
        <f>$G179*(1+$J179)*$M179*1000</f>
        <v/>
      </c>
    </row>
    <row r="180" ht="15" customHeight="1" s="106">
      <c r="A180" s="138" t="inlineStr">
        <is>
          <t>PP-SEA-Y2A-TURM</t>
        </is>
      </c>
      <c r="B180" s="138" t="inlineStr">
        <is>
          <t>Turmeric Roast Veg</t>
        </is>
      </c>
      <c r="C180" s="138" t="inlineStr">
        <is>
          <t>Y2 Autumn - Cape Malay</t>
        </is>
      </c>
      <c r="D180" s="139" t="inlineStr">
        <is>
          <t>Packaging</t>
        </is>
      </c>
      <c r="E180" s="134" t="inlineStr">
        <is>
          <t>PP-PACK-NAPKIN</t>
        </is>
      </c>
      <c r="F180" s="113" t="inlineStr">
        <is>
          <t>Branded napkin</t>
        </is>
      </c>
      <c r="G180" s="147" t="n">
        <v>1</v>
      </c>
      <c r="H180" s="164" t="inlineStr">
        <is>
          <t>ea</t>
        </is>
      </c>
      <c r="I180" s="150">
        <f>IFERROR(INDEX('04 SKU Master'!$AM$5:$AM$165,MATCH($E180,'04 SKU Master'!$A$5:$A$165,0)),IFERROR(INDEX('05 Packaging Master'!$AM$5:$AM$50,MATCH($E180,'05 Packaging Master'!$A$5:$A$50,0)),IFERROR(INDEX('09 Cost Index'!$C$5:$C$24,MATCH($E180,'09 Cost Index'!$A$5:$A$24,0)),"")))</f>
        <v/>
      </c>
      <c r="J180" s="153">
        <f>'01 Control'!$C$7</f>
        <v/>
      </c>
      <c r="K180" s="150">
        <f>IF($I180="","",$G180*$I180*(1+$J180))</f>
        <v/>
      </c>
      <c r="L180" s="177">
        <f>IF(ISNUMBER(MATCH($E180,'09 Cost Index'!$A$5:$A$24,0)),"09 Cost Index",IF(ISNUMBER(MATCH($E180,'05 Packaging Master'!$A$5:$A$46,0)),"05 Packaging Master",IF(ISNUMBER(MATCH($E180,'04 SKU Master'!$A$5:$A$165,0)),"04 SKU Master","NOT FOUND")))</f>
        <v/>
      </c>
      <c r="M180" s="178">
        <f>IFERROR(INDEX('12 Final Menu'!$U$5:$U$200,MATCH($A180,'12 Final Menu'!$A$5:$A$200,0)),0)</f>
        <v/>
      </c>
      <c r="N180" s="165">
        <f>$G180*(1+$J180)*$M180*1000</f>
        <v/>
      </c>
    </row>
    <row r="181"/>
    <row r="182" ht="15" customHeight="1" s="106">
      <c r="A182" s="144" t="inlineStr">
        <is>
          <t>YEAR 2  |  Winter (Jun-Aug)  |  North Africa   -&gt;   Harissa Slow-Beef   |   Rigatoni   |   PP-SEA-Y2W-HARI</t>
        </is>
      </c>
      <c r="B182" s="110" t="n"/>
      <c r="C182" s="110" t="n"/>
      <c r="D182" s="110" t="n"/>
      <c r="E182" s="110" t="n"/>
      <c r="F182" s="110" t="n"/>
      <c r="G182" s="110" t="n"/>
      <c r="H182" s="110" t="n"/>
      <c r="I182" s="110" t="n"/>
      <c r="J182" s="110" t="n"/>
      <c r="K182" s="110" t="n"/>
      <c r="L182" s="110" t="n"/>
      <c r="M182" s="110" t="n"/>
      <c r="N182" s="111" t="n"/>
    </row>
    <row r="183" ht="15" customHeight="1" s="106">
      <c r="A183" s="138" t="inlineStr">
        <is>
          <t>PP-SEA-Y2W-HARI</t>
        </is>
      </c>
      <c r="B183" s="138" t="inlineStr">
        <is>
          <t>Harissa Slow-Beef</t>
        </is>
      </c>
      <c r="C183" s="138" t="inlineStr">
        <is>
          <t>Y2 Winter - North Africa</t>
        </is>
      </c>
      <c r="D183" s="139" t="inlineStr">
        <is>
          <t>Pasta</t>
        </is>
      </c>
      <c r="E183" s="134" t="inlineStr">
        <is>
          <t>PP-DOUGH-BOKGAT</t>
        </is>
      </c>
      <c r="F183" s="113" t="inlineStr">
        <is>
          <t>Bokgat Base, Rigatoni - dried weight</t>
        </is>
      </c>
      <c r="G183" s="147" t="n">
        <v>111</v>
      </c>
      <c r="H183" s="164" t="inlineStr">
        <is>
          <t>g</t>
        </is>
      </c>
      <c r="I183" s="150">
        <f>IFERROR(INDEX('04 SKU Master'!$AM$5:$AM$165,MATCH($E183,'04 SKU Master'!$A$5:$A$165,0)),IFERROR(INDEX('05 Packaging Master'!$AM$5:$AM$50,MATCH($E183,'05 Packaging Master'!$A$5:$A$50,0)),IFERROR(INDEX('09 Cost Index'!$C$5:$C$24,MATCH($E183,'09 Cost Index'!$A$5:$A$24,0)),"")))</f>
        <v/>
      </c>
      <c r="J183" s="153">
        <f>'01 Control'!$C$7</f>
        <v/>
      </c>
      <c r="K183" s="150">
        <f>IF($I183="","",$G183*$I183*(1+$J183))</f>
        <v/>
      </c>
      <c r="L183" s="177">
        <f>IF(ISNUMBER(MATCH($E183,'09 Cost Index'!$A$5:$A$24,0)),"09 Cost Index",IF(ISNUMBER(MATCH($E183,'05 Packaging Master'!$A$5:$A$46,0)),"05 Packaging Master",IF(ISNUMBER(MATCH($E183,'04 SKU Master'!$A$5:$A$165,0)),"04 SKU Master","NOT FOUND")))</f>
        <v/>
      </c>
      <c r="M183" s="178">
        <f>IFERROR(INDEX('12 Final Menu'!$U$5:$U$200,MATCH($A183,'12 Final Menu'!$A$5:$A$200,0)),0)</f>
        <v/>
      </c>
      <c r="N183" s="165">
        <f>$G183*(1+$J183)*$M183*1000</f>
        <v/>
      </c>
    </row>
    <row r="184" ht="15" customHeight="1" s="106">
      <c r="A184" s="138" t="inlineStr">
        <is>
          <t>PP-SEA-Y2W-HARI</t>
        </is>
      </c>
      <c r="B184" s="138" t="inlineStr">
        <is>
          <t>Harissa Slow-Beef</t>
        </is>
      </c>
      <c r="C184" s="138" t="inlineStr">
        <is>
          <t>Y2 Winter - North Africa</t>
        </is>
      </c>
      <c r="D184" s="139" t="inlineStr">
        <is>
          <t>Sauce</t>
        </is>
      </c>
      <c r="E184" s="134" t="inlineStr">
        <is>
          <t>PP-SAUCE-NAP</t>
        </is>
      </c>
      <c r="F184" s="113" t="inlineStr">
        <is>
          <t>Napoletana (Pomodoro) base (CK - core)</t>
        </is>
      </c>
      <c r="G184" s="147" t="n">
        <v>150</v>
      </c>
      <c r="H184" s="164" t="inlineStr">
        <is>
          <t>g</t>
        </is>
      </c>
      <c r="I184" s="150">
        <f>IFERROR(INDEX('04 SKU Master'!$AM$5:$AM$165,MATCH($E184,'04 SKU Master'!$A$5:$A$165,0)),IFERROR(INDEX('05 Packaging Master'!$AM$5:$AM$50,MATCH($E184,'05 Packaging Master'!$A$5:$A$50,0)),IFERROR(INDEX('09 Cost Index'!$C$5:$C$24,MATCH($E184,'09 Cost Index'!$A$5:$A$24,0)),"")))</f>
        <v/>
      </c>
      <c r="J184" s="153">
        <f>'01 Control'!$C$7</f>
        <v/>
      </c>
      <c r="K184" s="150">
        <f>IF($I184="","",$G184*$I184*(1+$J184))</f>
        <v/>
      </c>
      <c r="L184" s="177">
        <f>IF(ISNUMBER(MATCH($E184,'09 Cost Index'!$A$5:$A$24,0)),"09 Cost Index",IF(ISNUMBER(MATCH($E184,'05 Packaging Master'!$A$5:$A$46,0)),"05 Packaging Master",IF(ISNUMBER(MATCH($E184,'04 SKU Master'!$A$5:$A$165,0)),"04 SKU Master","NOT FOUND")))</f>
        <v/>
      </c>
      <c r="M184" s="178">
        <f>IFERROR(INDEX('12 Final Menu'!$U$5:$U$200,MATCH($A184,'12 Final Menu'!$A$5:$A$200,0)),0)</f>
        <v/>
      </c>
      <c r="N184" s="165">
        <f>$G184*(1+$J184)*$M184*1000</f>
        <v/>
      </c>
    </row>
    <row r="185" ht="15" customHeight="1" s="106">
      <c r="A185" s="138" t="inlineStr">
        <is>
          <t>PP-SEA-Y2W-HARI</t>
        </is>
      </c>
      <c r="B185" s="138" t="inlineStr">
        <is>
          <t>Harissa Slow-Beef</t>
        </is>
      </c>
      <c r="C185" s="138" t="inlineStr">
        <is>
          <t>Y2 Winter - North Africa</t>
        </is>
      </c>
      <c r="D185" s="139" t="inlineStr">
        <is>
          <t>Protein</t>
        </is>
      </c>
      <c r="E185" s="134" t="inlineStr">
        <is>
          <t>PP-BEEF-SHRED</t>
        </is>
      </c>
      <c r="F185" s="113" t="inlineStr">
        <is>
          <t>Slow beef</t>
        </is>
      </c>
      <c r="G185" s="147" t="n">
        <v>90</v>
      </c>
      <c r="H185" s="164" t="inlineStr">
        <is>
          <t>g</t>
        </is>
      </c>
      <c r="I185" s="150">
        <f>IFERROR(INDEX('04 SKU Master'!$AM$5:$AM$165,MATCH($E185,'04 SKU Master'!$A$5:$A$165,0)),IFERROR(INDEX('05 Packaging Master'!$AM$5:$AM$50,MATCH($E185,'05 Packaging Master'!$A$5:$A$50,0)),IFERROR(INDEX('09 Cost Index'!$C$5:$C$24,MATCH($E185,'09 Cost Index'!$A$5:$A$24,0)),"")))</f>
        <v/>
      </c>
      <c r="J185" s="153">
        <f>'01 Control'!$C$7</f>
        <v/>
      </c>
      <c r="K185" s="150">
        <f>IF($I185="","",$G185*$I185*(1+$J185))</f>
        <v/>
      </c>
      <c r="L185" s="177">
        <f>IF(ISNUMBER(MATCH($E185,'09 Cost Index'!$A$5:$A$24,0)),"09 Cost Index",IF(ISNUMBER(MATCH($E185,'05 Packaging Master'!$A$5:$A$46,0)),"05 Packaging Master",IF(ISNUMBER(MATCH($E185,'04 SKU Master'!$A$5:$A$165,0)),"04 SKU Master","NOT FOUND")))</f>
        <v/>
      </c>
      <c r="M185" s="178">
        <f>IFERROR(INDEX('12 Final Menu'!$U$5:$U$200,MATCH($A185,'12 Final Menu'!$A$5:$A$200,0)),0)</f>
        <v/>
      </c>
      <c r="N185" s="165">
        <f>$G185*(1+$J185)*$M185*1000</f>
        <v/>
      </c>
    </row>
    <row r="186" ht="15" customHeight="1" s="106">
      <c r="A186" s="138" t="inlineStr">
        <is>
          <t>PP-SEA-Y2W-HARI</t>
        </is>
      </c>
      <c r="B186" s="138" t="inlineStr">
        <is>
          <t>Harissa Slow-Beef</t>
        </is>
      </c>
      <c r="C186" s="138" t="inlineStr">
        <is>
          <t>Y2 Winter - North Africa</t>
        </is>
      </c>
      <c r="D186" s="139" t="inlineStr">
        <is>
          <t>Ingredient</t>
        </is>
      </c>
      <c r="E186" s="134" t="inlineStr">
        <is>
          <t>PP-SPICE-HARISSA</t>
        </is>
      </c>
      <c r="F186" s="113" t="inlineStr">
        <is>
          <t>Harissa</t>
        </is>
      </c>
      <c r="G186" s="147" t="n">
        <v>20</v>
      </c>
      <c r="H186" s="164" t="inlineStr">
        <is>
          <t>g</t>
        </is>
      </c>
      <c r="I186" s="150">
        <f>IFERROR(INDEX('04 SKU Master'!$AM$5:$AM$165,MATCH($E186,'04 SKU Master'!$A$5:$A$165,0)),IFERROR(INDEX('05 Packaging Master'!$AM$5:$AM$50,MATCH($E186,'05 Packaging Master'!$A$5:$A$50,0)),IFERROR(INDEX('09 Cost Index'!$C$5:$C$24,MATCH($E186,'09 Cost Index'!$A$5:$A$24,0)),"")))</f>
        <v/>
      </c>
      <c r="J186" s="153">
        <f>'01 Control'!$C$7</f>
        <v/>
      </c>
      <c r="K186" s="150">
        <f>IF($I186="","",$G186*$I186*(1+$J186))</f>
        <v/>
      </c>
      <c r="L186" s="177">
        <f>IF(ISNUMBER(MATCH($E186,'09 Cost Index'!$A$5:$A$24,0)),"09 Cost Index",IF(ISNUMBER(MATCH($E186,'05 Packaging Master'!$A$5:$A$46,0)),"05 Packaging Master",IF(ISNUMBER(MATCH($E186,'04 SKU Master'!$A$5:$A$165,0)),"04 SKU Master","NOT FOUND")))</f>
        <v/>
      </c>
      <c r="M186" s="178">
        <f>IFERROR(INDEX('12 Final Menu'!$U$5:$U$200,MATCH($A186,'12 Final Menu'!$A$5:$A$200,0)),0)</f>
        <v/>
      </c>
      <c r="N186" s="165">
        <f>$G186*(1+$J186)*$M186*1000</f>
        <v/>
      </c>
    </row>
    <row r="187" ht="15" customHeight="1" s="106">
      <c r="A187" s="138" t="inlineStr">
        <is>
          <t>PP-SEA-Y2W-HARI</t>
        </is>
      </c>
      <c r="B187" s="138" t="inlineStr">
        <is>
          <t>Harissa Slow-Beef</t>
        </is>
      </c>
      <c r="C187" s="138" t="inlineStr">
        <is>
          <t>Y2 Winter - North Africa</t>
        </is>
      </c>
      <c r="D187" s="139" t="inlineStr">
        <is>
          <t>Packaging</t>
        </is>
      </c>
      <c r="E187" s="134" t="inlineStr">
        <is>
          <t>PP-PACK-TUB</t>
        </is>
      </c>
      <c r="F187" s="113" t="inlineStr">
        <is>
          <t>Takeaway pasta tub</t>
        </is>
      </c>
      <c r="G187" s="147" t="n">
        <v>1</v>
      </c>
      <c r="H187" s="164" t="inlineStr">
        <is>
          <t>ea</t>
        </is>
      </c>
      <c r="I187" s="150">
        <f>IFERROR(INDEX('04 SKU Master'!$AM$5:$AM$165,MATCH($E187,'04 SKU Master'!$A$5:$A$165,0)),IFERROR(INDEX('05 Packaging Master'!$AM$5:$AM$50,MATCH($E187,'05 Packaging Master'!$A$5:$A$50,0)),IFERROR(INDEX('09 Cost Index'!$C$5:$C$24,MATCH($E187,'09 Cost Index'!$A$5:$A$24,0)),"")))</f>
        <v/>
      </c>
      <c r="J187" s="153">
        <f>'01 Control'!$C$7</f>
        <v/>
      </c>
      <c r="K187" s="150">
        <f>IF($I187="","",$G187*$I187*(1+$J187))</f>
        <v/>
      </c>
      <c r="L187" s="177">
        <f>IF(ISNUMBER(MATCH($E187,'09 Cost Index'!$A$5:$A$24,0)),"09 Cost Index",IF(ISNUMBER(MATCH($E187,'05 Packaging Master'!$A$5:$A$46,0)),"05 Packaging Master",IF(ISNUMBER(MATCH($E187,'04 SKU Master'!$A$5:$A$165,0)),"04 SKU Master","NOT FOUND")))</f>
        <v/>
      </c>
      <c r="M187" s="178">
        <f>IFERROR(INDEX('12 Final Menu'!$U$5:$U$200,MATCH($A187,'12 Final Menu'!$A$5:$A$200,0)),0)</f>
        <v/>
      </c>
      <c r="N187" s="165">
        <f>$G187*(1+$J187)*$M187*1000</f>
        <v/>
      </c>
    </row>
    <row r="188" ht="15" customHeight="1" s="106">
      <c r="A188" s="138" t="inlineStr">
        <is>
          <t>PP-SEA-Y2W-HARI</t>
        </is>
      </c>
      <c r="B188" s="138" t="inlineStr">
        <is>
          <t>Harissa Slow-Beef</t>
        </is>
      </c>
      <c r="C188" s="138" t="inlineStr">
        <is>
          <t>Y2 Winter - North Africa</t>
        </is>
      </c>
      <c r="D188" s="139" t="inlineStr">
        <is>
          <t>Packaging</t>
        </is>
      </c>
      <c r="E188" s="134" t="inlineStr">
        <is>
          <t>PP-PACK-LID</t>
        </is>
      </c>
      <c r="F188" s="113" t="inlineStr">
        <is>
          <t>Bowl lid</t>
        </is>
      </c>
      <c r="G188" s="147" t="n">
        <v>1</v>
      </c>
      <c r="H188" s="164" t="inlineStr">
        <is>
          <t>ea</t>
        </is>
      </c>
      <c r="I188" s="150">
        <f>IFERROR(INDEX('04 SKU Master'!$AM$5:$AM$165,MATCH($E188,'04 SKU Master'!$A$5:$A$165,0)),IFERROR(INDEX('05 Packaging Master'!$AM$5:$AM$50,MATCH($E188,'05 Packaging Master'!$A$5:$A$50,0)),IFERROR(INDEX('09 Cost Index'!$C$5:$C$24,MATCH($E188,'09 Cost Index'!$A$5:$A$24,0)),"")))</f>
        <v/>
      </c>
      <c r="J188" s="153">
        <f>'01 Control'!$C$7</f>
        <v/>
      </c>
      <c r="K188" s="150">
        <f>IF($I188="","",$G188*$I188*(1+$J188))</f>
        <v/>
      </c>
      <c r="L188" s="177">
        <f>IF(ISNUMBER(MATCH($E188,'09 Cost Index'!$A$5:$A$24,0)),"09 Cost Index",IF(ISNUMBER(MATCH($E188,'05 Packaging Master'!$A$5:$A$46,0)),"05 Packaging Master",IF(ISNUMBER(MATCH($E188,'04 SKU Master'!$A$5:$A$165,0)),"04 SKU Master","NOT FOUND")))</f>
        <v/>
      </c>
      <c r="M188" s="178">
        <f>IFERROR(INDEX('12 Final Menu'!$U$5:$U$200,MATCH($A188,'12 Final Menu'!$A$5:$A$200,0)),0)</f>
        <v/>
      </c>
      <c r="N188" s="165">
        <f>$G188*(1+$J188)*$M188*1000</f>
        <v/>
      </c>
    </row>
    <row r="189" ht="15" customHeight="1" s="106">
      <c r="A189" s="138" t="inlineStr">
        <is>
          <t>PP-SEA-Y2W-HARI</t>
        </is>
      </c>
      <c r="B189" s="138" t="inlineStr">
        <is>
          <t>Harissa Slow-Beef</t>
        </is>
      </c>
      <c r="C189" s="138" t="inlineStr">
        <is>
          <t>Y2 Winter - North Africa</t>
        </is>
      </c>
      <c r="D189" s="139" t="inlineStr">
        <is>
          <t>Packaging</t>
        </is>
      </c>
      <c r="E189" s="134" t="inlineStr">
        <is>
          <t>PP-PACK-CUTLERY</t>
        </is>
      </c>
      <c r="F189" s="113" t="inlineStr">
        <is>
          <t>Cutlery set</t>
        </is>
      </c>
      <c r="G189" s="147" t="n">
        <v>1</v>
      </c>
      <c r="H189" s="164" t="inlineStr">
        <is>
          <t>ea</t>
        </is>
      </c>
      <c r="I189" s="150">
        <f>IFERROR(INDEX('04 SKU Master'!$AM$5:$AM$165,MATCH($E189,'04 SKU Master'!$A$5:$A$165,0)),IFERROR(INDEX('05 Packaging Master'!$AM$5:$AM$50,MATCH($E189,'05 Packaging Master'!$A$5:$A$50,0)),IFERROR(INDEX('09 Cost Index'!$C$5:$C$24,MATCH($E189,'09 Cost Index'!$A$5:$A$24,0)),"")))</f>
        <v/>
      </c>
      <c r="J189" s="153">
        <f>'01 Control'!$C$7</f>
        <v/>
      </c>
      <c r="K189" s="150">
        <f>IF($I189="","",$G189*$I189*(1+$J189))</f>
        <v/>
      </c>
      <c r="L189" s="177">
        <f>IF(ISNUMBER(MATCH($E189,'09 Cost Index'!$A$5:$A$24,0)),"09 Cost Index",IF(ISNUMBER(MATCH($E189,'05 Packaging Master'!$A$5:$A$46,0)),"05 Packaging Master",IF(ISNUMBER(MATCH($E189,'04 SKU Master'!$A$5:$A$165,0)),"04 SKU Master","NOT FOUND")))</f>
        <v/>
      </c>
      <c r="M189" s="178">
        <f>IFERROR(INDEX('12 Final Menu'!$U$5:$U$200,MATCH($A189,'12 Final Menu'!$A$5:$A$200,0)),0)</f>
        <v/>
      </c>
      <c r="N189" s="165">
        <f>$G189*(1+$J189)*$M189*1000</f>
        <v/>
      </c>
    </row>
    <row r="190" ht="15" customHeight="1" s="106">
      <c r="A190" s="138" t="inlineStr">
        <is>
          <t>PP-SEA-Y2W-HARI</t>
        </is>
      </c>
      <c r="B190" s="138" t="inlineStr">
        <is>
          <t>Harissa Slow-Beef</t>
        </is>
      </c>
      <c r="C190" s="138" t="inlineStr">
        <is>
          <t>Y2 Winter - North Africa</t>
        </is>
      </c>
      <c r="D190" s="139" t="inlineStr">
        <is>
          <t>Packaging</t>
        </is>
      </c>
      <c r="E190" s="134" t="inlineStr">
        <is>
          <t>PP-PACK-NAPKIN</t>
        </is>
      </c>
      <c r="F190" s="113" t="inlineStr">
        <is>
          <t>Branded napkin</t>
        </is>
      </c>
      <c r="G190" s="147" t="n">
        <v>1</v>
      </c>
      <c r="H190" s="164" t="inlineStr">
        <is>
          <t>ea</t>
        </is>
      </c>
      <c r="I190" s="150">
        <f>IFERROR(INDEX('04 SKU Master'!$AM$5:$AM$165,MATCH($E190,'04 SKU Master'!$A$5:$A$165,0)),IFERROR(INDEX('05 Packaging Master'!$AM$5:$AM$50,MATCH($E190,'05 Packaging Master'!$A$5:$A$50,0)),IFERROR(INDEX('09 Cost Index'!$C$5:$C$24,MATCH($E190,'09 Cost Index'!$A$5:$A$24,0)),"")))</f>
        <v/>
      </c>
      <c r="J190" s="153">
        <f>'01 Control'!$C$7</f>
        <v/>
      </c>
      <c r="K190" s="150">
        <f>IF($I190="","",$G190*$I190*(1+$J190))</f>
        <v/>
      </c>
      <c r="L190" s="177">
        <f>IF(ISNUMBER(MATCH($E190,'09 Cost Index'!$A$5:$A$24,0)),"09 Cost Index",IF(ISNUMBER(MATCH($E190,'05 Packaging Master'!$A$5:$A$46,0)),"05 Packaging Master",IF(ISNUMBER(MATCH($E190,'04 SKU Master'!$A$5:$A$165,0)),"04 SKU Master","NOT FOUND")))</f>
        <v/>
      </c>
      <c r="M190" s="178">
        <f>IFERROR(INDEX('12 Final Menu'!$U$5:$U$200,MATCH($A190,'12 Final Menu'!$A$5:$A$200,0)),0)</f>
        <v/>
      </c>
      <c r="N190" s="165">
        <f>$G190*(1+$J190)*$M190*1000</f>
        <v/>
      </c>
    </row>
    <row r="191"/>
    <row r="192" ht="15" customHeight="1" s="106">
      <c r="A192" s="144" t="inlineStr">
        <is>
          <t>YEAR 2  |  Winter (Jun-Aug)  |  North Africa   -&gt;   Berbere Spiced Tomato   |   Casarecce   |   PP-SEA-Y2W-BERB</t>
        </is>
      </c>
      <c r="B192" s="110" t="n"/>
      <c r="C192" s="110" t="n"/>
      <c r="D192" s="110" t="n"/>
      <c r="E192" s="110" t="n"/>
      <c r="F192" s="110" t="n"/>
      <c r="G192" s="110" t="n"/>
      <c r="H192" s="110" t="n"/>
      <c r="I192" s="110" t="n"/>
      <c r="J192" s="110" t="n"/>
      <c r="K192" s="110" t="n"/>
      <c r="L192" s="110" t="n"/>
      <c r="M192" s="110" t="n"/>
      <c r="N192" s="111" t="n"/>
    </row>
    <row r="193" ht="15" customHeight="1" s="106">
      <c r="A193" s="138" t="inlineStr">
        <is>
          <t>PP-SEA-Y2W-BERB</t>
        </is>
      </c>
      <c r="B193" s="138" t="inlineStr">
        <is>
          <t>Berbere Spiced Tomato</t>
        </is>
      </c>
      <c r="C193" s="138" t="inlineStr">
        <is>
          <t>Y2 Winter - North Africa</t>
        </is>
      </c>
      <c r="D193" s="139" t="inlineStr">
        <is>
          <t>Pasta</t>
        </is>
      </c>
      <c r="E193" s="134" t="inlineStr">
        <is>
          <t>PP-DOUGH-BOKGAT</t>
        </is>
      </c>
      <c r="F193" s="113" t="inlineStr">
        <is>
          <t>Bokgat Base, Casarecce - dried weight</t>
        </is>
      </c>
      <c r="G193" s="147" t="n">
        <v>111</v>
      </c>
      <c r="H193" s="164" t="inlineStr">
        <is>
          <t>g</t>
        </is>
      </c>
      <c r="I193" s="150">
        <f>IFERROR(INDEX('04 SKU Master'!$AM$5:$AM$165,MATCH($E193,'04 SKU Master'!$A$5:$A$165,0)),IFERROR(INDEX('05 Packaging Master'!$AM$5:$AM$50,MATCH($E193,'05 Packaging Master'!$A$5:$A$50,0)),IFERROR(INDEX('09 Cost Index'!$C$5:$C$24,MATCH($E193,'09 Cost Index'!$A$5:$A$24,0)),"")))</f>
        <v/>
      </c>
      <c r="J193" s="153">
        <f>'01 Control'!$C$7</f>
        <v/>
      </c>
      <c r="K193" s="150">
        <f>IF($I193="","",$G193*$I193*(1+$J193))</f>
        <v/>
      </c>
      <c r="L193" s="177">
        <f>IF(ISNUMBER(MATCH($E193,'09 Cost Index'!$A$5:$A$24,0)),"09 Cost Index",IF(ISNUMBER(MATCH($E193,'05 Packaging Master'!$A$5:$A$46,0)),"05 Packaging Master",IF(ISNUMBER(MATCH($E193,'04 SKU Master'!$A$5:$A$165,0)),"04 SKU Master","NOT FOUND")))</f>
        <v/>
      </c>
      <c r="M193" s="178">
        <f>IFERROR(INDEX('12 Final Menu'!$U$5:$U$200,MATCH($A193,'12 Final Menu'!$A$5:$A$200,0)),0)</f>
        <v/>
      </c>
      <c r="N193" s="165">
        <f>$G193*(1+$J193)*$M193*1000</f>
        <v/>
      </c>
    </row>
    <row r="194" ht="15" customHeight="1" s="106">
      <c r="A194" s="138" t="inlineStr">
        <is>
          <t>PP-SEA-Y2W-BERB</t>
        </is>
      </c>
      <c r="B194" s="138" t="inlineStr">
        <is>
          <t>Berbere Spiced Tomato</t>
        </is>
      </c>
      <c r="C194" s="138" t="inlineStr">
        <is>
          <t>Y2 Winter - North Africa</t>
        </is>
      </c>
      <c r="D194" s="139" t="inlineStr">
        <is>
          <t>Sauce</t>
        </is>
      </c>
      <c r="E194" s="134" t="inlineStr">
        <is>
          <t>PP-SAUCE-ARR</t>
        </is>
      </c>
      <c r="F194" s="113" t="inlineStr">
        <is>
          <t>Arrabbiata base (CK - core)</t>
        </is>
      </c>
      <c r="G194" s="147" t="n">
        <v>155</v>
      </c>
      <c r="H194" s="164" t="inlineStr">
        <is>
          <t>g</t>
        </is>
      </c>
      <c r="I194" s="150">
        <f>IFERROR(INDEX('04 SKU Master'!$AM$5:$AM$165,MATCH($E194,'04 SKU Master'!$A$5:$A$165,0)),IFERROR(INDEX('05 Packaging Master'!$AM$5:$AM$50,MATCH($E194,'05 Packaging Master'!$A$5:$A$50,0)),IFERROR(INDEX('09 Cost Index'!$C$5:$C$24,MATCH($E194,'09 Cost Index'!$A$5:$A$24,0)),"")))</f>
        <v/>
      </c>
      <c r="J194" s="153">
        <f>'01 Control'!$C$7</f>
        <v/>
      </c>
      <c r="K194" s="150">
        <f>IF($I194="","",$G194*$I194*(1+$J194))</f>
        <v/>
      </c>
      <c r="L194" s="177">
        <f>IF(ISNUMBER(MATCH($E194,'09 Cost Index'!$A$5:$A$24,0)),"09 Cost Index",IF(ISNUMBER(MATCH($E194,'05 Packaging Master'!$A$5:$A$46,0)),"05 Packaging Master",IF(ISNUMBER(MATCH($E194,'04 SKU Master'!$A$5:$A$165,0)),"04 SKU Master","NOT FOUND")))</f>
        <v/>
      </c>
      <c r="M194" s="178">
        <f>IFERROR(INDEX('12 Final Menu'!$U$5:$U$200,MATCH($A194,'12 Final Menu'!$A$5:$A$200,0)),0)</f>
        <v/>
      </c>
      <c r="N194" s="165">
        <f>$G194*(1+$J194)*$M194*1000</f>
        <v/>
      </c>
    </row>
    <row r="195" ht="15" customHeight="1" s="106">
      <c r="A195" s="138" t="inlineStr">
        <is>
          <t>PP-SEA-Y2W-BERB</t>
        </is>
      </c>
      <c r="B195" s="138" t="inlineStr">
        <is>
          <t>Berbere Spiced Tomato</t>
        </is>
      </c>
      <c r="C195" s="138" t="inlineStr">
        <is>
          <t>Y2 Winter - North Africa</t>
        </is>
      </c>
      <c r="D195" s="139" t="inlineStr">
        <is>
          <t>Ingredient</t>
        </is>
      </c>
      <c r="E195" s="134" t="inlineStr">
        <is>
          <t>PP-SPICE-BERBERE</t>
        </is>
      </c>
      <c r="F195" s="113" t="inlineStr">
        <is>
          <t>Berbere</t>
        </is>
      </c>
      <c r="G195" s="147" t="n">
        <v>10</v>
      </c>
      <c r="H195" s="164" t="inlineStr">
        <is>
          <t>g</t>
        </is>
      </c>
      <c r="I195" s="150">
        <f>IFERROR(INDEX('04 SKU Master'!$AM$5:$AM$165,MATCH($E195,'04 SKU Master'!$A$5:$A$165,0)),IFERROR(INDEX('05 Packaging Master'!$AM$5:$AM$50,MATCH($E195,'05 Packaging Master'!$A$5:$A$50,0)),IFERROR(INDEX('09 Cost Index'!$C$5:$C$24,MATCH($E195,'09 Cost Index'!$A$5:$A$24,0)),"")))</f>
        <v/>
      </c>
      <c r="J195" s="153">
        <f>'01 Control'!$C$7</f>
        <v/>
      </c>
      <c r="K195" s="150">
        <f>IF($I195="","",$G195*$I195*(1+$J195))</f>
        <v/>
      </c>
      <c r="L195" s="177">
        <f>IF(ISNUMBER(MATCH($E195,'09 Cost Index'!$A$5:$A$24,0)),"09 Cost Index",IF(ISNUMBER(MATCH($E195,'05 Packaging Master'!$A$5:$A$46,0)),"05 Packaging Master",IF(ISNUMBER(MATCH($E195,'04 SKU Master'!$A$5:$A$165,0)),"04 SKU Master","NOT FOUND")))</f>
        <v/>
      </c>
      <c r="M195" s="178">
        <f>IFERROR(INDEX('12 Final Menu'!$U$5:$U$200,MATCH($A195,'12 Final Menu'!$A$5:$A$200,0)),0)</f>
        <v/>
      </c>
      <c r="N195" s="165">
        <f>$G195*(1+$J195)*$M195*1000</f>
        <v/>
      </c>
    </row>
    <row r="196" ht="15" customHeight="1" s="106">
      <c r="A196" s="138" t="inlineStr">
        <is>
          <t>PP-SEA-Y2W-BERB</t>
        </is>
      </c>
      <c r="B196" s="138" t="inlineStr">
        <is>
          <t>Berbere Spiced Tomato</t>
        </is>
      </c>
      <c r="C196" s="138" t="inlineStr">
        <is>
          <t>Y2 Winter - North Africa</t>
        </is>
      </c>
      <c r="D196" s="139" t="inlineStr">
        <is>
          <t>Packaging</t>
        </is>
      </c>
      <c r="E196" s="134" t="inlineStr">
        <is>
          <t>PP-PACK-TUB</t>
        </is>
      </c>
      <c r="F196" s="113" t="inlineStr">
        <is>
          <t>Takeaway pasta tub</t>
        </is>
      </c>
      <c r="G196" s="147" t="n">
        <v>1</v>
      </c>
      <c r="H196" s="164" t="inlineStr">
        <is>
          <t>ea</t>
        </is>
      </c>
      <c r="I196" s="150">
        <f>IFERROR(INDEX('04 SKU Master'!$AM$5:$AM$165,MATCH($E196,'04 SKU Master'!$A$5:$A$165,0)),IFERROR(INDEX('05 Packaging Master'!$AM$5:$AM$50,MATCH($E196,'05 Packaging Master'!$A$5:$A$50,0)),IFERROR(INDEX('09 Cost Index'!$C$5:$C$24,MATCH($E196,'09 Cost Index'!$A$5:$A$24,0)),"")))</f>
        <v/>
      </c>
      <c r="J196" s="153">
        <f>'01 Control'!$C$7</f>
        <v/>
      </c>
      <c r="K196" s="150">
        <f>IF($I196="","",$G196*$I196*(1+$J196))</f>
        <v/>
      </c>
      <c r="L196" s="177">
        <f>IF(ISNUMBER(MATCH($E196,'09 Cost Index'!$A$5:$A$24,0)),"09 Cost Index",IF(ISNUMBER(MATCH($E196,'05 Packaging Master'!$A$5:$A$46,0)),"05 Packaging Master",IF(ISNUMBER(MATCH($E196,'04 SKU Master'!$A$5:$A$165,0)),"04 SKU Master","NOT FOUND")))</f>
        <v/>
      </c>
      <c r="M196" s="178">
        <f>IFERROR(INDEX('12 Final Menu'!$U$5:$U$200,MATCH($A196,'12 Final Menu'!$A$5:$A$200,0)),0)</f>
        <v/>
      </c>
      <c r="N196" s="165">
        <f>$G196*(1+$J196)*$M196*1000</f>
        <v/>
      </c>
    </row>
    <row r="197" ht="15" customHeight="1" s="106">
      <c r="A197" s="138" t="inlineStr">
        <is>
          <t>PP-SEA-Y2W-BERB</t>
        </is>
      </c>
      <c r="B197" s="138" t="inlineStr">
        <is>
          <t>Berbere Spiced Tomato</t>
        </is>
      </c>
      <c r="C197" s="138" t="inlineStr">
        <is>
          <t>Y2 Winter - North Africa</t>
        </is>
      </c>
      <c r="D197" s="139" t="inlineStr">
        <is>
          <t>Packaging</t>
        </is>
      </c>
      <c r="E197" s="134" t="inlineStr">
        <is>
          <t>PP-PACK-LID</t>
        </is>
      </c>
      <c r="F197" s="113" t="inlineStr">
        <is>
          <t>Bowl lid</t>
        </is>
      </c>
      <c r="G197" s="147" t="n">
        <v>1</v>
      </c>
      <c r="H197" s="164" t="inlineStr">
        <is>
          <t>ea</t>
        </is>
      </c>
      <c r="I197" s="150">
        <f>IFERROR(INDEX('04 SKU Master'!$AM$5:$AM$165,MATCH($E197,'04 SKU Master'!$A$5:$A$165,0)),IFERROR(INDEX('05 Packaging Master'!$AM$5:$AM$50,MATCH($E197,'05 Packaging Master'!$A$5:$A$50,0)),IFERROR(INDEX('09 Cost Index'!$C$5:$C$24,MATCH($E197,'09 Cost Index'!$A$5:$A$24,0)),"")))</f>
        <v/>
      </c>
      <c r="J197" s="153">
        <f>'01 Control'!$C$7</f>
        <v/>
      </c>
      <c r="K197" s="150">
        <f>IF($I197="","",$G197*$I197*(1+$J197))</f>
        <v/>
      </c>
      <c r="L197" s="177">
        <f>IF(ISNUMBER(MATCH($E197,'09 Cost Index'!$A$5:$A$24,0)),"09 Cost Index",IF(ISNUMBER(MATCH($E197,'05 Packaging Master'!$A$5:$A$46,0)),"05 Packaging Master",IF(ISNUMBER(MATCH($E197,'04 SKU Master'!$A$5:$A$165,0)),"04 SKU Master","NOT FOUND")))</f>
        <v/>
      </c>
      <c r="M197" s="178">
        <f>IFERROR(INDEX('12 Final Menu'!$U$5:$U$200,MATCH($A197,'12 Final Menu'!$A$5:$A$200,0)),0)</f>
        <v/>
      </c>
      <c r="N197" s="165">
        <f>$G197*(1+$J197)*$M197*1000</f>
        <v/>
      </c>
    </row>
    <row r="198" ht="15" customHeight="1" s="106">
      <c r="A198" s="138" t="inlineStr">
        <is>
          <t>PP-SEA-Y2W-BERB</t>
        </is>
      </c>
      <c r="B198" s="138" t="inlineStr">
        <is>
          <t>Berbere Spiced Tomato</t>
        </is>
      </c>
      <c r="C198" s="138" t="inlineStr">
        <is>
          <t>Y2 Winter - North Africa</t>
        </is>
      </c>
      <c r="D198" s="139" t="inlineStr">
        <is>
          <t>Packaging</t>
        </is>
      </c>
      <c r="E198" s="134" t="inlineStr">
        <is>
          <t>PP-PACK-CUTLERY</t>
        </is>
      </c>
      <c r="F198" s="113" t="inlineStr">
        <is>
          <t>Cutlery set</t>
        </is>
      </c>
      <c r="G198" s="147" t="n">
        <v>1</v>
      </c>
      <c r="H198" s="164" t="inlineStr">
        <is>
          <t>ea</t>
        </is>
      </c>
      <c r="I198" s="150">
        <f>IFERROR(INDEX('04 SKU Master'!$AM$5:$AM$165,MATCH($E198,'04 SKU Master'!$A$5:$A$165,0)),IFERROR(INDEX('05 Packaging Master'!$AM$5:$AM$50,MATCH($E198,'05 Packaging Master'!$A$5:$A$50,0)),IFERROR(INDEX('09 Cost Index'!$C$5:$C$24,MATCH($E198,'09 Cost Index'!$A$5:$A$24,0)),"")))</f>
        <v/>
      </c>
      <c r="J198" s="153">
        <f>'01 Control'!$C$7</f>
        <v/>
      </c>
      <c r="K198" s="150">
        <f>IF($I198="","",$G198*$I198*(1+$J198))</f>
        <v/>
      </c>
      <c r="L198" s="177">
        <f>IF(ISNUMBER(MATCH($E198,'09 Cost Index'!$A$5:$A$24,0)),"09 Cost Index",IF(ISNUMBER(MATCH($E198,'05 Packaging Master'!$A$5:$A$46,0)),"05 Packaging Master",IF(ISNUMBER(MATCH($E198,'04 SKU Master'!$A$5:$A$165,0)),"04 SKU Master","NOT FOUND")))</f>
        <v/>
      </c>
      <c r="M198" s="178">
        <f>IFERROR(INDEX('12 Final Menu'!$U$5:$U$200,MATCH($A198,'12 Final Menu'!$A$5:$A$200,0)),0)</f>
        <v/>
      </c>
      <c r="N198" s="165">
        <f>$G198*(1+$J198)*$M198*1000</f>
        <v/>
      </c>
    </row>
    <row r="199" ht="15" customHeight="1" s="106">
      <c r="A199" s="138" t="inlineStr">
        <is>
          <t>PP-SEA-Y2W-BERB</t>
        </is>
      </c>
      <c r="B199" s="138" t="inlineStr">
        <is>
          <t>Berbere Spiced Tomato</t>
        </is>
      </c>
      <c r="C199" s="138" t="inlineStr">
        <is>
          <t>Y2 Winter - North Africa</t>
        </is>
      </c>
      <c r="D199" s="139" t="inlineStr">
        <is>
          <t>Packaging</t>
        </is>
      </c>
      <c r="E199" s="134" t="inlineStr">
        <is>
          <t>PP-PACK-NAPKIN</t>
        </is>
      </c>
      <c r="F199" s="113" t="inlineStr">
        <is>
          <t>Branded napkin</t>
        </is>
      </c>
      <c r="G199" s="147" t="n">
        <v>1</v>
      </c>
      <c r="H199" s="164" t="inlineStr">
        <is>
          <t>ea</t>
        </is>
      </c>
      <c r="I199" s="150">
        <f>IFERROR(INDEX('04 SKU Master'!$AM$5:$AM$165,MATCH($E199,'04 SKU Master'!$A$5:$A$165,0)),IFERROR(INDEX('05 Packaging Master'!$AM$5:$AM$50,MATCH($E199,'05 Packaging Master'!$A$5:$A$50,0)),IFERROR(INDEX('09 Cost Index'!$C$5:$C$24,MATCH($E199,'09 Cost Index'!$A$5:$A$24,0)),"")))</f>
        <v/>
      </c>
      <c r="J199" s="153">
        <f>'01 Control'!$C$7</f>
        <v/>
      </c>
      <c r="K199" s="150">
        <f>IF($I199="","",$G199*$I199*(1+$J199))</f>
        <v/>
      </c>
      <c r="L199" s="177">
        <f>IF(ISNUMBER(MATCH($E199,'09 Cost Index'!$A$5:$A$24,0)),"09 Cost Index",IF(ISNUMBER(MATCH($E199,'05 Packaging Master'!$A$5:$A$46,0)),"05 Packaging Master",IF(ISNUMBER(MATCH($E199,'04 SKU Master'!$A$5:$A$165,0)),"04 SKU Master","NOT FOUND")))</f>
        <v/>
      </c>
      <c r="M199" s="178">
        <f>IFERROR(INDEX('12 Final Menu'!$U$5:$U$200,MATCH($A199,'12 Final Menu'!$A$5:$A$200,0)),0)</f>
        <v/>
      </c>
      <c r="N199" s="165">
        <f>$G199*(1+$J199)*$M199*1000</f>
        <v/>
      </c>
    </row>
    <row r="200"/>
    <row r="201" ht="15" customHeight="1" s="106">
      <c r="A201" s="144" t="inlineStr">
        <is>
          <t>YEAR 2  |  Winter (Jun-Aug)  |  North Africa   -&gt;   Chermoula Beef   |   Casarecce   |   PP-SEA-Y2W-CHER</t>
        </is>
      </c>
      <c r="B201" s="110" t="n"/>
      <c r="C201" s="110" t="n"/>
      <c r="D201" s="110" t="n"/>
      <c r="E201" s="110" t="n"/>
      <c r="F201" s="110" t="n"/>
      <c r="G201" s="110" t="n"/>
      <c r="H201" s="110" t="n"/>
      <c r="I201" s="110" t="n"/>
      <c r="J201" s="110" t="n"/>
      <c r="K201" s="110" t="n"/>
      <c r="L201" s="110" t="n"/>
      <c r="M201" s="110" t="n"/>
      <c r="N201" s="111" t="n"/>
    </row>
    <row r="202" ht="15" customHeight="1" s="106">
      <c r="A202" s="138" t="inlineStr">
        <is>
          <t>PP-SEA-Y2W-CHER</t>
        </is>
      </c>
      <c r="B202" s="138" t="inlineStr">
        <is>
          <t>Chermoula Beef</t>
        </is>
      </c>
      <c r="C202" s="138" t="inlineStr">
        <is>
          <t>Y2 Winter - North Africa</t>
        </is>
      </c>
      <c r="D202" s="139" t="inlineStr">
        <is>
          <t>Pasta</t>
        </is>
      </c>
      <c r="E202" s="134" t="inlineStr">
        <is>
          <t>PP-DOUGH-BOKGAT</t>
        </is>
      </c>
      <c r="F202" s="113" t="inlineStr">
        <is>
          <t>Bokgat Base, Casarecce - dried weight</t>
        </is>
      </c>
      <c r="G202" s="147" t="n">
        <v>111</v>
      </c>
      <c r="H202" s="164" t="inlineStr">
        <is>
          <t>g</t>
        </is>
      </c>
      <c r="I202" s="150">
        <f>IFERROR(INDEX('04 SKU Master'!$AM$5:$AM$165,MATCH($E202,'04 SKU Master'!$A$5:$A$165,0)),IFERROR(INDEX('05 Packaging Master'!$AM$5:$AM$50,MATCH($E202,'05 Packaging Master'!$A$5:$A$50,0)),IFERROR(INDEX('09 Cost Index'!$C$5:$C$24,MATCH($E202,'09 Cost Index'!$A$5:$A$24,0)),"")))</f>
        <v/>
      </c>
      <c r="J202" s="153">
        <f>'01 Control'!$C$7</f>
        <v/>
      </c>
      <c r="K202" s="150">
        <f>IF($I202="","",$G202*$I202*(1+$J202))</f>
        <v/>
      </c>
      <c r="L202" s="177">
        <f>IF(ISNUMBER(MATCH($E202,'09 Cost Index'!$A$5:$A$24,0)),"09 Cost Index",IF(ISNUMBER(MATCH($E202,'05 Packaging Master'!$A$5:$A$46,0)),"05 Packaging Master",IF(ISNUMBER(MATCH($E202,'04 SKU Master'!$A$5:$A$165,0)),"04 SKU Master","NOT FOUND")))</f>
        <v/>
      </c>
      <c r="M202" s="178">
        <f>IFERROR(INDEX('12 Final Menu'!$U$5:$U$200,MATCH($A202,'12 Final Menu'!$A$5:$A$200,0)),0)</f>
        <v/>
      </c>
      <c r="N202" s="165">
        <f>$G202*(1+$J202)*$M202*1000</f>
        <v/>
      </c>
    </row>
    <row r="203" ht="15" customHeight="1" s="106">
      <c r="A203" s="138" t="inlineStr">
        <is>
          <t>PP-SEA-Y2W-CHER</t>
        </is>
      </c>
      <c r="B203" s="138" t="inlineStr">
        <is>
          <t>Chermoula Beef</t>
        </is>
      </c>
      <c r="C203" s="138" t="inlineStr">
        <is>
          <t>Y2 Winter - North Africa</t>
        </is>
      </c>
      <c r="D203" s="139" t="inlineStr">
        <is>
          <t>Sauce</t>
        </is>
      </c>
      <c r="E203" s="134" t="inlineStr">
        <is>
          <t>PP-SAUCE-ALO</t>
        </is>
      </c>
      <c r="F203" s="113" t="inlineStr">
        <is>
          <t>Aglio e Olio Kit base (CK - core)</t>
        </is>
      </c>
      <c r="G203" s="147" t="n">
        <v>35</v>
      </c>
      <c r="H203" s="164" t="inlineStr">
        <is>
          <t>g</t>
        </is>
      </c>
      <c r="I203" s="150">
        <f>IFERROR(INDEX('04 SKU Master'!$AM$5:$AM$165,MATCH($E203,'04 SKU Master'!$A$5:$A$165,0)),IFERROR(INDEX('05 Packaging Master'!$AM$5:$AM$50,MATCH($E203,'05 Packaging Master'!$A$5:$A$50,0)),IFERROR(INDEX('09 Cost Index'!$C$5:$C$24,MATCH($E203,'09 Cost Index'!$A$5:$A$24,0)),"")))</f>
        <v/>
      </c>
      <c r="J203" s="153">
        <f>'01 Control'!$C$7</f>
        <v/>
      </c>
      <c r="K203" s="150">
        <f>IF($I203="","",$G203*$I203*(1+$J203))</f>
        <v/>
      </c>
      <c r="L203" s="177">
        <f>IF(ISNUMBER(MATCH($E203,'09 Cost Index'!$A$5:$A$24,0)),"09 Cost Index",IF(ISNUMBER(MATCH($E203,'05 Packaging Master'!$A$5:$A$46,0)),"05 Packaging Master",IF(ISNUMBER(MATCH($E203,'04 SKU Master'!$A$5:$A$165,0)),"04 SKU Master","NOT FOUND")))</f>
        <v/>
      </c>
      <c r="M203" s="178">
        <f>IFERROR(INDEX('12 Final Menu'!$U$5:$U$200,MATCH($A203,'12 Final Menu'!$A$5:$A$200,0)),0)</f>
        <v/>
      </c>
      <c r="N203" s="165">
        <f>$G203*(1+$J203)*$M203*1000</f>
        <v/>
      </c>
    </row>
    <row r="204" ht="15" customHeight="1" s="106">
      <c r="A204" s="138" t="inlineStr">
        <is>
          <t>PP-SEA-Y2W-CHER</t>
        </is>
      </c>
      <c r="B204" s="138" t="inlineStr">
        <is>
          <t>Chermoula Beef</t>
        </is>
      </c>
      <c r="C204" s="138" t="inlineStr">
        <is>
          <t>Y2 Winter - North Africa</t>
        </is>
      </c>
      <c r="D204" s="139" t="inlineStr">
        <is>
          <t>Sauce</t>
        </is>
      </c>
      <c r="E204" s="134" t="inlineStr">
        <is>
          <t>PP-SEASAUCE-CHERMOULA</t>
        </is>
      </c>
      <c r="F204" s="113" t="inlineStr">
        <is>
          <t>Chermoula Herb Paste (CK - SEASONAL base)</t>
        </is>
      </c>
      <c r="G204" s="147" t="n">
        <v>25</v>
      </c>
      <c r="H204" s="164" t="inlineStr">
        <is>
          <t>g</t>
        </is>
      </c>
      <c r="I204" s="150">
        <f>IFERROR(INDEX('04 SKU Master'!$AM$5:$AM$165,MATCH($E204,'04 SKU Master'!$A$5:$A$165,0)),IFERROR(INDEX('05 Packaging Master'!$AM$5:$AM$50,MATCH($E204,'05 Packaging Master'!$A$5:$A$50,0)),IFERROR(INDEX('09 Cost Index'!$C$5:$C$24,MATCH($E204,'09 Cost Index'!$A$5:$A$24,0)),"")))</f>
        <v/>
      </c>
      <c r="J204" s="153">
        <f>'01 Control'!$C$7</f>
        <v/>
      </c>
      <c r="K204" s="150">
        <f>IF($I204="","",$G204*$I204*(1+$J204))</f>
        <v/>
      </c>
      <c r="L204" s="177">
        <f>IF(ISNUMBER(MATCH($E204,'09 Cost Index'!$A$5:$A$24,0)),"09 Cost Index",IF(ISNUMBER(MATCH($E204,'05 Packaging Master'!$A$5:$A$46,0)),"05 Packaging Master",IF(ISNUMBER(MATCH($E204,'04 SKU Master'!$A$5:$A$165,0)),"04 SKU Master","NOT FOUND")))</f>
        <v/>
      </c>
      <c r="M204" s="178">
        <f>IFERROR(INDEX('12 Final Menu'!$U$5:$U$200,MATCH($A204,'12 Final Menu'!$A$5:$A$200,0)),0)</f>
        <v/>
      </c>
      <c r="N204" s="165">
        <f>$G204*(1+$J204)*$M204*1000</f>
        <v/>
      </c>
    </row>
    <row r="205" ht="15" customHeight="1" s="106">
      <c r="A205" s="138" t="inlineStr">
        <is>
          <t>PP-SEA-Y2W-CHER</t>
        </is>
      </c>
      <c r="B205" s="138" t="inlineStr">
        <is>
          <t>Chermoula Beef</t>
        </is>
      </c>
      <c r="C205" s="138" t="inlineStr">
        <is>
          <t>Y2 Winter - North Africa</t>
        </is>
      </c>
      <c r="D205" s="139" t="inlineStr">
        <is>
          <t>Protein</t>
        </is>
      </c>
      <c r="E205" s="134" t="inlineStr">
        <is>
          <t>PP-BEEF-SEASONED</t>
        </is>
      </c>
      <c r="F205" s="113" t="inlineStr">
        <is>
          <t>Seasoned beef</t>
        </is>
      </c>
      <c r="G205" s="147" t="n">
        <v>100</v>
      </c>
      <c r="H205" s="164" t="inlineStr">
        <is>
          <t>g</t>
        </is>
      </c>
      <c r="I205" s="150">
        <f>IFERROR(INDEX('04 SKU Master'!$AM$5:$AM$165,MATCH($E205,'04 SKU Master'!$A$5:$A$165,0)),IFERROR(INDEX('05 Packaging Master'!$AM$5:$AM$50,MATCH($E205,'05 Packaging Master'!$A$5:$A$50,0)),IFERROR(INDEX('09 Cost Index'!$C$5:$C$24,MATCH($E205,'09 Cost Index'!$A$5:$A$24,0)),"")))</f>
        <v/>
      </c>
      <c r="J205" s="153">
        <f>'01 Control'!$C$7</f>
        <v/>
      </c>
      <c r="K205" s="150">
        <f>IF($I205="","",$G205*$I205*(1+$J205))</f>
        <v/>
      </c>
      <c r="L205" s="177">
        <f>IF(ISNUMBER(MATCH($E205,'09 Cost Index'!$A$5:$A$24,0)),"09 Cost Index",IF(ISNUMBER(MATCH($E205,'05 Packaging Master'!$A$5:$A$46,0)),"05 Packaging Master",IF(ISNUMBER(MATCH($E205,'04 SKU Master'!$A$5:$A$165,0)),"04 SKU Master","NOT FOUND")))</f>
        <v/>
      </c>
      <c r="M205" s="178">
        <f>IFERROR(INDEX('12 Final Menu'!$U$5:$U$200,MATCH($A205,'12 Final Menu'!$A$5:$A$200,0)),0)</f>
        <v/>
      </c>
      <c r="N205" s="165">
        <f>$G205*(1+$J205)*$M205*1000</f>
        <v/>
      </c>
    </row>
    <row r="206" ht="15" customHeight="1" s="106">
      <c r="A206" s="138" t="inlineStr">
        <is>
          <t>PP-SEA-Y2W-CHER</t>
        </is>
      </c>
      <c r="B206" s="138" t="inlineStr">
        <is>
          <t>Chermoula Beef</t>
        </is>
      </c>
      <c r="C206" s="138" t="inlineStr">
        <is>
          <t>Y2 Winter - North Africa</t>
        </is>
      </c>
      <c r="D206" s="139" t="inlineStr">
        <is>
          <t>Packaging</t>
        </is>
      </c>
      <c r="E206" s="134" t="inlineStr">
        <is>
          <t>PP-PACK-TUB</t>
        </is>
      </c>
      <c r="F206" s="113" t="inlineStr">
        <is>
          <t>Takeaway pasta tub</t>
        </is>
      </c>
      <c r="G206" s="147" t="n">
        <v>1</v>
      </c>
      <c r="H206" s="164" t="inlineStr">
        <is>
          <t>ea</t>
        </is>
      </c>
      <c r="I206" s="150">
        <f>IFERROR(INDEX('04 SKU Master'!$AM$5:$AM$165,MATCH($E206,'04 SKU Master'!$A$5:$A$165,0)),IFERROR(INDEX('05 Packaging Master'!$AM$5:$AM$50,MATCH($E206,'05 Packaging Master'!$A$5:$A$50,0)),IFERROR(INDEX('09 Cost Index'!$C$5:$C$24,MATCH($E206,'09 Cost Index'!$A$5:$A$24,0)),"")))</f>
        <v/>
      </c>
      <c r="J206" s="153">
        <f>'01 Control'!$C$7</f>
        <v/>
      </c>
      <c r="K206" s="150">
        <f>IF($I206="","",$G206*$I206*(1+$J206))</f>
        <v/>
      </c>
      <c r="L206" s="177">
        <f>IF(ISNUMBER(MATCH($E206,'09 Cost Index'!$A$5:$A$24,0)),"09 Cost Index",IF(ISNUMBER(MATCH($E206,'05 Packaging Master'!$A$5:$A$46,0)),"05 Packaging Master",IF(ISNUMBER(MATCH($E206,'04 SKU Master'!$A$5:$A$165,0)),"04 SKU Master","NOT FOUND")))</f>
        <v/>
      </c>
      <c r="M206" s="178">
        <f>IFERROR(INDEX('12 Final Menu'!$U$5:$U$200,MATCH($A206,'12 Final Menu'!$A$5:$A$200,0)),0)</f>
        <v/>
      </c>
      <c r="N206" s="165">
        <f>$G206*(1+$J206)*$M206*1000</f>
        <v/>
      </c>
    </row>
    <row r="207" ht="15" customHeight="1" s="106">
      <c r="A207" s="138" t="inlineStr">
        <is>
          <t>PP-SEA-Y2W-CHER</t>
        </is>
      </c>
      <c r="B207" s="138" t="inlineStr">
        <is>
          <t>Chermoula Beef</t>
        </is>
      </c>
      <c r="C207" s="138" t="inlineStr">
        <is>
          <t>Y2 Winter - North Africa</t>
        </is>
      </c>
      <c r="D207" s="139" t="inlineStr">
        <is>
          <t>Packaging</t>
        </is>
      </c>
      <c r="E207" s="134" t="inlineStr">
        <is>
          <t>PP-PACK-LID</t>
        </is>
      </c>
      <c r="F207" s="113" t="inlineStr">
        <is>
          <t>Bowl lid</t>
        </is>
      </c>
      <c r="G207" s="147" t="n">
        <v>1</v>
      </c>
      <c r="H207" s="164" t="inlineStr">
        <is>
          <t>ea</t>
        </is>
      </c>
      <c r="I207" s="150">
        <f>IFERROR(INDEX('04 SKU Master'!$AM$5:$AM$165,MATCH($E207,'04 SKU Master'!$A$5:$A$165,0)),IFERROR(INDEX('05 Packaging Master'!$AM$5:$AM$50,MATCH($E207,'05 Packaging Master'!$A$5:$A$50,0)),IFERROR(INDEX('09 Cost Index'!$C$5:$C$24,MATCH($E207,'09 Cost Index'!$A$5:$A$24,0)),"")))</f>
        <v/>
      </c>
      <c r="J207" s="153">
        <f>'01 Control'!$C$7</f>
        <v/>
      </c>
      <c r="K207" s="150">
        <f>IF($I207="","",$G207*$I207*(1+$J207))</f>
        <v/>
      </c>
      <c r="L207" s="177">
        <f>IF(ISNUMBER(MATCH($E207,'09 Cost Index'!$A$5:$A$24,0)),"09 Cost Index",IF(ISNUMBER(MATCH($E207,'05 Packaging Master'!$A$5:$A$46,0)),"05 Packaging Master",IF(ISNUMBER(MATCH($E207,'04 SKU Master'!$A$5:$A$165,0)),"04 SKU Master","NOT FOUND")))</f>
        <v/>
      </c>
      <c r="M207" s="178">
        <f>IFERROR(INDEX('12 Final Menu'!$U$5:$U$200,MATCH($A207,'12 Final Menu'!$A$5:$A$200,0)),0)</f>
        <v/>
      </c>
      <c r="N207" s="165">
        <f>$G207*(1+$J207)*$M207*1000</f>
        <v/>
      </c>
    </row>
    <row r="208" ht="15" customHeight="1" s="106">
      <c r="A208" s="138" t="inlineStr">
        <is>
          <t>PP-SEA-Y2W-CHER</t>
        </is>
      </c>
      <c r="B208" s="138" t="inlineStr">
        <is>
          <t>Chermoula Beef</t>
        </is>
      </c>
      <c r="C208" s="138" t="inlineStr">
        <is>
          <t>Y2 Winter - North Africa</t>
        </is>
      </c>
      <c r="D208" s="139" t="inlineStr">
        <is>
          <t>Packaging</t>
        </is>
      </c>
      <c r="E208" s="134" t="inlineStr">
        <is>
          <t>PP-PACK-CUTLERY</t>
        </is>
      </c>
      <c r="F208" s="113" t="inlineStr">
        <is>
          <t>Cutlery set</t>
        </is>
      </c>
      <c r="G208" s="147" t="n">
        <v>1</v>
      </c>
      <c r="H208" s="164" t="inlineStr">
        <is>
          <t>ea</t>
        </is>
      </c>
      <c r="I208" s="150">
        <f>IFERROR(INDEX('04 SKU Master'!$AM$5:$AM$165,MATCH($E208,'04 SKU Master'!$A$5:$A$165,0)),IFERROR(INDEX('05 Packaging Master'!$AM$5:$AM$50,MATCH($E208,'05 Packaging Master'!$A$5:$A$50,0)),IFERROR(INDEX('09 Cost Index'!$C$5:$C$24,MATCH($E208,'09 Cost Index'!$A$5:$A$24,0)),"")))</f>
        <v/>
      </c>
      <c r="J208" s="153">
        <f>'01 Control'!$C$7</f>
        <v/>
      </c>
      <c r="K208" s="150">
        <f>IF($I208="","",$G208*$I208*(1+$J208))</f>
        <v/>
      </c>
      <c r="L208" s="177">
        <f>IF(ISNUMBER(MATCH($E208,'09 Cost Index'!$A$5:$A$24,0)),"09 Cost Index",IF(ISNUMBER(MATCH($E208,'05 Packaging Master'!$A$5:$A$46,0)),"05 Packaging Master",IF(ISNUMBER(MATCH($E208,'04 SKU Master'!$A$5:$A$165,0)),"04 SKU Master","NOT FOUND")))</f>
        <v/>
      </c>
      <c r="M208" s="178">
        <f>IFERROR(INDEX('12 Final Menu'!$U$5:$U$200,MATCH($A208,'12 Final Menu'!$A$5:$A$200,0)),0)</f>
        <v/>
      </c>
      <c r="N208" s="165">
        <f>$G208*(1+$J208)*$M208*1000</f>
        <v/>
      </c>
    </row>
    <row r="209" ht="15" customHeight="1" s="106">
      <c r="A209" s="138" t="inlineStr">
        <is>
          <t>PP-SEA-Y2W-CHER</t>
        </is>
      </c>
      <c r="B209" s="138" t="inlineStr">
        <is>
          <t>Chermoula Beef</t>
        </is>
      </c>
      <c r="C209" s="138" t="inlineStr">
        <is>
          <t>Y2 Winter - North Africa</t>
        </is>
      </c>
      <c r="D209" s="139" t="inlineStr">
        <is>
          <t>Packaging</t>
        </is>
      </c>
      <c r="E209" s="134" t="inlineStr">
        <is>
          <t>PP-PACK-NAPKIN</t>
        </is>
      </c>
      <c r="F209" s="113" t="inlineStr">
        <is>
          <t>Branded napkin</t>
        </is>
      </c>
      <c r="G209" s="147" t="n">
        <v>1</v>
      </c>
      <c r="H209" s="164" t="inlineStr">
        <is>
          <t>ea</t>
        </is>
      </c>
      <c r="I209" s="150">
        <f>IFERROR(INDEX('04 SKU Master'!$AM$5:$AM$165,MATCH($E209,'04 SKU Master'!$A$5:$A$165,0)),IFERROR(INDEX('05 Packaging Master'!$AM$5:$AM$50,MATCH($E209,'05 Packaging Master'!$A$5:$A$50,0)),IFERROR(INDEX('09 Cost Index'!$C$5:$C$24,MATCH($E209,'09 Cost Index'!$A$5:$A$24,0)),"")))</f>
        <v/>
      </c>
      <c r="J209" s="153">
        <f>'01 Control'!$C$7</f>
        <v/>
      </c>
      <c r="K209" s="150">
        <f>IF($I209="","",$G209*$I209*(1+$J209))</f>
        <v/>
      </c>
      <c r="L209" s="177">
        <f>IF(ISNUMBER(MATCH($E209,'09 Cost Index'!$A$5:$A$24,0)),"09 Cost Index",IF(ISNUMBER(MATCH($E209,'05 Packaging Master'!$A$5:$A$46,0)),"05 Packaging Master",IF(ISNUMBER(MATCH($E209,'04 SKU Master'!$A$5:$A$165,0)),"04 SKU Master","NOT FOUND")))</f>
        <v/>
      </c>
      <c r="M209" s="178">
        <f>IFERROR(INDEX('12 Final Menu'!$U$5:$U$200,MATCH($A209,'12 Final Menu'!$A$5:$A$200,0)),0)</f>
        <v/>
      </c>
      <c r="N209" s="165">
        <f>$G209*(1+$J209)*$M209*1000</f>
        <v/>
      </c>
    </row>
    <row r="210"/>
    <row r="211" ht="15" customHeight="1" s="106">
      <c r="A211" s="144" t="inlineStr">
        <is>
          <t>YEAR 2  |  Spring (Sep-Nov)  |  West Africa   -&gt;   Jollof-Spiced Tomato   |   Rigatoni   |   PP-SEA-Y2P-JOLL</t>
        </is>
      </c>
      <c r="B211" s="110" t="n"/>
      <c r="C211" s="110" t="n"/>
      <c r="D211" s="110" t="n"/>
      <c r="E211" s="110" t="n"/>
      <c r="F211" s="110" t="n"/>
      <c r="G211" s="110" t="n"/>
      <c r="H211" s="110" t="n"/>
      <c r="I211" s="110" t="n"/>
      <c r="J211" s="110" t="n"/>
      <c r="K211" s="110" t="n"/>
      <c r="L211" s="110" t="n"/>
      <c r="M211" s="110" t="n"/>
      <c r="N211" s="111" t="n"/>
    </row>
    <row r="212" ht="15" customHeight="1" s="106">
      <c r="A212" s="138" t="inlineStr">
        <is>
          <t>PP-SEA-Y2P-JOLL</t>
        </is>
      </c>
      <c r="B212" s="138" t="inlineStr">
        <is>
          <t>Jollof-Spiced Tomato</t>
        </is>
      </c>
      <c r="C212" s="138" t="inlineStr">
        <is>
          <t>Y2 Spring - West Africa</t>
        </is>
      </c>
      <c r="D212" s="139" t="inlineStr">
        <is>
          <t>Pasta</t>
        </is>
      </c>
      <c r="E212" s="134" t="inlineStr">
        <is>
          <t>PP-DOUGH-BOKGAT</t>
        </is>
      </c>
      <c r="F212" s="113" t="inlineStr">
        <is>
          <t>Bokgat Base, Rigatoni - dried weight</t>
        </is>
      </c>
      <c r="G212" s="147" t="n">
        <v>111</v>
      </c>
      <c r="H212" s="164" t="inlineStr">
        <is>
          <t>g</t>
        </is>
      </c>
      <c r="I212" s="150">
        <f>IFERROR(INDEX('04 SKU Master'!$AM$5:$AM$165,MATCH($E212,'04 SKU Master'!$A$5:$A$165,0)),IFERROR(INDEX('05 Packaging Master'!$AM$5:$AM$50,MATCH($E212,'05 Packaging Master'!$A$5:$A$50,0)),IFERROR(INDEX('09 Cost Index'!$C$5:$C$24,MATCH($E212,'09 Cost Index'!$A$5:$A$24,0)),"")))</f>
        <v/>
      </c>
      <c r="J212" s="153">
        <f>'01 Control'!$C$7</f>
        <v/>
      </c>
      <c r="K212" s="150">
        <f>IF($I212="","",$G212*$I212*(1+$J212))</f>
        <v/>
      </c>
      <c r="L212" s="177">
        <f>IF(ISNUMBER(MATCH($E212,'09 Cost Index'!$A$5:$A$24,0)),"09 Cost Index",IF(ISNUMBER(MATCH($E212,'05 Packaging Master'!$A$5:$A$46,0)),"05 Packaging Master",IF(ISNUMBER(MATCH($E212,'04 SKU Master'!$A$5:$A$165,0)),"04 SKU Master","NOT FOUND")))</f>
        <v/>
      </c>
      <c r="M212" s="178">
        <f>IFERROR(INDEX('12 Final Menu'!$U$5:$U$200,MATCH($A212,'12 Final Menu'!$A$5:$A$200,0)),0)</f>
        <v/>
      </c>
      <c r="N212" s="165">
        <f>$G212*(1+$J212)*$M212*1000</f>
        <v/>
      </c>
    </row>
    <row r="213" ht="15" customHeight="1" s="106">
      <c r="A213" s="138" t="inlineStr">
        <is>
          <t>PP-SEA-Y2P-JOLL</t>
        </is>
      </c>
      <c r="B213" s="138" t="inlineStr">
        <is>
          <t>Jollof-Spiced Tomato</t>
        </is>
      </c>
      <c r="C213" s="138" t="inlineStr">
        <is>
          <t>Y2 Spring - West Africa</t>
        </is>
      </c>
      <c r="D213" s="139" t="inlineStr">
        <is>
          <t>Sauce</t>
        </is>
      </c>
      <c r="E213" s="134" t="inlineStr">
        <is>
          <t>PP-SAUCE-NAP</t>
        </is>
      </c>
      <c r="F213" s="113" t="inlineStr">
        <is>
          <t>Napoletana (Pomodoro) base (CK - core)</t>
        </is>
      </c>
      <c r="G213" s="147" t="n">
        <v>150</v>
      </c>
      <c r="H213" s="164" t="inlineStr">
        <is>
          <t>g</t>
        </is>
      </c>
      <c r="I213" s="150">
        <f>IFERROR(INDEX('04 SKU Master'!$AM$5:$AM$165,MATCH($E213,'04 SKU Master'!$A$5:$A$165,0)),IFERROR(INDEX('05 Packaging Master'!$AM$5:$AM$50,MATCH($E213,'05 Packaging Master'!$A$5:$A$50,0)),IFERROR(INDEX('09 Cost Index'!$C$5:$C$24,MATCH($E213,'09 Cost Index'!$A$5:$A$24,0)),"")))</f>
        <v/>
      </c>
      <c r="J213" s="153">
        <f>'01 Control'!$C$7</f>
        <v/>
      </c>
      <c r="K213" s="150">
        <f>IF($I213="","",$G213*$I213*(1+$J213))</f>
        <v/>
      </c>
      <c r="L213" s="177">
        <f>IF(ISNUMBER(MATCH($E213,'09 Cost Index'!$A$5:$A$24,0)),"09 Cost Index",IF(ISNUMBER(MATCH($E213,'05 Packaging Master'!$A$5:$A$46,0)),"05 Packaging Master",IF(ISNUMBER(MATCH($E213,'04 SKU Master'!$A$5:$A$165,0)),"04 SKU Master","NOT FOUND")))</f>
        <v/>
      </c>
      <c r="M213" s="178">
        <f>IFERROR(INDEX('12 Final Menu'!$U$5:$U$200,MATCH($A213,'12 Final Menu'!$A$5:$A$200,0)),0)</f>
        <v/>
      </c>
      <c r="N213" s="165">
        <f>$G213*(1+$J213)*$M213*1000</f>
        <v/>
      </c>
    </row>
    <row r="214" ht="15" customHeight="1" s="106">
      <c r="A214" s="138" t="inlineStr">
        <is>
          <t>PP-SEA-Y2P-JOLL</t>
        </is>
      </c>
      <c r="B214" s="138" t="inlineStr">
        <is>
          <t>Jollof-Spiced Tomato</t>
        </is>
      </c>
      <c r="C214" s="138" t="inlineStr">
        <is>
          <t>Y2 Spring - West Africa</t>
        </is>
      </c>
      <c r="D214" s="139" t="inlineStr">
        <is>
          <t>Protein</t>
        </is>
      </c>
      <c r="E214" s="134" t="inlineStr">
        <is>
          <t>PP-BEEF-MINCE</t>
        </is>
      </c>
      <c r="F214" s="113" t="inlineStr">
        <is>
          <t>Beef</t>
        </is>
      </c>
      <c r="G214" s="147" t="n">
        <v>70</v>
      </c>
      <c r="H214" s="164" t="inlineStr">
        <is>
          <t>g</t>
        </is>
      </c>
      <c r="I214" s="150">
        <f>IFERROR(INDEX('04 SKU Master'!$AM$5:$AM$165,MATCH($E214,'04 SKU Master'!$A$5:$A$165,0)),IFERROR(INDEX('05 Packaging Master'!$AM$5:$AM$50,MATCH($E214,'05 Packaging Master'!$A$5:$A$50,0)),IFERROR(INDEX('09 Cost Index'!$C$5:$C$24,MATCH($E214,'09 Cost Index'!$A$5:$A$24,0)),"")))</f>
        <v/>
      </c>
      <c r="J214" s="153">
        <f>'01 Control'!$C$7</f>
        <v/>
      </c>
      <c r="K214" s="150">
        <f>IF($I214="","",$G214*$I214*(1+$J214))</f>
        <v/>
      </c>
      <c r="L214" s="177">
        <f>IF(ISNUMBER(MATCH($E214,'09 Cost Index'!$A$5:$A$24,0)),"09 Cost Index",IF(ISNUMBER(MATCH($E214,'05 Packaging Master'!$A$5:$A$46,0)),"05 Packaging Master",IF(ISNUMBER(MATCH($E214,'04 SKU Master'!$A$5:$A$165,0)),"04 SKU Master","NOT FOUND")))</f>
        <v/>
      </c>
      <c r="M214" s="178">
        <f>IFERROR(INDEX('12 Final Menu'!$U$5:$U$200,MATCH($A214,'12 Final Menu'!$A$5:$A$200,0)),0)</f>
        <v/>
      </c>
      <c r="N214" s="165">
        <f>$G214*(1+$J214)*$M214*1000</f>
        <v/>
      </c>
    </row>
    <row r="215" ht="15" customHeight="1" s="106">
      <c r="A215" s="138" t="inlineStr">
        <is>
          <t>PP-SEA-Y2P-JOLL</t>
        </is>
      </c>
      <c r="B215" s="138" t="inlineStr">
        <is>
          <t>Jollof-Spiced Tomato</t>
        </is>
      </c>
      <c r="C215" s="138" t="inlineStr">
        <is>
          <t>Y2 Spring - West Africa</t>
        </is>
      </c>
      <c r="D215" s="139" t="inlineStr">
        <is>
          <t>Ingredient</t>
        </is>
      </c>
      <c r="E215" s="134" t="inlineStr">
        <is>
          <t>PP-SPICE-JOLLOF</t>
        </is>
      </c>
      <c r="F215" s="113" t="inlineStr">
        <is>
          <t>Jollof spice</t>
        </is>
      </c>
      <c r="G215" s="147" t="n">
        <v>10</v>
      </c>
      <c r="H215" s="164" t="inlineStr">
        <is>
          <t>g</t>
        </is>
      </c>
      <c r="I215" s="150">
        <f>IFERROR(INDEX('04 SKU Master'!$AM$5:$AM$165,MATCH($E215,'04 SKU Master'!$A$5:$A$165,0)),IFERROR(INDEX('05 Packaging Master'!$AM$5:$AM$50,MATCH($E215,'05 Packaging Master'!$A$5:$A$50,0)),IFERROR(INDEX('09 Cost Index'!$C$5:$C$24,MATCH($E215,'09 Cost Index'!$A$5:$A$24,0)),"")))</f>
        <v/>
      </c>
      <c r="J215" s="153">
        <f>'01 Control'!$C$7</f>
        <v/>
      </c>
      <c r="K215" s="150">
        <f>IF($I215="","",$G215*$I215*(1+$J215))</f>
        <v/>
      </c>
      <c r="L215" s="177">
        <f>IF(ISNUMBER(MATCH($E215,'09 Cost Index'!$A$5:$A$24,0)),"09 Cost Index",IF(ISNUMBER(MATCH($E215,'05 Packaging Master'!$A$5:$A$46,0)),"05 Packaging Master",IF(ISNUMBER(MATCH($E215,'04 SKU Master'!$A$5:$A$165,0)),"04 SKU Master","NOT FOUND")))</f>
        <v/>
      </c>
      <c r="M215" s="178">
        <f>IFERROR(INDEX('12 Final Menu'!$U$5:$U$200,MATCH($A215,'12 Final Menu'!$A$5:$A$200,0)),0)</f>
        <v/>
      </c>
      <c r="N215" s="165">
        <f>$G215*(1+$J215)*$M215*1000</f>
        <v/>
      </c>
    </row>
    <row r="216" ht="15" customHeight="1" s="106">
      <c r="A216" s="138" t="inlineStr">
        <is>
          <t>PP-SEA-Y2P-JOLL</t>
        </is>
      </c>
      <c r="B216" s="138" t="inlineStr">
        <is>
          <t>Jollof-Spiced Tomato</t>
        </is>
      </c>
      <c r="C216" s="138" t="inlineStr">
        <is>
          <t>Y2 Spring - West Africa</t>
        </is>
      </c>
      <c r="D216" s="139" t="inlineStr">
        <is>
          <t>Packaging</t>
        </is>
      </c>
      <c r="E216" s="134" t="inlineStr">
        <is>
          <t>PP-PACK-TUB</t>
        </is>
      </c>
      <c r="F216" s="113" t="inlineStr">
        <is>
          <t>Takeaway pasta tub</t>
        </is>
      </c>
      <c r="G216" s="147" t="n">
        <v>1</v>
      </c>
      <c r="H216" s="164" t="inlineStr">
        <is>
          <t>ea</t>
        </is>
      </c>
      <c r="I216" s="150">
        <f>IFERROR(INDEX('04 SKU Master'!$AM$5:$AM$165,MATCH($E216,'04 SKU Master'!$A$5:$A$165,0)),IFERROR(INDEX('05 Packaging Master'!$AM$5:$AM$50,MATCH($E216,'05 Packaging Master'!$A$5:$A$50,0)),IFERROR(INDEX('09 Cost Index'!$C$5:$C$24,MATCH($E216,'09 Cost Index'!$A$5:$A$24,0)),"")))</f>
        <v/>
      </c>
      <c r="J216" s="153">
        <f>'01 Control'!$C$7</f>
        <v/>
      </c>
      <c r="K216" s="150">
        <f>IF($I216="","",$G216*$I216*(1+$J216))</f>
        <v/>
      </c>
      <c r="L216" s="177">
        <f>IF(ISNUMBER(MATCH($E216,'09 Cost Index'!$A$5:$A$24,0)),"09 Cost Index",IF(ISNUMBER(MATCH($E216,'05 Packaging Master'!$A$5:$A$46,0)),"05 Packaging Master",IF(ISNUMBER(MATCH($E216,'04 SKU Master'!$A$5:$A$165,0)),"04 SKU Master","NOT FOUND")))</f>
        <v/>
      </c>
      <c r="M216" s="178">
        <f>IFERROR(INDEX('12 Final Menu'!$U$5:$U$200,MATCH($A216,'12 Final Menu'!$A$5:$A$200,0)),0)</f>
        <v/>
      </c>
      <c r="N216" s="165">
        <f>$G216*(1+$J216)*$M216*1000</f>
        <v/>
      </c>
    </row>
    <row r="217" ht="15" customHeight="1" s="106">
      <c r="A217" s="138" t="inlineStr">
        <is>
          <t>PP-SEA-Y2P-JOLL</t>
        </is>
      </c>
      <c r="B217" s="138" t="inlineStr">
        <is>
          <t>Jollof-Spiced Tomato</t>
        </is>
      </c>
      <c r="C217" s="138" t="inlineStr">
        <is>
          <t>Y2 Spring - West Africa</t>
        </is>
      </c>
      <c r="D217" s="139" t="inlineStr">
        <is>
          <t>Packaging</t>
        </is>
      </c>
      <c r="E217" s="134" t="inlineStr">
        <is>
          <t>PP-PACK-LID</t>
        </is>
      </c>
      <c r="F217" s="113" t="inlineStr">
        <is>
          <t>Bowl lid</t>
        </is>
      </c>
      <c r="G217" s="147" t="n">
        <v>1</v>
      </c>
      <c r="H217" s="164" t="inlineStr">
        <is>
          <t>ea</t>
        </is>
      </c>
      <c r="I217" s="150">
        <f>IFERROR(INDEX('04 SKU Master'!$AM$5:$AM$165,MATCH($E217,'04 SKU Master'!$A$5:$A$165,0)),IFERROR(INDEX('05 Packaging Master'!$AM$5:$AM$50,MATCH($E217,'05 Packaging Master'!$A$5:$A$50,0)),IFERROR(INDEX('09 Cost Index'!$C$5:$C$24,MATCH($E217,'09 Cost Index'!$A$5:$A$24,0)),"")))</f>
        <v/>
      </c>
      <c r="J217" s="153">
        <f>'01 Control'!$C$7</f>
        <v/>
      </c>
      <c r="K217" s="150">
        <f>IF($I217="","",$G217*$I217*(1+$J217))</f>
        <v/>
      </c>
      <c r="L217" s="177">
        <f>IF(ISNUMBER(MATCH($E217,'09 Cost Index'!$A$5:$A$24,0)),"09 Cost Index",IF(ISNUMBER(MATCH($E217,'05 Packaging Master'!$A$5:$A$46,0)),"05 Packaging Master",IF(ISNUMBER(MATCH($E217,'04 SKU Master'!$A$5:$A$165,0)),"04 SKU Master","NOT FOUND")))</f>
        <v/>
      </c>
      <c r="M217" s="178">
        <f>IFERROR(INDEX('12 Final Menu'!$U$5:$U$200,MATCH($A217,'12 Final Menu'!$A$5:$A$200,0)),0)</f>
        <v/>
      </c>
      <c r="N217" s="165">
        <f>$G217*(1+$J217)*$M217*1000</f>
        <v/>
      </c>
    </row>
    <row r="218" ht="15" customHeight="1" s="106">
      <c r="A218" s="138" t="inlineStr">
        <is>
          <t>PP-SEA-Y2P-JOLL</t>
        </is>
      </c>
      <c r="B218" s="138" t="inlineStr">
        <is>
          <t>Jollof-Spiced Tomato</t>
        </is>
      </c>
      <c r="C218" s="138" t="inlineStr">
        <is>
          <t>Y2 Spring - West Africa</t>
        </is>
      </c>
      <c r="D218" s="139" t="inlineStr">
        <is>
          <t>Packaging</t>
        </is>
      </c>
      <c r="E218" s="134" t="inlineStr">
        <is>
          <t>PP-PACK-CUTLERY</t>
        </is>
      </c>
      <c r="F218" s="113" t="inlineStr">
        <is>
          <t>Cutlery set</t>
        </is>
      </c>
      <c r="G218" s="147" t="n">
        <v>1</v>
      </c>
      <c r="H218" s="164" t="inlineStr">
        <is>
          <t>ea</t>
        </is>
      </c>
      <c r="I218" s="150">
        <f>IFERROR(INDEX('04 SKU Master'!$AM$5:$AM$165,MATCH($E218,'04 SKU Master'!$A$5:$A$165,0)),IFERROR(INDEX('05 Packaging Master'!$AM$5:$AM$50,MATCH($E218,'05 Packaging Master'!$A$5:$A$50,0)),IFERROR(INDEX('09 Cost Index'!$C$5:$C$24,MATCH($E218,'09 Cost Index'!$A$5:$A$24,0)),"")))</f>
        <v/>
      </c>
      <c r="J218" s="153">
        <f>'01 Control'!$C$7</f>
        <v/>
      </c>
      <c r="K218" s="150">
        <f>IF($I218="","",$G218*$I218*(1+$J218))</f>
        <v/>
      </c>
      <c r="L218" s="177">
        <f>IF(ISNUMBER(MATCH($E218,'09 Cost Index'!$A$5:$A$24,0)),"09 Cost Index",IF(ISNUMBER(MATCH($E218,'05 Packaging Master'!$A$5:$A$46,0)),"05 Packaging Master",IF(ISNUMBER(MATCH($E218,'04 SKU Master'!$A$5:$A$165,0)),"04 SKU Master","NOT FOUND")))</f>
        <v/>
      </c>
      <c r="M218" s="178">
        <f>IFERROR(INDEX('12 Final Menu'!$U$5:$U$200,MATCH($A218,'12 Final Menu'!$A$5:$A$200,0)),0)</f>
        <v/>
      </c>
      <c r="N218" s="165">
        <f>$G218*(1+$J218)*$M218*1000</f>
        <v/>
      </c>
    </row>
    <row r="219" ht="15" customHeight="1" s="106">
      <c r="A219" s="138" t="inlineStr">
        <is>
          <t>PP-SEA-Y2P-JOLL</t>
        </is>
      </c>
      <c r="B219" s="138" t="inlineStr">
        <is>
          <t>Jollof-Spiced Tomato</t>
        </is>
      </c>
      <c r="C219" s="138" t="inlineStr">
        <is>
          <t>Y2 Spring - West Africa</t>
        </is>
      </c>
      <c r="D219" s="139" t="inlineStr">
        <is>
          <t>Packaging</t>
        </is>
      </c>
      <c r="E219" s="134" t="inlineStr">
        <is>
          <t>PP-PACK-NAPKIN</t>
        </is>
      </c>
      <c r="F219" s="113" t="inlineStr">
        <is>
          <t>Branded napkin</t>
        </is>
      </c>
      <c r="G219" s="147" t="n">
        <v>1</v>
      </c>
      <c r="H219" s="164" t="inlineStr">
        <is>
          <t>ea</t>
        </is>
      </c>
      <c r="I219" s="150">
        <f>IFERROR(INDEX('04 SKU Master'!$AM$5:$AM$165,MATCH($E219,'04 SKU Master'!$A$5:$A$165,0)),IFERROR(INDEX('05 Packaging Master'!$AM$5:$AM$50,MATCH($E219,'05 Packaging Master'!$A$5:$A$50,0)),IFERROR(INDEX('09 Cost Index'!$C$5:$C$24,MATCH($E219,'09 Cost Index'!$A$5:$A$24,0)),"")))</f>
        <v/>
      </c>
      <c r="J219" s="153">
        <f>'01 Control'!$C$7</f>
        <v/>
      </c>
      <c r="K219" s="150">
        <f>IF($I219="","",$G219*$I219*(1+$J219))</f>
        <v/>
      </c>
      <c r="L219" s="177">
        <f>IF(ISNUMBER(MATCH($E219,'09 Cost Index'!$A$5:$A$24,0)),"09 Cost Index",IF(ISNUMBER(MATCH($E219,'05 Packaging Master'!$A$5:$A$46,0)),"05 Packaging Master",IF(ISNUMBER(MATCH($E219,'04 SKU Master'!$A$5:$A$165,0)),"04 SKU Master","NOT FOUND")))</f>
        <v/>
      </c>
      <c r="M219" s="178">
        <f>IFERROR(INDEX('12 Final Menu'!$U$5:$U$200,MATCH($A219,'12 Final Menu'!$A$5:$A$200,0)),0)</f>
        <v/>
      </c>
      <c r="N219" s="165">
        <f>$G219*(1+$J219)*$M219*1000</f>
        <v/>
      </c>
    </row>
    <row r="220"/>
    <row r="221" ht="15" customHeight="1" s="106">
      <c r="A221" s="144" t="inlineStr">
        <is>
          <t>YEAR 2  |  Spring (Sep-Nov)  |  West Africa   -&gt;   Suya Grilled Beef   |   Spaghetti   |   PP-SEA-Y2P-SUYA</t>
        </is>
      </c>
      <c r="B221" s="110" t="n"/>
      <c r="C221" s="110" t="n"/>
      <c r="D221" s="110" t="n"/>
      <c r="E221" s="110" t="n"/>
      <c r="F221" s="110" t="n"/>
      <c r="G221" s="110" t="n"/>
      <c r="H221" s="110" t="n"/>
      <c r="I221" s="110" t="n"/>
      <c r="J221" s="110" t="n"/>
      <c r="K221" s="110" t="n"/>
      <c r="L221" s="110" t="n"/>
      <c r="M221" s="110" t="n"/>
      <c r="N221" s="111" t="n"/>
    </row>
    <row r="222" ht="15" customHeight="1" s="106">
      <c r="A222" s="138" t="inlineStr">
        <is>
          <t>PP-SEA-Y2P-SUYA</t>
        </is>
      </c>
      <c r="B222" s="138" t="inlineStr">
        <is>
          <t>Suya Grilled Beef</t>
        </is>
      </c>
      <c r="C222" s="138" t="inlineStr">
        <is>
          <t>Y2 Spring - West Africa</t>
        </is>
      </c>
      <c r="D222" s="139" t="inlineStr">
        <is>
          <t>Pasta</t>
        </is>
      </c>
      <c r="E222" s="134" t="inlineStr">
        <is>
          <t>PP-DOUGH-PROTEIN</t>
        </is>
      </c>
      <c r="F222" s="113" t="inlineStr">
        <is>
          <t>Protein+ Pro, Spaghetti - dried weight</t>
        </is>
      </c>
      <c r="G222" s="147" t="n">
        <v>111</v>
      </c>
      <c r="H222" s="164" t="inlineStr">
        <is>
          <t>g</t>
        </is>
      </c>
      <c r="I222" s="150">
        <f>IFERROR(INDEX('04 SKU Master'!$AM$5:$AM$165,MATCH($E222,'04 SKU Master'!$A$5:$A$165,0)),IFERROR(INDEX('05 Packaging Master'!$AM$5:$AM$50,MATCH($E222,'05 Packaging Master'!$A$5:$A$50,0)),IFERROR(INDEX('09 Cost Index'!$C$5:$C$24,MATCH($E222,'09 Cost Index'!$A$5:$A$24,0)),"")))</f>
        <v/>
      </c>
      <c r="J222" s="153">
        <f>'01 Control'!$C$7</f>
        <v/>
      </c>
      <c r="K222" s="150">
        <f>IF($I222="","",$G222*$I222*(1+$J222))</f>
        <v/>
      </c>
      <c r="L222" s="177">
        <f>IF(ISNUMBER(MATCH($E222,'09 Cost Index'!$A$5:$A$24,0)),"09 Cost Index",IF(ISNUMBER(MATCH($E222,'05 Packaging Master'!$A$5:$A$46,0)),"05 Packaging Master",IF(ISNUMBER(MATCH($E222,'04 SKU Master'!$A$5:$A$165,0)),"04 SKU Master","NOT FOUND")))</f>
        <v/>
      </c>
      <c r="M222" s="178">
        <f>IFERROR(INDEX('12 Final Menu'!$U$5:$U$200,MATCH($A222,'12 Final Menu'!$A$5:$A$200,0)),0)</f>
        <v/>
      </c>
      <c r="N222" s="165">
        <f>$G222*(1+$J222)*$M222*1000</f>
        <v/>
      </c>
    </row>
    <row r="223" ht="15" customHeight="1" s="106">
      <c r="A223" s="138" t="inlineStr">
        <is>
          <t>PP-SEA-Y2P-SUYA</t>
        </is>
      </c>
      <c r="B223" s="138" t="inlineStr">
        <is>
          <t>Suya Grilled Beef</t>
        </is>
      </c>
      <c r="C223" s="138" t="inlineStr">
        <is>
          <t>Y2 Spring - West Africa</t>
        </is>
      </c>
      <c r="D223" s="139" t="inlineStr">
        <is>
          <t>Sauce</t>
        </is>
      </c>
      <c r="E223" s="134" t="inlineStr">
        <is>
          <t>PP-SAUCE-ALO</t>
        </is>
      </c>
      <c r="F223" s="113" t="inlineStr">
        <is>
          <t>Aglio e Olio Kit base (CK - core)</t>
        </is>
      </c>
      <c r="G223" s="147" t="n">
        <v>35</v>
      </c>
      <c r="H223" s="164" t="inlineStr">
        <is>
          <t>g</t>
        </is>
      </c>
      <c r="I223" s="150">
        <f>IFERROR(INDEX('04 SKU Master'!$AM$5:$AM$165,MATCH($E223,'04 SKU Master'!$A$5:$A$165,0)),IFERROR(INDEX('05 Packaging Master'!$AM$5:$AM$50,MATCH($E223,'05 Packaging Master'!$A$5:$A$50,0)),IFERROR(INDEX('09 Cost Index'!$C$5:$C$24,MATCH($E223,'09 Cost Index'!$A$5:$A$24,0)),"")))</f>
        <v/>
      </c>
      <c r="J223" s="153">
        <f>'01 Control'!$C$7</f>
        <v/>
      </c>
      <c r="K223" s="150">
        <f>IF($I223="","",$G223*$I223*(1+$J223))</f>
        <v/>
      </c>
      <c r="L223" s="177">
        <f>IF(ISNUMBER(MATCH($E223,'09 Cost Index'!$A$5:$A$24,0)),"09 Cost Index",IF(ISNUMBER(MATCH($E223,'05 Packaging Master'!$A$5:$A$46,0)),"05 Packaging Master",IF(ISNUMBER(MATCH($E223,'04 SKU Master'!$A$5:$A$165,0)),"04 SKU Master","NOT FOUND")))</f>
        <v/>
      </c>
      <c r="M223" s="178">
        <f>IFERROR(INDEX('12 Final Menu'!$U$5:$U$200,MATCH($A223,'12 Final Menu'!$A$5:$A$200,0)),0)</f>
        <v/>
      </c>
      <c r="N223" s="165">
        <f>$G223*(1+$J223)*$M223*1000</f>
        <v/>
      </c>
    </row>
    <row r="224" ht="15" customHeight="1" s="106">
      <c r="A224" s="138" t="inlineStr">
        <is>
          <t>PP-SEA-Y2P-SUYA</t>
        </is>
      </c>
      <c r="B224" s="138" t="inlineStr">
        <is>
          <t>Suya Grilled Beef</t>
        </is>
      </c>
      <c r="C224" s="138" t="inlineStr">
        <is>
          <t>Y2 Spring - West Africa</t>
        </is>
      </c>
      <c r="D224" s="139" t="inlineStr">
        <is>
          <t>Protein</t>
        </is>
      </c>
      <c r="E224" s="134" t="inlineStr">
        <is>
          <t>PP-BEEF-SEASONED</t>
        </is>
      </c>
      <c r="F224" s="113" t="inlineStr">
        <is>
          <t>Suya-rubbed beef</t>
        </is>
      </c>
      <c r="G224" s="147" t="n">
        <v>100</v>
      </c>
      <c r="H224" s="164" t="inlineStr">
        <is>
          <t>g</t>
        </is>
      </c>
      <c r="I224" s="150">
        <f>IFERROR(INDEX('04 SKU Master'!$AM$5:$AM$165,MATCH($E224,'04 SKU Master'!$A$5:$A$165,0)),IFERROR(INDEX('05 Packaging Master'!$AM$5:$AM$50,MATCH($E224,'05 Packaging Master'!$A$5:$A$50,0)),IFERROR(INDEX('09 Cost Index'!$C$5:$C$24,MATCH($E224,'09 Cost Index'!$A$5:$A$24,0)),"")))</f>
        <v/>
      </c>
      <c r="J224" s="153">
        <f>'01 Control'!$C$7</f>
        <v/>
      </c>
      <c r="K224" s="150">
        <f>IF($I224="","",$G224*$I224*(1+$J224))</f>
        <v/>
      </c>
      <c r="L224" s="177">
        <f>IF(ISNUMBER(MATCH($E224,'09 Cost Index'!$A$5:$A$24,0)),"09 Cost Index",IF(ISNUMBER(MATCH($E224,'05 Packaging Master'!$A$5:$A$46,0)),"05 Packaging Master",IF(ISNUMBER(MATCH($E224,'04 SKU Master'!$A$5:$A$165,0)),"04 SKU Master","NOT FOUND")))</f>
        <v/>
      </c>
      <c r="M224" s="178">
        <f>IFERROR(INDEX('12 Final Menu'!$U$5:$U$200,MATCH($A224,'12 Final Menu'!$A$5:$A$200,0)),0)</f>
        <v/>
      </c>
      <c r="N224" s="165">
        <f>$G224*(1+$J224)*$M224*1000</f>
        <v/>
      </c>
    </row>
    <row r="225" ht="15" customHeight="1" s="106">
      <c r="A225" s="138" t="inlineStr">
        <is>
          <t>PP-SEA-Y2P-SUYA</t>
        </is>
      </c>
      <c r="B225" s="138" t="inlineStr">
        <is>
          <t>Suya Grilled Beef</t>
        </is>
      </c>
      <c r="C225" s="138" t="inlineStr">
        <is>
          <t>Y2 Spring - West Africa</t>
        </is>
      </c>
      <c r="D225" s="139" t="inlineStr">
        <is>
          <t>Ingredient</t>
        </is>
      </c>
      <c r="E225" s="134" t="inlineStr">
        <is>
          <t>PP-SPICE-SUYA</t>
        </is>
      </c>
      <c r="F225" s="113" t="inlineStr">
        <is>
          <t>Suya (yaji) spice</t>
        </is>
      </c>
      <c r="G225" s="147" t="n">
        <v>10</v>
      </c>
      <c r="H225" s="164" t="inlineStr">
        <is>
          <t>g</t>
        </is>
      </c>
      <c r="I225" s="150">
        <f>IFERROR(INDEX('04 SKU Master'!$AM$5:$AM$165,MATCH($E225,'04 SKU Master'!$A$5:$A$165,0)),IFERROR(INDEX('05 Packaging Master'!$AM$5:$AM$50,MATCH($E225,'05 Packaging Master'!$A$5:$A$50,0)),IFERROR(INDEX('09 Cost Index'!$C$5:$C$24,MATCH($E225,'09 Cost Index'!$A$5:$A$24,0)),"")))</f>
        <v/>
      </c>
      <c r="J225" s="153">
        <f>'01 Control'!$C$7</f>
        <v/>
      </c>
      <c r="K225" s="150">
        <f>IF($I225="","",$G225*$I225*(1+$J225))</f>
        <v/>
      </c>
      <c r="L225" s="177">
        <f>IF(ISNUMBER(MATCH($E225,'09 Cost Index'!$A$5:$A$24,0)),"09 Cost Index",IF(ISNUMBER(MATCH($E225,'05 Packaging Master'!$A$5:$A$46,0)),"05 Packaging Master",IF(ISNUMBER(MATCH($E225,'04 SKU Master'!$A$5:$A$165,0)),"04 SKU Master","NOT FOUND")))</f>
        <v/>
      </c>
      <c r="M225" s="178">
        <f>IFERROR(INDEX('12 Final Menu'!$U$5:$U$200,MATCH($A225,'12 Final Menu'!$A$5:$A$200,0)),0)</f>
        <v/>
      </c>
      <c r="N225" s="165">
        <f>$G225*(1+$J225)*$M225*1000</f>
        <v/>
      </c>
    </row>
    <row r="226" ht="15" customHeight="1" s="106">
      <c r="A226" s="138" t="inlineStr">
        <is>
          <t>PP-SEA-Y2P-SUYA</t>
        </is>
      </c>
      <c r="B226" s="138" t="inlineStr">
        <is>
          <t>Suya Grilled Beef</t>
        </is>
      </c>
      <c r="C226" s="138" t="inlineStr">
        <is>
          <t>Y2 Spring - West Africa</t>
        </is>
      </c>
      <c r="D226" s="139" t="inlineStr">
        <is>
          <t>Packaging</t>
        </is>
      </c>
      <c r="E226" s="134" t="inlineStr">
        <is>
          <t>PP-PACK-TUB</t>
        </is>
      </c>
      <c r="F226" s="113" t="inlineStr">
        <is>
          <t>Takeaway pasta tub</t>
        </is>
      </c>
      <c r="G226" s="147" t="n">
        <v>1</v>
      </c>
      <c r="H226" s="164" t="inlineStr">
        <is>
          <t>ea</t>
        </is>
      </c>
      <c r="I226" s="150">
        <f>IFERROR(INDEX('04 SKU Master'!$AM$5:$AM$165,MATCH($E226,'04 SKU Master'!$A$5:$A$165,0)),IFERROR(INDEX('05 Packaging Master'!$AM$5:$AM$50,MATCH($E226,'05 Packaging Master'!$A$5:$A$50,0)),IFERROR(INDEX('09 Cost Index'!$C$5:$C$24,MATCH($E226,'09 Cost Index'!$A$5:$A$24,0)),"")))</f>
        <v/>
      </c>
      <c r="J226" s="153">
        <f>'01 Control'!$C$7</f>
        <v/>
      </c>
      <c r="K226" s="150">
        <f>IF($I226="","",$G226*$I226*(1+$J226))</f>
        <v/>
      </c>
      <c r="L226" s="177">
        <f>IF(ISNUMBER(MATCH($E226,'09 Cost Index'!$A$5:$A$24,0)),"09 Cost Index",IF(ISNUMBER(MATCH($E226,'05 Packaging Master'!$A$5:$A$46,0)),"05 Packaging Master",IF(ISNUMBER(MATCH($E226,'04 SKU Master'!$A$5:$A$165,0)),"04 SKU Master","NOT FOUND")))</f>
        <v/>
      </c>
      <c r="M226" s="178">
        <f>IFERROR(INDEX('12 Final Menu'!$U$5:$U$200,MATCH($A226,'12 Final Menu'!$A$5:$A$200,0)),0)</f>
        <v/>
      </c>
      <c r="N226" s="165">
        <f>$G226*(1+$J226)*$M226*1000</f>
        <v/>
      </c>
    </row>
    <row r="227" ht="15" customHeight="1" s="106">
      <c r="A227" s="138" t="inlineStr">
        <is>
          <t>PP-SEA-Y2P-SUYA</t>
        </is>
      </c>
      <c r="B227" s="138" t="inlineStr">
        <is>
          <t>Suya Grilled Beef</t>
        </is>
      </c>
      <c r="C227" s="138" t="inlineStr">
        <is>
          <t>Y2 Spring - West Africa</t>
        </is>
      </c>
      <c r="D227" s="139" t="inlineStr">
        <is>
          <t>Packaging</t>
        </is>
      </c>
      <c r="E227" s="134" t="inlineStr">
        <is>
          <t>PP-PACK-LID</t>
        </is>
      </c>
      <c r="F227" s="113" t="inlineStr">
        <is>
          <t>Bowl lid</t>
        </is>
      </c>
      <c r="G227" s="147" t="n">
        <v>1</v>
      </c>
      <c r="H227" s="164" t="inlineStr">
        <is>
          <t>ea</t>
        </is>
      </c>
      <c r="I227" s="150">
        <f>IFERROR(INDEX('04 SKU Master'!$AM$5:$AM$165,MATCH($E227,'04 SKU Master'!$A$5:$A$165,0)),IFERROR(INDEX('05 Packaging Master'!$AM$5:$AM$50,MATCH($E227,'05 Packaging Master'!$A$5:$A$50,0)),IFERROR(INDEX('09 Cost Index'!$C$5:$C$24,MATCH($E227,'09 Cost Index'!$A$5:$A$24,0)),"")))</f>
        <v/>
      </c>
      <c r="J227" s="153">
        <f>'01 Control'!$C$7</f>
        <v/>
      </c>
      <c r="K227" s="150">
        <f>IF($I227="","",$G227*$I227*(1+$J227))</f>
        <v/>
      </c>
      <c r="L227" s="177">
        <f>IF(ISNUMBER(MATCH($E227,'09 Cost Index'!$A$5:$A$24,0)),"09 Cost Index",IF(ISNUMBER(MATCH($E227,'05 Packaging Master'!$A$5:$A$46,0)),"05 Packaging Master",IF(ISNUMBER(MATCH($E227,'04 SKU Master'!$A$5:$A$165,0)),"04 SKU Master","NOT FOUND")))</f>
        <v/>
      </c>
      <c r="M227" s="178">
        <f>IFERROR(INDEX('12 Final Menu'!$U$5:$U$200,MATCH($A227,'12 Final Menu'!$A$5:$A$200,0)),0)</f>
        <v/>
      </c>
      <c r="N227" s="165">
        <f>$G227*(1+$J227)*$M227*1000</f>
        <v/>
      </c>
    </row>
    <row r="228" ht="15" customHeight="1" s="106">
      <c r="A228" s="138" t="inlineStr">
        <is>
          <t>PP-SEA-Y2P-SUYA</t>
        </is>
      </c>
      <c r="B228" s="138" t="inlineStr">
        <is>
          <t>Suya Grilled Beef</t>
        </is>
      </c>
      <c r="C228" s="138" t="inlineStr">
        <is>
          <t>Y2 Spring - West Africa</t>
        </is>
      </c>
      <c r="D228" s="139" t="inlineStr">
        <is>
          <t>Packaging</t>
        </is>
      </c>
      <c r="E228" s="134" t="inlineStr">
        <is>
          <t>PP-PACK-CUTLERY</t>
        </is>
      </c>
      <c r="F228" s="113" t="inlineStr">
        <is>
          <t>Cutlery set</t>
        </is>
      </c>
      <c r="G228" s="147" t="n">
        <v>1</v>
      </c>
      <c r="H228" s="164" t="inlineStr">
        <is>
          <t>ea</t>
        </is>
      </c>
      <c r="I228" s="150">
        <f>IFERROR(INDEX('04 SKU Master'!$AM$5:$AM$165,MATCH($E228,'04 SKU Master'!$A$5:$A$165,0)),IFERROR(INDEX('05 Packaging Master'!$AM$5:$AM$50,MATCH($E228,'05 Packaging Master'!$A$5:$A$50,0)),IFERROR(INDEX('09 Cost Index'!$C$5:$C$24,MATCH($E228,'09 Cost Index'!$A$5:$A$24,0)),"")))</f>
        <v/>
      </c>
      <c r="J228" s="153">
        <f>'01 Control'!$C$7</f>
        <v/>
      </c>
      <c r="K228" s="150">
        <f>IF($I228="","",$G228*$I228*(1+$J228))</f>
        <v/>
      </c>
      <c r="L228" s="177">
        <f>IF(ISNUMBER(MATCH($E228,'09 Cost Index'!$A$5:$A$24,0)),"09 Cost Index",IF(ISNUMBER(MATCH($E228,'05 Packaging Master'!$A$5:$A$46,0)),"05 Packaging Master",IF(ISNUMBER(MATCH($E228,'04 SKU Master'!$A$5:$A$165,0)),"04 SKU Master","NOT FOUND")))</f>
        <v/>
      </c>
      <c r="M228" s="178">
        <f>IFERROR(INDEX('12 Final Menu'!$U$5:$U$200,MATCH($A228,'12 Final Menu'!$A$5:$A$200,0)),0)</f>
        <v/>
      </c>
      <c r="N228" s="165">
        <f>$G228*(1+$J228)*$M228*1000</f>
        <v/>
      </c>
    </row>
    <row r="229" ht="15" customHeight="1" s="106">
      <c r="A229" s="138" t="inlineStr">
        <is>
          <t>PP-SEA-Y2P-SUYA</t>
        </is>
      </c>
      <c r="B229" s="138" t="inlineStr">
        <is>
          <t>Suya Grilled Beef</t>
        </is>
      </c>
      <c r="C229" s="138" t="inlineStr">
        <is>
          <t>Y2 Spring - West Africa</t>
        </is>
      </c>
      <c r="D229" s="139" t="inlineStr">
        <is>
          <t>Packaging</t>
        </is>
      </c>
      <c r="E229" s="134" t="inlineStr">
        <is>
          <t>PP-PACK-NAPKIN</t>
        </is>
      </c>
      <c r="F229" s="113" t="inlineStr">
        <is>
          <t>Branded napkin</t>
        </is>
      </c>
      <c r="G229" s="147" t="n">
        <v>1</v>
      </c>
      <c r="H229" s="164" t="inlineStr">
        <is>
          <t>ea</t>
        </is>
      </c>
      <c r="I229" s="150">
        <f>IFERROR(INDEX('04 SKU Master'!$AM$5:$AM$165,MATCH($E229,'04 SKU Master'!$A$5:$A$165,0)),IFERROR(INDEX('05 Packaging Master'!$AM$5:$AM$50,MATCH($E229,'05 Packaging Master'!$A$5:$A$50,0)),IFERROR(INDEX('09 Cost Index'!$C$5:$C$24,MATCH($E229,'09 Cost Index'!$A$5:$A$24,0)),"")))</f>
        <v/>
      </c>
      <c r="J229" s="153">
        <f>'01 Control'!$C$7</f>
        <v/>
      </c>
      <c r="K229" s="150">
        <f>IF($I229="","",$G229*$I229*(1+$J229))</f>
        <v/>
      </c>
      <c r="L229" s="177">
        <f>IF(ISNUMBER(MATCH($E229,'09 Cost Index'!$A$5:$A$24,0)),"09 Cost Index",IF(ISNUMBER(MATCH($E229,'05 Packaging Master'!$A$5:$A$46,0)),"05 Packaging Master",IF(ISNUMBER(MATCH($E229,'04 SKU Master'!$A$5:$A$165,0)),"04 SKU Master","NOT FOUND")))</f>
        <v/>
      </c>
      <c r="M229" s="178">
        <f>IFERROR(INDEX('12 Final Menu'!$U$5:$U$200,MATCH($A229,'12 Final Menu'!$A$5:$A$200,0)),0)</f>
        <v/>
      </c>
      <c r="N229" s="165">
        <f>$G229*(1+$J229)*$M229*1000</f>
        <v/>
      </c>
    </row>
    <row r="230"/>
    <row r="231" ht="15" customHeight="1" s="106">
      <c r="A231" s="144" t="inlineStr">
        <is>
          <t>YEAR 2  |  Spring (Sep-Nov)  |  West Africa   -&gt;   Groundnut Creamy Beef   |   Fusilli   |   PP-SEA-Y2P-GNUT</t>
        </is>
      </c>
      <c r="B231" s="110" t="n"/>
      <c r="C231" s="110" t="n"/>
      <c r="D231" s="110" t="n"/>
      <c r="E231" s="110" t="n"/>
      <c r="F231" s="110" t="n"/>
      <c r="G231" s="110" t="n"/>
      <c r="H231" s="110" t="n"/>
      <c r="I231" s="110" t="n"/>
      <c r="J231" s="110" t="n"/>
      <c r="K231" s="110" t="n"/>
      <c r="L231" s="110" t="n"/>
      <c r="M231" s="110" t="n"/>
      <c r="N231" s="111" t="n"/>
    </row>
    <row r="232" ht="15" customHeight="1" s="106">
      <c r="A232" s="138" t="inlineStr">
        <is>
          <t>PP-SEA-Y2P-GNUT</t>
        </is>
      </c>
      <c r="B232" s="138" t="inlineStr">
        <is>
          <t>Groundnut Creamy Beef</t>
        </is>
      </c>
      <c r="C232" s="138" t="inlineStr">
        <is>
          <t>Y2 Spring - West Africa</t>
        </is>
      </c>
      <c r="D232" s="139" t="inlineStr">
        <is>
          <t>Pasta</t>
        </is>
      </c>
      <c r="E232" s="134" t="inlineStr">
        <is>
          <t>PP-DOUGH-BOKGAT</t>
        </is>
      </c>
      <c r="F232" s="113" t="inlineStr">
        <is>
          <t>Bokgat Base, Fusilli - dried weight</t>
        </is>
      </c>
      <c r="G232" s="147" t="n">
        <v>111</v>
      </c>
      <c r="H232" s="164" t="inlineStr">
        <is>
          <t>g</t>
        </is>
      </c>
      <c r="I232" s="150">
        <f>IFERROR(INDEX('04 SKU Master'!$AM$5:$AM$165,MATCH($E232,'04 SKU Master'!$A$5:$A$165,0)),IFERROR(INDEX('05 Packaging Master'!$AM$5:$AM$50,MATCH($E232,'05 Packaging Master'!$A$5:$A$50,0)),IFERROR(INDEX('09 Cost Index'!$C$5:$C$24,MATCH($E232,'09 Cost Index'!$A$5:$A$24,0)),"")))</f>
        <v/>
      </c>
      <c r="J232" s="153">
        <f>'01 Control'!$C$7</f>
        <v/>
      </c>
      <c r="K232" s="150">
        <f>IF($I232="","",$G232*$I232*(1+$J232))</f>
        <v/>
      </c>
      <c r="L232" s="177">
        <f>IF(ISNUMBER(MATCH($E232,'09 Cost Index'!$A$5:$A$24,0)),"09 Cost Index",IF(ISNUMBER(MATCH($E232,'05 Packaging Master'!$A$5:$A$46,0)),"05 Packaging Master",IF(ISNUMBER(MATCH($E232,'04 SKU Master'!$A$5:$A$165,0)),"04 SKU Master","NOT FOUND")))</f>
        <v/>
      </c>
      <c r="M232" s="178">
        <f>IFERROR(INDEX('12 Final Menu'!$U$5:$U$200,MATCH($A232,'12 Final Menu'!$A$5:$A$200,0)),0)</f>
        <v/>
      </c>
      <c r="N232" s="165">
        <f>$G232*(1+$J232)*$M232*1000</f>
        <v/>
      </c>
    </row>
    <row r="233" ht="15" customHeight="1" s="106">
      <c r="A233" s="138" t="inlineStr">
        <is>
          <t>PP-SEA-Y2P-GNUT</t>
        </is>
      </c>
      <c r="B233" s="138" t="inlineStr">
        <is>
          <t>Groundnut Creamy Beef</t>
        </is>
      </c>
      <c r="C233" s="138" t="inlineStr">
        <is>
          <t>Y2 Spring - West Africa</t>
        </is>
      </c>
      <c r="D233" s="139" t="inlineStr">
        <is>
          <t>Sauce</t>
        </is>
      </c>
      <c r="E233" s="134" t="inlineStr">
        <is>
          <t>PP-SEASAUCE-GROUNDNUT</t>
        </is>
      </c>
      <c r="F233" s="113" t="inlineStr">
        <is>
          <t>Groundnut Cream Base (CK - SEASONAL base)</t>
        </is>
      </c>
      <c r="G233" s="147" t="n">
        <v>130</v>
      </c>
      <c r="H233" s="164" t="inlineStr">
        <is>
          <t>g</t>
        </is>
      </c>
      <c r="I233" s="150">
        <f>IFERROR(INDEX('04 SKU Master'!$AM$5:$AM$165,MATCH($E233,'04 SKU Master'!$A$5:$A$165,0)),IFERROR(INDEX('05 Packaging Master'!$AM$5:$AM$50,MATCH($E233,'05 Packaging Master'!$A$5:$A$50,0)),IFERROR(INDEX('09 Cost Index'!$C$5:$C$24,MATCH($E233,'09 Cost Index'!$A$5:$A$24,0)),"")))</f>
        <v/>
      </c>
      <c r="J233" s="153">
        <f>'01 Control'!$C$7</f>
        <v/>
      </c>
      <c r="K233" s="150">
        <f>IF($I233="","",$G233*$I233*(1+$J233))</f>
        <v/>
      </c>
      <c r="L233" s="177">
        <f>IF(ISNUMBER(MATCH($E233,'09 Cost Index'!$A$5:$A$24,0)),"09 Cost Index",IF(ISNUMBER(MATCH($E233,'05 Packaging Master'!$A$5:$A$46,0)),"05 Packaging Master",IF(ISNUMBER(MATCH($E233,'04 SKU Master'!$A$5:$A$165,0)),"04 SKU Master","NOT FOUND")))</f>
        <v/>
      </c>
      <c r="M233" s="178">
        <f>IFERROR(INDEX('12 Final Menu'!$U$5:$U$200,MATCH($A233,'12 Final Menu'!$A$5:$A$200,0)),0)</f>
        <v/>
      </c>
      <c r="N233" s="165">
        <f>$G233*(1+$J233)*$M233*1000</f>
        <v/>
      </c>
    </row>
    <row r="234" ht="15" customHeight="1" s="106">
      <c r="A234" s="138" t="inlineStr">
        <is>
          <t>PP-SEA-Y2P-GNUT</t>
        </is>
      </c>
      <c r="B234" s="138" t="inlineStr">
        <is>
          <t>Groundnut Creamy Beef</t>
        </is>
      </c>
      <c r="C234" s="138" t="inlineStr">
        <is>
          <t>Y2 Spring - West Africa</t>
        </is>
      </c>
      <c r="D234" s="139" t="inlineStr">
        <is>
          <t>Protein</t>
        </is>
      </c>
      <c r="E234" s="134" t="inlineStr">
        <is>
          <t>PP-BEEF-SEASONED</t>
        </is>
      </c>
      <c r="F234" s="113" t="inlineStr">
        <is>
          <t>Seasoned beef</t>
        </is>
      </c>
      <c r="G234" s="147" t="n">
        <v>90</v>
      </c>
      <c r="H234" s="164" t="inlineStr">
        <is>
          <t>g</t>
        </is>
      </c>
      <c r="I234" s="150">
        <f>IFERROR(INDEX('04 SKU Master'!$AM$5:$AM$165,MATCH($E234,'04 SKU Master'!$A$5:$A$165,0)),IFERROR(INDEX('05 Packaging Master'!$AM$5:$AM$50,MATCH($E234,'05 Packaging Master'!$A$5:$A$50,0)),IFERROR(INDEX('09 Cost Index'!$C$5:$C$24,MATCH($E234,'09 Cost Index'!$A$5:$A$24,0)),"")))</f>
        <v/>
      </c>
      <c r="J234" s="153">
        <f>'01 Control'!$C$7</f>
        <v/>
      </c>
      <c r="K234" s="150">
        <f>IF($I234="","",$G234*$I234*(1+$J234))</f>
        <v/>
      </c>
      <c r="L234" s="177">
        <f>IF(ISNUMBER(MATCH($E234,'09 Cost Index'!$A$5:$A$24,0)),"09 Cost Index",IF(ISNUMBER(MATCH($E234,'05 Packaging Master'!$A$5:$A$46,0)),"05 Packaging Master",IF(ISNUMBER(MATCH($E234,'04 SKU Master'!$A$5:$A$165,0)),"04 SKU Master","NOT FOUND")))</f>
        <v/>
      </c>
      <c r="M234" s="178">
        <f>IFERROR(INDEX('12 Final Menu'!$U$5:$U$200,MATCH($A234,'12 Final Menu'!$A$5:$A$200,0)),0)</f>
        <v/>
      </c>
      <c r="N234" s="165">
        <f>$G234*(1+$J234)*$M234*1000</f>
        <v/>
      </c>
    </row>
    <row r="235" ht="15" customHeight="1" s="106">
      <c r="A235" s="138" t="inlineStr">
        <is>
          <t>PP-SEA-Y2P-GNUT</t>
        </is>
      </c>
      <c r="B235" s="138" t="inlineStr">
        <is>
          <t>Groundnut Creamy Beef</t>
        </is>
      </c>
      <c r="C235" s="138" t="inlineStr">
        <is>
          <t>Y2 Spring - West Africa</t>
        </is>
      </c>
      <c r="D235" s="139" t="inlineStr">
        <is>
          <t>Packaging</t>
        </is>
      </c>
      <c r="E235" s="134" t="inlineStr">
        <is>
          <t>PP-PACK-TUB</t>
        </is>
      </c>
      <c r="F235" s="113" t="inlineStr">
        <is>
          <t>Takeaway pasta tub</t>
        </is>
      </c>
      <c r="G235" s="147" t="n">
        <v>1</v>
      </c>
      <c r="H235" s="164" t="inlineStr">
        <is>
          <t>ea</t>
        </is>
      </c>
      <c r="I235" s="150">
        <f>IFERROR(INDEX('04 SKU Master'!$AM$5:$AM$165,MATCH($E235,'04 SKU Master'!$A$5:$A$165,0)),IFERROR(INDEX('05 Packaging Master'!$AM$5:$AM$50,MATCH($E235,'05 Packaging Master'!$A$5:$A$50,0)),IFERROR(INDEX('09 Cost Index'!$C$5:$C$24,MATCH($E235,'09 Cost Index'!$A$5:$A$24,0)),"")))</f>
        <v/>
      </c>
      <c r="J235" s="153">
        <f>'01 Control'!$C$7</f>
        <v/>
      </c>
      <c r="K235" s="150">
        <f>IF($I235="","",$G235*$I235*(1+$J235))</f>
        <v/>
      </c>
      <c r="L235" s="177">
        <f>IF(ISNUMBER(MATCH($E235,'09 Cost Index'!$A$5:$A$24,0)),"09 Cost Index",IF(ISNUMBER(MATCH($E235,'05 Packaging Master'!$A$5:$A$46,0)),"05 Packaging Master",IF(ISNUMBER(MATCH($E235,'04 SKU Master'!$A$5:$A$165,0)),"04 SKU Master","NOT FOUND")))</f>
        <v/>
      </c>
      <c r="M235" s="178">
        <f>IFERROR(INDEX('12 Final Menu'!$U$5:$U$200,MATCH($A235,'12 Final Menu'!$A$5:$A$200,0)),0)</f>
        <v/>
      </c>
      <c r="N235" s="165">
        <f>$G235*(1+$J235)*$M235*1000</f>
        <v/>
      </c>
    </row>
    <row r="236" ht="15" customHeight="1" s="106">
      <c r="A236" s="138" t="inlineStr">
        <is>
          <t>PP-SEA-Y2P-GNUT</t>
        </is>
      </c>
      <c r="B236" s="138" t="inlineStr">
        <is>
          <t>Groundnut Creamy Beef</t>
        </is>
      </c>
      <c r="C236" s="138" t="inlineStr">
        <is>
          <t>Y2 Spring - West Africa</t>
        </is>
      </c>
      <c r="D236" s="139" t="inlineStr">
        <is>
          <t>Packaging</t>
        </is>
      </c>
      <c r="E236" s="134" t="inlineStr">
        <is>
          <t>PP-PACK-LID</t>
        </is>
      </c>
      <c r="F236" s="113" t="inlineStr">
        <is>
          <t>Bowl lid</t>
        </is>
      </c>
      <c r="G236" s="147" t="n">
        <v>1</v>
      </c>
      <c r="H236" s="164" t="inlineStr">
        <is>
          <t>ea</t>
        </is>
      </c>
      <c r="I236" s="150">
        <f>IFERROR(INDEX('04 SKU Master'!$AM$5:$AM$165,MATCH($E236,'04 SKU Master'!$A$5:$A$165,0)),IFERROR(INDEX('05 Packaging Master'!$AM$5:$AM$50,MATCH($E236,'05 Packaging Master'!$A$5:$A$50,0)),IFERROR(INDEX('09 Cost Index'!$C$5:$C$24,MATCH($E236,'09 Cost Index'!$A$5:$A$24,0)),"")))</f>
        <v/>
      </c>
      <c r="J236" s="153">
        <f>'01 Control'!$C$7</f>
        <v/>
      </c>
      <c r="K236" s="150">
        <f>IF($I236="","",$G236*$I236*(1+$J236))</f>
        <v/>
      </c>
      <c r="L236" s="177">
        <f>IF(ISNUMBER(MATCH($E236,'09 Cost Index'!$A$5:$A$24,0)),"09 Cost Index",IF(ISNUMBER(MATCH($E236,'05 Packaging Master'!$A$5:$A$46,0)),"05 Packaging Master",IF(ISNUMBER(MATCH($E236,'04 SKU Master'!$A$5:$A$165,0)),"04 SKU Master","NOT FOUND")))</f>
        <v/>
      </c>
      <c r="M236" s="178">
        <f>IFERROR(INDEX('12 Final Menu'!$U$5:$U$200,MATCH($A236,'12 Final Menu'!$A$5:$A$200,0)),0)</f>
        <v/>
      </c>
      <c r="N236" s="165">
        <f>$G236*(1+$J236)*$M236*1000</f>
        <v/>
      </c>
    </row>
    <row r="237" ht="15" customHeight="1" s="106">
      <c r="A237" s="138" t="inlineStr">
        <is>
          <t>PP-SEA-Y2P-GNUT</t>
        </is>
      </c>
      <c r="B237" s="138" t="inlineStr">
        <is>
          <t>Groundnut Creamy Beef</t>
        </is>
      </c>
      <c r="C237" s="138" t="inlineStr">
        <is>
          <t>Y2 Spring - West Africa</t>
        </is>
      </c>
      <c r="D237" s="139" t="inlineStr">
        <is>
          <t>Packaging</t>
        </is>
      </c>
      <c r="E237" s="134" t="inlineStr">
        <is>
          <t>PP-PACK-CUTLERY</t>
        </is>
      </c>
      <c r="F237" s="113" t="inlineStr">
        <is>
          <t>Cutlery set</t>
        </is>
      </c>
      <c r="G237" s="147" t="n">
        <v>1</v>
      </c>
      <c r="H237" s="164" t="inlineStr">
        <is>
          <t>ea</t>
        </is>
      </c>
      <c r="I237" s="150">
        <f>IFERROR(INDEX('04 SKU Master'!$AM$5:$AM$165,MATCH($E237,'04 SKU Master'!$A$5:$A$165,0)),IFERROR(INDEX('05 Packaging Master'!$AM$5:$AM$50,MATCH($E237,'05 Packaging Master'!$A$5:$A$50,0)),IFERROR(INDEX('09 Cost Index'!$C$5:$C$24,MATCH($E237,'09 Cost Index'!$A$5:$A$24,0)),"")))</f>
        <v/>
      </c>
      <c r="J237" s="153">
        <f>'01 Control'!$C$7</f>
        <v/>
      </c>
      <c r="K237" s="150">
        <f>IF($I237="","",$G237*$I237*(1+$J237))</f>
        <v/>
      </c>
      <c r="L237" s="177">
        <f>IF(ISNUMBER(MATCH($E237,'09 Cost Index'!$A$5:$A$24,0)),"09 Cost Index",IF(ISNUMBER(MATCH($E237,'05 Packaging Master'!$A$5:$A$46,0)),"05 Packaging Master",IF(ISNUMBER(MATCH($E237,'04 SKU Master'!$A$5:$A$165,0)),"04 SKU Master","NOT FOUND")))</f>
        <v/>
      </c>
      <c r="M237" s="178">
        <f>IFERROR(INDEX('12 Final Menu'!$U$5:$U$200,MATCH($A237,'12 Final Menu'!$A$5:$A$200,0)),0)</f>
        <v/>
      </c>
      <c r="N237" s="165">
        <f>$G237*(1+$J237)*$M237*1000</f>
        <v/>
      </c>
    </row>
    <row r="238" ht="15" customHeight="1" s="106">
      <c r="A238" s="138" t="inlineStr">
        <is>
          <t>PP-SEA-Y2P-GNUT</t>
        </is>
      </c>
      <c r="B238" s="138" t="inlineStr">
        <is>
          <t>Groundnut Creamy Beef</t>
        </is>
      </c>
      <c r="C238" s="138" t="inlineStr">
        <is>
          <t>Y2 Spring - West Africa</t>
        </is>
      </c>
      <c r="D238" s="139" t="inlineStr">
        <is>
          <t>Packaging</t>
        </is>
      </c>
      <c r="E238" s="134" t="inlineStr">
        <is>
          <t>PP-PACK-NAPKIN</t>
        </is>
      </c>
      <c r="F238" s="113" t="inlineStr">
        <is>
          <t>Branded napkin</t>
        </is>
      </c>
      <c r="G238" s="147" t="n">
        <v>1</v>
      </c>
      <c r="H238" s="164" t="inlineStr">
        <is>
          <t>ea</t>
        </is>
      </c>
      <c r="I238" s="150">
        <f>IFERROR(INDEX('04 SKU Master'!$AM$5:$AM$165,MATCH($E238,'04 SKU Master'!$A$5:$A$165,0)),IFERROR(INDEX('05 Packaging Master'!$AM$5:$AM$50,MATCH($E238,'05 Packaging Master'!$A$5:$A$50,0)),IFERROR(INDEX('09 Cost Index'!$C$5:$C$24,MATCH($E238,'09 Cost Index'!$A$5:$A$24,0)),"")))</f>
        <v/>
      </c>
      <c r="J238" s="153">
        <f>'01 Control'!$C$7</f>
        <v/>
      </c>
      <c r="K238" s="150">
        <f>IF($I238="","",$G238*$I238*(1+$J238))</f>
        <v/>
      </c>
      <c r="L238" s="177">
        <f>IF(ISNUMBER(MATCH($E238,'09 Cost Index'!$A$5:$A$24,0)),"09 Cost Index",IF(ISNUMBER(MATCH($E238,'05 Packaging Master'!$A$5:$A$46,0)),"05 Packaging Master",IF(ISNUMBER(MATCH($E238,'04 SKU Master'!$A$5:$A$165,0)),"04 SKU Master","NOT FOUND")))</f>
        <v/>
      </c>
      <c r="M238" s="178">
        <f>IFERROR(INDEX('12 Final Menu'!$U$5:$U$200,MATCH($A238,'12 Final Menu'!$A$5:$A$200,0)),0)</f>
        <v/>
      </c>
      <c r="N238" s="165">
        <f>$G238*(1+$J238)*$M238*1000</f>
        <v/>
      </c>
    </row>
    <row r="239"/>
    <row r="240" ht="15" customHeight="1" s="106">
      <c r="A240" s="144" t="inlineStr">
        <is>
          <t>YEAR 3  |  Summer (Dec-Feb)  |  Mediterranean   -&gt;   Lemon-Garlic Prawn   |   Spaghetti   |   PP-SEA-Y3S-PRWN</t>
        </is>
      </c>
      <c r="B240" s="110" t="n"/>
      <c r="C240" s="110" t="n"/>
      <c r="D240" s="110" t="n"/>
      <c r="E240" s="110" t="n"/>
      <c r="F240" s="110" t="n"/>
      <c r="G240" s="110" t="n"/>
      <c r="H240" s="110" t="n"/>
      <c r="I240" s="110" t="n"/>
      <c r="J240" s="110" t="n"/>
      <c r="K240" s="110" t="n"/>
      <c r="L240" s="110" t="n"/>
      <c r="M240" s="110" t="n"/>
      <c r="N240" s="111" t="n"/>
    </row>
    <row r="241" ht="15" customHeight="1" s="106">
      <c r="A241" s="138" t="inlineStr">
        <is>
          <t>PP-SEA-Y3S-PRWN</t>
        </is>
      </c>
      <c r="B241" s="138" t="inlineStr">
        <is>
          <t>Lemon-Garlic Prawn</t>
        </is>
      </c>
      <c r="C241" s="138" t="inlineStr">
        <is>
          <t>Y3 Summer - Mediterranean</t>
        </is>
      </c>
      <c r="D241" s="139" t="inlineStr">
        <is>
          <t>Pasta</t>
        </is>
      </c>
      <c r="E241" s="134" t="inlineStr">
        <is>
          <t>PP-DOUGH-BOKGAT</t>
        </is>
      </c>
      <c r="F241" s="113" t="inlineStr">
        <is>
          <t>Bokgat Base, Spaghetti - dried weight</t>
        </is>
      </c>
      <c r="G241" s="147" t="n">
        <v>111</v>
      </c>
      <c r="H241" s="164" t="inlineStr">
        <is>
          <t>g</t>
        </is>
      </c>
      <c r="I241" s="150">
        <f>IFERROR(INDEX('04 SKU Master'!$AM$5:$AM$165,MATCH($E241,'04 SKU Master'!$A$5:$A$165,0)),IFERROR(INDEX('05 Packaging Master'!$AM$5:$AM$50,MATCH($E241,'05 Packaging Master'!$A$5:$A$50,0)),IFERROR(INDEX('09 Cost Index'!$C$5:$C$24,MATCH($E241,'09 Cost Index'!$A$5:$A$24,0)),"")))</f>
        <v/>
      </c>
      <c r="J241" s="153">
        <f>'01 Control'!$C$7</f>
        <v/>
      </c>
      <c r="K241" s="150">
        <f>IF($I241="","",$G241*$I241*(1+$J241))</f>
        <v/>
      </c>
      <c r="L241" s="177">
        <f>IF(ISNUMBER(MATCH($E241,'09 Cost Index'!$A$5:$A$24,0)),"09 Cost Index",IF(ISNUMBER(MATCH($E241,'05 Packaging Master'!$A$5:$A$46,0)),"05 Packaging Master",IF(ISNUMBER(MATCH($E241,'04 SKU Master'!$A$5:$A$165,0)),"04 SKU Master","NOT FOUND")))</f>
        <v/>
      </c>
      <c r="M241" s="178">
        <f>IFERROR(INDEX('12 Final Menu'!$U$5:$U$200,MATCH($A241,'12 Final Menu'!$A$5:$A$200,0)),0)</f>
        <v/>
      </c>
      <c r="N241" s="165">
        <f>$G241*(1+$J241)*$M241*1000</f>
        <v/>
      </c>
    </row>
    <row r="242" ht="15" customHeight="1" s="106">
      <c r="A242" s="138" t="inlineStr">
        <is>
          <t>PP-SEA-Y3S-PRWN</t>
        </is>
      </c>
      <c r="B242" s="138" t="inlineStr">
        <is>
          <t>Lemon-Garlic Prawn</t>
        </is>
      </c>
      <c r="C242" s="138" t="inlineStr">
        <is>
          <t>Y3 Summer - Mediterranean</t>
        </is>
      </c>
      <c r="D242" s="139" t="inlineStr">
        <is>
          <t>Sauce</t>
        </is>
      </c>
      <c r="E242" s="134" t="inlineStr">
        <is>
          <t>PP-SAUCE-ALO</t>
        </is>
      </c>
      <c r="F242" s="113" t="inlineStr">
        <is>
          <t>Aglio e Olio Kit base (CK - core)</t>
        </is>
      </c>
      <c r="G242" s="147" t="n">
        <v>35</v>
      </c>
      <c r="H242" s="164" t="inlineStr">
        <is>
          <t>g</t>
        </is>
      </c>
      <c r="I242" s="150">
        <f>IFERROR(INDEX('04 SKU Master'!$AM$5:$AM$165,MATCH($E242,'04 SKU Master'!$A$5:$A$165,0)),IFERROR(INDEX('05 Packaging Master'!$AM$5:$AM$50,MATCH($E242,'05 Packaging Master'!$A$5:$A$50,0)),IFERROR(INDEX('09 Cost Index'!$C$5:$C$24,MATCH($E242,'09 Cost Index'!$A$5:$A$24,0)),"")))</f>
        <v/>
      </c>
      <c r="J242" s="153">
        <f>'01 Control'!$C$7</f>
        <v/>
      </c>
      <c r="K242" s="150">
        <f>IF($I242="","",$G242*$I242*(1+$J242))</f>
        <v/>
      </c>
      <c r="L242" s="177">
        <f>IF(ISNUMBER(MATCH($E242,'09 Cost Index'!$A$5:$A$24,0)),"09 Cost Index",IF(ISNUMBER(MATCH($E242,'05 Packaging Master'!$A$5:$A$46,0)),"05 Packaging Master",IF(ISNUMBER(MATCH($E242,'04 SKU Master'!$A$5:$A$165,0)),"04 SKU Master","NOT FOUND")))</f>
        <v/>
      </c>
      <c r="M242" s="178">
        <f>IFERROR(INDEX('12 Final Menu'!$U$5:$U$200,MATCH($A242,'12 Final Menu'!$A$5:$A$200,0)),0)</f>
        <v/>
      </c>
      <c r="N242" s="165">
        <f>$G242*(1+$J242)*$M242*1000</f>
        <v/>
      </c>
    </row>
    <row r="243" ht="15" customHeight="1" s="106">
      <c r="A243" s="138" t="inlineStr">
        <is>
          <t>PP-SEA-Y3S-PRWN</t>
        </is>
      </c>
      <c r="B243" s="138" t="inlineStr">
        <is>
          <t>Lemon-Garlic Prawn</t>
        </is>
      </c>
      <c r="C243" s="138" t="inlineStr">
        <is>
          <t>Y3 Summer - Mediterranean</t>
        </is>
      </c>
      <c r="D243" s="139" t="inlineStr">
        <is>
          <t>Protein</t>
        </is>
      </c>
      <c r="E243" s="134" t="inlineStr">
        <is>
          <t>PP-PRAWN</t>
        </is>
      </c>
      <c r="F243" s="113" t="inlineStr">
        <is>
          <t>Prawns (halaal LTO)</t>
        </is>
      </c>
      <c r="G243" s="147" t="n">
        <v>85</v>
      </c>
      <c r="H243" s="164" t="inlineStr">
        <is>
          <t>g</t>
        </is>
      </c>
      <c r="I243" s="150">
        <f>IFERROR(INDEX('04 SKU Master'!$AM$5:$AM$165,MATCH($E243,'04 SKU Master'!$A$5:$A$165,0)),IFERROR(INDEX('05 Packaging Master'!$AM$5:$AM$50,MATCH($E243,'05 Packaging Master'!$A$5:$A$50,0)),IFERROR(INDEX('09 Cost Index'!$C$5:$C$24,MATCH($E243,'09 Cost Index'!$A$5:$A$24,0)),"")))</f>
        <v/>
      </c>
      <c r="J243" s="153">
        <f>'01 Control'!$C$7</f>
        <v/>
      </c>
      <c r="K243" s="150">
        <f>IF($I243="","",$G243*$I243*(1+$J243))</f>
        <v/>
      </c>
      <c r="L243" s="177">
        <f>IF(ISNUMBER(MATCH($E243,'09 Cost Index'!$A$5:$A$24,0)),"09 Cost Index",IF(ISNUMBER(MATCH($E243,'05 Packaging Master'!$A$5:$A$46,0)),"05 Packaging Master",IF(ISNUMBER(MATCH($E243,'04 SKU Master'!$A$5:$A$165,0)),"04 SKU Master","NOT FOUND")))</f>
        <v/>
      </c>
      <c r="M243" s="178">
        <f>IFERROR(INDEX('12 Final Menu'!$U$5:$U$200,MATCH($A243,'12 Final Menu'!$A$5:$A$200,0)),0)</f>
        <v/>
      </c>
      <c r="N243" s="165">
        <f>$G243*(1+$J243)*$M243*1000</f>
        <v/>
      </c>
    </row>
    <row r="244" ht="15" customHeight="1" s="106">
      <c r="A244" s="138" t="inlineStr">
        <is>
          <t>PP-SEA-Y3S-PRWN</t>
        </is>
      </c>
      <c r="B244" s="138" t="inlineStr">
        <is>
          <t>Lemon-Garlic Prawn</t>
        </is>
      </c>
      <c r="C244" s="138" t="inlineStr">
        <is>
          <t>Y3 Summer - Mediterranean</t>
        </is>
      </c>
      <c r="D244" s="139" t="inlineStr">
        <is>
          <t>Ingredient</t>
        </is>
      </c>
      <c r="E244" s="134" t="inlineStr">
        <is>
          <t>PP-VEG-LEMON</t>
        </is>
      </c>
      <c r="F244" s="113" t="inlineStr">
        <is>
          <t>Lemon</t>
        </is>
      </c>
      <c r="G244" s="147" t="n">
        <v>15</v>
      </c>
      <c r="H244" s="164" t="inlineStr">
        <is>
          <t>g</t>
        </is>
      </c>
      <c r="I244" s="150">
        <f>IFERROR(INDEX('04 SKU Master'!$AM$5:$AM$165,MATCH($E244,'04 SKU Master'!$A$5:$A$165,0)),IFERROR(INDEX('05 Packaging Master'!$AM$5:$AM$50,MATCH($E244,'05 Packaging Master'!$A$5:$A$50,0)),IFERROR(INDEX('09 Cost Index'!$C$5:$C$24,MATCH($E244,'09 Cost Index'!$A$5:$A$24,0)),"")))</f>
        <v/>
      </c>
      <c r="J244" s="153">
        <f>'01 Control'!$C$7</f>
        <v/>
      </c>
      <c r="K244" s="150">
        <f>IF($I244="","",$G244*$I244*(1+$J244))</f>
        <v/>
      </c>
      <c r="L244" s="177">
        <f>IF(ISNUMBER(MATCH($E244,'09 Cost Index'!$A$5:$A$24,0)),"09 Cost Index",IF(ISNUMBER(MATCH($E244,'05 Packaging Master'!$A$5:$A$46,0)),"05 Packaging Master",IF(ISNUMBER(MATCH($E244,'04 SKU Master'!$A$5:$A$165,0)),"04 SKU Master","NOT FOUND")))</f>
        <v/>
      </c>
      <c r="M244" s="178">
        <f>IFERROR(INDEX('12 Final Menu'!$U$5:$U$200,MATCH($A244,'12 Final Menu'!$A$5:$A$200,0)),0)</f>
        <v/>
      </c>
      <c r="N244" s="165">
        <f>$G244*(1+$J244)*$M244*1000</f>
        <v/>
      </c>
    </row>
    <row r="245" ht="15" customHeight="1" s="106">
      <c r="A245" s="138" t="inlineStr">
        <is>
          <t>PP-SEA-Y3S-PRWN</t>
        </is>
      </c>
      <c r="B245" s="138" t="inlineStr">
        <is>
          <t>Lemon-Garlic Prawn</t>
        </is>
      </c>
      <c r="C245" s="138" t="inlineStr">
        <is>
          <t>Y3 Summer - Mediterranean</t>
        </is>
      </c>
      <c r="D245" s="139" t="inlineStr">
        <is>
          <t>Packaging</t>
        </is>
      </c>
      <c r="E245" s="134" t="inlineStr">
        <is>
          <t>PP-PACK-TUB</t>
        </is>
      </c>
      <c r="F245" s="113" t="inlineStr">
        <is>
          <t>Takeaway pasta tub</t>
        </is>
      </c>
      <c r="G245" s="147" t="n">
        <v>1</v>
      </c>
      <c r="H245" s="164" t="inlineStr">
        <is>
          <t>ea</t>
        </is>
      </c>
      <c r="I245" s="150">
        <f>IFERROR(INDEX('04 SKU Master'!$AM$5:$AM$165,MATCH($E245,'04 SKU Master'!$A$5:$A$165,0)),IFERROR(INDEX('05 Packaging Master'!$AM$5:$AM$50,MATCH($E245,'05 Packaging Master'!$A$5:$A$50,0)),IFERROR(INDEX('09 Cost Index'!$C$5:$C$24,MATCH($E245,'09 Cost Index'!$A$5:$A$24,0)),"")))</f>
        <v/>
      </c>
      <c r="J245" s="153">
        <f>'01 Control'!$C$7</f>
        <v/>
      </c>
      <c r="K245" s="150">
        <f>IF($I245="","",$G245*$I245*(1+$J245))</f>
        <v/>
      </c>
      <c r="L245" s="177">
        <f>IF(ISNUMBER(MATCH($E245,'09 Cost Index'!$A$5:$A$24,0)),"09 Cost Index",IF(ISNUMBER(MATCH($E245,'05 Packaging Master'!$A$5:$A$46,0)),"05 Packaging Master",IF(ISNUMBER(MATCH($E245,'04 SKU Master'!$A$5:$A$165,0)),"04 SKU Master","NOT FOUND")))</f>
        <v/>
      </c>
      <c r="M245" s="178">
        <f>IFERROR(INDEX('12 Final Menu'!$U$5:$U$200,MATCH($A245,'12 Final Menu'!$A$5:$A$200,0)),0)</f>
        <v/>
      </c>
      <c r="N245" s="165">
        <f>$G245*(1+$J245)*$M245*1000</f>
        <v/>
      </c>
    </row>
    <row r="246" ht="15" customHeight="1" s="106">
      <c r="A246" s="138" t="inlineStr">
        <is>
          <t>PP-SEA-Y3S-PRWN</t>
        </is>
      </c>
      <c r="B246" s="138" t="inlineStr">
        <is>
          <t>Lemon-Garlic Prawn</t>
        </is>
      </c>
      <c r="C246" s="138" t="inlineStr">
        <is>
          <t>Y3 Summer - Mediterranean</t>
        </is>
      </c>
      <c r="D246" s="139" t="inlineStr">
        <is>
          <t>Packaging</t>
        </is>
      </c>
      <c r="E246" s="134" t="inlineStr">
        <is>
          <t>PP-PACK-LID</t>
        </is>
      </c>
      <c r="F246" s="113" t="inlineStr">
        <is>
          <t>Bowl lid</t>
        </is>
      </c>
      <c r="G246" s="147" t="n">
        <v>1</v>
      </c>
      <c r="H246" s="164" t="inlineStr">
        <is>
          <t>ea</t>
        </is>
      </c>
      <c r="I246" s="150">
        <f>IFERROR(INDEX('04 SKU Master'!$AM$5:$AM$165,MATCH($E246,'04 SKU Master'!$A$5:$A$165,0)),IFERROR(INDEX('05 Packaging Master'!$AM$5:$AM$50,MATCH($E246,'05 Packaging Master'!$A$5:$A$50,0)),IFERROR(INDEX('09 Cost Index'!$C$5:$C$24,MATCH($E246,'09 Cost Index'!$A$5:$A$24,0)),"")))</f>
        <v/>
      </c>
      <c r="J246" s="153">
        <f>'01 Control'!$C$7</f>
        <v/>
      </c>
      <c r="K246" s="150">
        <f>IF($I246="","",$G246*$I246*(1+$J246))</f>
        <v/>
      </c>
      <c r="L246" s="177">
        <f>IF(ISNUMBER(MATCH($E246,'09 Cost Index'!$A$5:$A$24,0)),"09 Cost Index",IF(ISNUMBER(MATCH($E246,'05 Packaging Master'!$A$5:$A$46,0)),"05 Packaging Master",IF(ISNUMBER(MATCH($E246,'04 SKU Master'!$A$5:$A$165,0)),"04 SKU Master","NOT FOUND")))</f>
        <v/>
      </c>
      <c r="M246" s="178">
        <f>IFERROR(INDEX('12 Final Menu'!$U$5:$U$200,MATCH($A246,'12 Final Menu'!$A$5:$A$200,0)),0)</f>
        <v/>
      </c>
      <c r="N246" s="165">
        <f>$G246*(1+$J246)*$M246*1000</f>
        <v/>
      </c>
    </row>
    <row r="247" ht="15" customHeight="1" s="106">
      <c r="A247" s="138" t="inlineStr">
        <is>
          <t>PP-SEA-Y3S-PRWN</t>
        </is>
      </c>
      <c r="B247" s="138" t="inlineStr">
        <is>
          <t>Lemon-Garlic Prawn</t>
        </is>
      </c>
      <c r="C247" s="138" t="inlineStr">
        <is>
          <t>Y3 Summer - Mediterranean</t>
        </is>
      </c>
      <c r="D247" s="139" t="inlineStr">
        <is>
          <t>Packaging</t>
        </is>
      </c>
      <c r="E247" s="134" t="inlineStr">
        <is>
          <t>PP-PACK-CUTLERY</t>
        </is>
      </c>
      <c r="F247" s="113" t="inlineStr">
        <is>
          <t>Cutlery set</t>
        </is>
      </c>
      <c r="G247" s="147" t="n">
        <v>1</v>
      </c>
      <c r="H247" s="164" t="inlineStr">
        <is>
          <t>ea</t>
        </is>
      </c>
      <c r="I247" s="150">
        <f>IFERROR(INDEX('04 SKU Master'!$AM$5:$AM$165,MATCH($E247,'04 SKU Master'!$A$5:$A$165,0)),IFERROR(INDEX('05 Packaging Master'!$AM$5:$AM$50,MATCH($E247,'05 Packaging Master'!$A$5:$A$50,0)),IFERROR(INDEX('09 Cost Index'!$C$5:$C$24,MATCH($E247,'09 Cost Index'!$A$5:$A$24,0)),"")))</f>
        <v/>
      </c>
      <c r="J247" s="153">
        <f>'01 Control'!$C$7</f>
        <v/>
      </c>
      <c r="K247" s="150">
        <f>IF($I247="","",$G247*$I247*(1+$J247))</f>
        <v/>
      </c>
      <c r="L247" s="177">
        <f>IF(ISNUMBER(MATCH($E247,'09 Cost Index'!$A$5:$A$24,0)),"09 Cost Index",IF(ISNUMBER(MATCH($E247,'05 Packaging Master'!$A$5:$A$46,0)),"05 Packaging Master",IF(ISNUMBER(MATCH($E247,'04 SKU Master'!$A$5:$A$165,0)),"04 SKU Master","NOT FOUND")))</f>
        <v/>
      </c>
      <c r="M247" s="178">
        <f>IFERROR(INDEX('12 Final Menu'!$U$5:$U$200,MATCH($A247,'12 Final Menu'!$A$5:$A$200,0)),0)</f>
        <v/>
      </c>
      <c r="N247" s="165">
        <f>$G247*(1+$J247)*$M247*1000</f>
        <v/>
      </c>
    </row>
    <row r="248" ht="15" customHeight="1" s="106">
      <c r="A248" s="138" t="inlineStr">
        <is>
          <t>PP-SEA-Y3S-PRWN</t>
        </is>
      </c>
      <c r="B248" s="138" t="inlineStr">
        <is>
          <t>Lemon-Garlic Prawn</t>
        </is>
      </c>
      <c r="C248" s="138" t="inlineStr">
        <is>
          <t>Y3 Summer - Mediterranean</t>
        </is>
      </c>
      <c r="D248" s="139" t="inlineStr">
        <is>
          <t>Packaging</t>
        </is>
      </c>
      <c r="E248" s="134" t="inlineStr">
        <is>
          <t>PP-PACK-NAPKIN</t>
        </is>
      </c>
      <c r="F248" s="113" t="inlineStr">
        <is>
          <t>Branded napkin</t>
        </is>
      </c>
      <c r="G248" s="147" t="n">
        <v>1</v>
      </c>
      <c r="H248" s="164" t="inlineStr">
        <is>
          <t>ea</t>
        </is>
      </c>
      <c r="I248" s="150">
        <f>IFERROR(INDEX('04 SKU Master'!$AM$5:$AM$165,MATCH($E248,'04 SKU Master'!$A$5:$A$165,0)),IFERROR(INDEX('05 Packaging Master'!$AM$5:$AM$50,MATCH($E248,'05 Packaging Master'!$A$5:$A$50,0)),IFERROR(INDEX('09 Cost Index'!$C$5:$C$24,MATCH($E248,'09 Cost Index'!$A$5:$A$24,0)),"")))</f>
        <v/>
      </c>
      <c r="J248" s="153">
        <f>'01 Control'!$C$7</f>
        <v/>
      </c>
      <c r="K248" s="150">
        <f>IF($I248="","",$G248*$I248*(1+$J248))</f>
        <v/>
      </c>
      <c r="L248" s="177">
        <f>IF(ISNUMBER(MATCH($E248,'09 Cost Index'!$A$5:$A$24,0)),"09 Cost Index",IF(ISNUMBER(MATCH($E248,'05 Packaging Master'!$A$5:$A$46,0)),"05 Packaging Master",IF(ISNUMBER(MATCH($E248,'04 SKU Master'!$A$5:$A$165,0)),"04 SKU Master","NOT FOUND")))</f>
        <v/>
      </c>
      <c r="M248" s="178">
        <f>IFERROR(INDEX('12 Final Menu'!$U$5:$U$200,MATCH($A248,'12 Final Menu'!$A$5:$A$200,0)),0)</f>
        <v/>
      </c>
      <c r="N248" s="165">
        <f>$G248*(1+$J248)*$M248*1000</f>
        <v/>
      </c>
    </row>
    <row r="249"/>
    <row r="250" ht="15" customHeight="1" s="106">
      <c r="A250" s="144" t="inlineStr">
        <is>
          <t>YEAR 3  |  Summer (Dec-Feb)  |  Mediterranean   -&gt;   Sundried Tomato &amp; Olive   |   Casarecce   |   PP-SEA-Y3S-SUND</t>
        </is>
      </c>
      <c r="B250" s="110" t="n"/>
      <c r="C250" s="110" t="n"/>
      <c r="D250" s="110" t="n"/>
      <c r="E250" s="110" t="n"/>
      <c r="F250" s="110" t="n"/>
      <c r="G250" s="110" t="n"/>
      <c r="H250" s="110" t="n"/>
      <c r="I250" s="110" t="n"/>
      <c r="J250" s="110" t="n"/>
      <c r="K250" s="110" t="n"/>
      <c r="L250" s="110" t="n"/>
      <c r="M250" s="110" t="n"/>
      <c r="N250" s="111" t="n"/>
    </row>
    <row r="251" ht="15" customHeight="1" s="106">
      <c r="A251" s="138" t="inlineStr">
        <is>
          <t>PP-SEA-Y3S-SUND</t>
        </is>
      </c>
      <c r="B251" s="138" t="inlineStr">
        <is>
          <t>Sundried Tomato &amp; Olive</t>
        </is>
      </c>
      <c r="C251" s="138" t="inlineStr">
        <is>
          <t>Y3 Summer - Mediterranean</t>
        </is>
      </c>
      <c r="D251" s="139" t="inlineStr">
        <is>
          <t>Pasta</t>
        </is>
      </c>
      <c r="E251" s="134" t="inlineStr">
        <is>
          <t>PP-DOUGH-CHICKPEA</t>
        </is>
      </c>
      <c r="F251" s="113" t="inlineStr">
        <is>
          <t>Chickpea Power Pro, Casarecce - dried weight</t>
        </is>
      </c>
      <c r="G251" s="147" t="n">
        <v>111</v>
      </c>
      <c r="H251" s="164" t="inlineStr">
        <is>
          <t>g</t>
        </is>
      </c>
      <c r="I251" s="150">
        <f>IFERROR(INDEX('04 SKU Master'!$AM$5:$AM$165,MATCH($E251,'04 SKU Master'!$A$5:$A$165,0)),IFERROR(INDEX('05 Packaging Master'!$AM$5:$AM$50,MATCH($E251,'05 Packaging Master'!$A$5:$A$50,0)),IFERROR(INDEX('09 Cost Index'!$C$5:$C$24,MATCH($E251,'09 Cost Index'!$A$5:$A$24,0)),"")))</f>
        <v/>
      </c>
      <c r="J251" s="153">
        <f>'01 Control'!$C$7</f>
        <v/>
      </c>
      <c r="K251" s="150">
        <f>IF($I251="","",$G251*$I251*(1+$J251))</f>
        <v/>
      </c>
      <c r="L251" s="177">
        <f>IF(ISNUMBER(MATCH($E251,'09 Cost Index'!$A$5:$A$24,0)),"09 Cost Index",IF(ISNUMBER(MATCH($E251,'05 Packaging Master'!$A$5:$A$46,0)),"05 Packaging Master",IF(ISNUMBER(MATCH($E251,'04 SKU Master'!$A$5:$A$165,0)),"04 SKU Master","NOT FOUND")))</f>
        <v/>
      </c>
      <c r="M251" s="178">
        <f>IFERROR(INDEX('12 Final Menu'!$U$5:$U$200,MATCH($A251,'12 Final Menu'!$A$5:$A$200,0)),0)</f>
        <v/>
      </c>
      <c r="N251" s="165">
        <f>$G251*(1+$J251)*$M251*1000</f>
        <v/>
      </c>
    </row>
    <row r="252" ht="15" customHeight="1" s="106">
      <c r="A252" s="138" t="inlineStr">
        <is>
          <t>PP-SEA-Y3S-SUND</t>
        </is>
      </c>
      <c r="B252" s="138" t="inlineStr">
        <is>
          <t>Sundried Tomato &amp; Olive</t>
        </is>
      </c>
      <c r="C252" s="138" t="inlineStr">
        <is>
          <t>Y3 Summer - Mediterranean</t>
        </is>
      </c>
      <c r="D252" s="139" t="inlineStr">
        <is>
          <t>Sauce</t>
        </is>
      </c>
      <c r="E252" s="134" t="inlineStr">
        <is>
          <t>PP-SAUCE-ALO</t>
        </is>
      </c>
      <c r="F252" s="113" t="inlineStr">
        <is>
          <t>Aglio e Olio Kit base (CK - core)</t>
        </is>
      </c>
      <c r="G252" s="147" t="n">
        <v>35</v>
      </c>
      <c r="H252" s="164" t="inlineStr">
        <is>
          <t>g</t>
        </is>
      </c>
      <c r="I252" s="150">
        <f>IFERROR(INDEX('04 SKU Master'!$AM$5:$AM$165,MATCH($E252,'04 SKU Master'!$A$5:$A$165,0)),IFERROR(INDEX('05 Packaging Master'!$AM$5:$AM$50,MATCH($E252,'05 Packaging Master'!$A$5:$A$50,0)),IFERROR(INDEX('09 Cost Index'!$C$5:$C$24,MATCH($E252,'09 Cost Index'!$A$5:$A$24,0)),"")))</f>
        <v/>
      </c>
      <c r="J252" s="153">
        <f>'01 Control'!$C$7</f>
        <v/>
      </c>
      <c r="K252" s="150">
        <f>IF($I252="","",$G252*$I252*(1+$J252))</f>
        <v/>
      </c>
      <c r="L252" s="177">
        <f>IF(ISNUMBER(MATCH($E252,'09 Cost Index'!$A$5:$A$24,0)),"09 Cost Index",IF(ISNUMBER(MATCH($E252,'05 Packaging Master'!$A$5:$A$46,0)),"05 Packaging Master",IF(ISNUMBER(MATCH($E252,'04 SKU Master'!$A$5:$A$165,0)),"04 SKU Master","NOT FOUND")))</f>
        <v/>
      </c>
      <c r="M252" s="178">
        <f>IFERROR(INDEX('12 Final Menu'!$U$5:$U$200,MATCH($A252,'12 Final Menu'!$A$5:$A$200,0)),0)</f>
        <v/>
      </c>
      <c r="N252" s="165">
        <f>$G252*(1+$J252)*$M252*1000</f>
        <v/>
      </c>
    </row>
    <row r="253" ht="15" customHeight="1" s="106">
      <c r="A253" s="138" t="inlineStr">
        <is>
          <t>PP-SEA-Y3S-SUND</t>
        </is>
      </c>
      <c r="B253" s="138" t="inlineStr">
        <is>
          <t>Sundried Tomato &amp; Olive</t>
        </is>
      </c>
      <c r="C253" s="138" t="inlineStr">
        <is>
          <t>Y3 Summer - Mediterranean</t>
        </is>
      </c>
      <c r="D253" s="139" t="inlineStr">
        <is>
          <t>Ingredient</t>
        </is>
      </c>
      <c r="E253" s="134" t="inlineStr">
        <is>
          <t>PP-VEG-SUNDRIEDTOM</t>
        </is>
      </c>
      <c r="F253" s="113" t="inlineStr">
        <is>
          <t>Sun-dried tomatoes</t>
        </is>
      </c>
      <c r="G253" s="147" t="n">
        <v>40</v>
      </c>
      <c r="H253" s="164" t="inlineStr">
        <is>
          <t>g</t>
        </is>
      </c>
      <c r="I253" s="150">
        <f>IFERROR(INDEX('04 SKU Master'!$AM$5:$AM$165,MATCH($E253,'04 SKU Master'!$A$5:$A$165,0)),IFERROR(INDEX('05 Packaging Master'!$AM$5:$AM$50,MATCH($E253,'05 Packaging Master'!$A$5:$A$50,0)),IFERROR(INDEX('09 Cost Index'!$C$5:$C$24,MATCH($E253,'09 Cost Index'!$A$5:$A$24,0)),"")))</f>
        <v/>
      </c>
      <c r="J253" s="153">
        <f>'01 Control'!$C$7</f>
        <v/>
      </c>
      <c r="K253" s="150">
        <f>IF($I253="","",$G253*$I253*(1+$J253))</f>
        <v/>
      </c>
      <c r="L253" s="177">
        <f>IF(ISNUMBER(MATCH($E253,'09 Cost Index'!$A$5:$A$24,0)),"09 Cost Index",IF(ISNUMBER(MATCH($E253,'05 Packaging Master'!$A$5:$A$46,0)),"05 Packaging Master",IF(ISNUMBER(MATCH($E253,'04 SKU Master'!$A$5:$A$165,0)),"04 SKU Master","NOT FOUND")))</f>
        <v/>
      </c>
      <c r="M253" s="178">
        <f>IFERROR(INDEX('12 Final Menu'!$U$5:$U$200,MATCH($A253,'12 Final Menu'!$A$5:$A$200,0)),0)</f>
        <v/>
      </c>
      <c r="N253" s="165">
        <f>$G253*(1+$J253)*$M253*1000</f>
        <v/>
      </c>
    </row>
    <row r="254" ht="15" customHeight="1" s="106">
      <c r="A254" s="138" t="inlineStr">
        <is>
          <t>PP-SEA-Y3S-SUND</t>
        </is>
      </c>
      <c r="B254" s="138" t="inlineStr">
        <is>
          <t>Sundried Tomato &amp; Olive</t>
        </is>
      </c>
      <c r="C254" s="138" t="inlineStr">
        <is>
          <t>Y3 Summer - Mediterranean</t>
        </is>
      </c>
      <c r="D254" s="139" t="inlineStr">
        <is>
          <t>Ingredient</t>
        </is>
      </c>
      <c r="E254" s="134" t="inlineStr">
        <is>
          <t>PP-VEG-OLIVE</t>
        </is>
      </c>
      <c r="F254" s="113" t="inlineStr">
        <is>
          <t>Olives</t>
        </is>
      </c>
      <c r="G254" s="147" t="n">
        <v>35</v>
      </c>
      <c r="H254" s="164" t="inlineStr">
        <is>
          <t>g</t>
        </is>
      </c>
      <c r="I254" s="150">
        <f>IFERROR(INDEX('04 SKU Master'!$AM$5:$AM$165,MATCH($E254,'04 SKU Master'!$A$5:$A$165,0)),IFERROR(INDEX('05 Packaging Master'!$AM$5:$AM$50,MATCH($E254,'05 Packaging Master'!$A$5:$A$50,0)),IFERROR(INDEX('09 Cost Index'!$C$5:$C$24,MATCH($E254,'09 Cost Index'!$A$5:$A$24,0)),"")))</f>
        <v/>
      </c>
      <c r="J254" s="153">
        <f>'01 Control'!$C$7</f>
        <v/>
      </c>
      <c r="K254" s="150">
        <f>IF($I254="","",$G254*$I254*(1+$J254))</f>
        <v/>
      </c>
      <c r="L254" s="177">
        <f>IF(ISNUMBER(MATCH($E254,'09 Cost Index'!$A$5:$A$24,0)),"09 Cost Index",IF(ISNUMBER(MATCH($E254,'05 Packaging Master'!$A$5:$A$46,0)),"05 Packaging Master",IF(ISNUMBER(MATCH($E254,'04 SKU Master'!$A$5:$A$165,0)),"04 SKU Master","NOT FOUND")))</f>
        <v/>
      </c>
      <c r="M254" s="178">
        <f>IFERROR(INDEX('12 Final Menu'!$U$5:$U$200,MATCH($A254,'12 Final Menu'!$A$5:$A$200,0)),0)</f>
        <v/>
      </c>
      <c r="N254" s="165">
        <f>$G254*(1+$J254)*$M254*1000</f>
        <v/>
      </c>
    </row>
    <row r="255" ht="15" customHeight="1" s="106">
      <c r="A255" s="138" t="inlineStr">
        <is>
          <t>PP-SEA-Y3S-SUND</t>
        </is>
      </c>
      <c r="B255" s="138" t="inlineStr">
        <is>
          <t>Sundried Tomato &amp; Olive</t>
        </is>
      </c>
      <c r="C255" s="138" t="inlineStr">
        <is>
          <t>Y3 Summer - Mediterranean</t>
        </is>
      </c>
      <c r="D255" s="139" t="inlineStr">
        <is>
          <t>Packaging</t>
        </is>
      </c>
      <c r="E255" s="134" t="inlineStr">
        <is>
          <t>PP-PACK-TUB</t>
        </is>
      </c>
      <c r="F255" s="113" t="inlineStr">
        <is>
          <t>Takeaway pasta tub</t>
        </is>
      </c>
      <c r="G255" s="147" t="n">
        <v>1</v>
      </c>
      <c r="H255" s="164" t="inlineStr">
        <is>
          <t>ea</t>
        </is>
      </c>
      <c r="I255" s="150">
        <f>IFERROR(INDEX('04 SKU Master'!$AM$5:$AM$165,MATCH($E255,'04 SKU Master'!$A$5:$A$165,0)),IFERROR(INDEX('05 Packaging Master'!$AM$5:$AM$50,MATCH($E255,'05 Packaging Master'!$A$5:$A$50,0)),IFERROR(INDEX('09 Cost Index'!$C$5:$C$24,MATCH($E255,'09 Cost Index'!$A$5:$A$24,0)),"")))</f>
        <v/>
      </c>
      <c r="J255" s="153">
        <f>'01 Control'!$C$7</f>
        <v/>
      </c>
      <c r="K255" s="150">
        <f>IF($I255="","",$G255*$I255*(1+$J255))</f>
        <v/>
      </c>
      <c r="L255" s="177">
        <f>IF(ISNUMBER(MATCH($E255,'09 Cost Index'!$A$5:$A$24,0)),"09 Cost Index",IF(ISNUMBER(MATCH($E255,'05 Packaging Master'!$A$5:$A$46,0)),"05 Packaging Master",IF(ISNUMBER(MATCH($E255,'04 SKU Master'!$A$5:$A$165,0)),"04 SKU Master","NOT FOUND")))</f>
        <v/>
      </c>
      <c r="M255" s="178">
        <f>IFERROR(INDEX('12 Final Menu'!$U$5:$U$200,MATCH($A255,'12 Final Menu'!$A$5:$A$200,0)),0)</f>
        <v/>
      </c>
      <c r="N255" s="165">
        <f>$G255*(1+$J255)*$M255*1000</f>
        <v/>
      </c>
    </row>
    <row r="256" ht="15" customHeight="1" s="106">
      <c r="A256" s="138" t="inlineStr">
        <is>
          <t>PP-SEA-Y3S-SUND</t>
        </is>
      </c>
      <c r="B256" s="138" t="inlineStr">
        <is>
          <t>Sundried Tomato &amp; Olive</t>
        </is>
      </c>
      <c r="C256" s="138" t="inlineStr">
        <is>
          <t>Y3 Summer - Mediterranean</t>
        </is>
      </c>
      <c r="D256" s="139" t="inlineStr">
        <is>
          <t>Packaging</t>
        </is>
      </c>
      <c r="E256" s="134" t="inlineStr">
        <is>
          <t>PP-PACK-LID</t>
        </is>
      </c>
      <c r="F256" s="113" t="inlineStr">
        <is>
          <t>Bowl lid</t>
        </is>
      </c>
      <c r="G256" s="147" t="n">
        <v>1</v>
      </c>
      <c r="H256" s="164" t="inlineStr">
        <is>
          <t>ea</t>
        </is>
      </c>
      <c r="I256" s="150">
        <f>IFERROR(INDEX('04 SKU Master'!$AM$5:$AM$165,MATCH($E256,'04 SKU Master'!$A$5:$A$165,0)),IFERROR(INDEX('05 Packaging Master'!$AM$5:$AM$50,MATCH($E256,'05 Packaging Master'!$A$5:$A$50,0)),IFERROR(INDEX('09 Cost Index'!$C$5:$C$24,MATCH($E256,'09 Cost Index'!$A$5:$A$24,0)),"")))</f>
        <v/>
      </c>
      <c r="J256" s="153">
        <f>'01 Control'!$C$7</f>
        <v/>
      </c>
      <c r="K256" s="150">
        <f>IF($I256="","",$G256*$I256*(1+$J256))</f>
        <v/>
      </c>
      <c r="L256" s="177">
        <f>IF(ISNUMBER(MATCH($E256,'09 Cost Index'!$A$5:$A$24,0)),"09 Cost Index",IF(ISNUMBER(MATCH($E256,'05 Packaging Master'!$A$5:$A$46,0)),"05 Packaging Master",IF(ISNUMBER(MATCH($E256,'04 SKU Master'!$A$5:$A$165,0)),"04 SKU Master","NOT FOUND")))</f>
        <v/>
      </c>
      <c r="M256" s="178">
        <f>IFERROR(INDEX('12 Final Menu'!$U$5:$U$200,MATCH($A256,'12 Final Menu'!$A$5:$A$200,0)),0)</f>
        <v/>
      </c>
      <c r="N256" s="165">
        <f>$G256*(1+$J256)*$M256*1000</f>
        <v/>
      </c>
    </row>
    <row r="257" ht="15" customHeight="1" s="106">
      <c r="A257" s="138" t="inlineStr">
        <is>
          <t>PP-SEA-Y3S-SUND</t>
        </is>
      </c>
      <c r="B257" s="138" t="inlineStr">
        <is>
          <t>Sundried Tomato &amp; Olive</t>
        </is>
      </c>
      <c r="C257" s="138" t="inlineStr">
        <is>
          <t>Y3 Summer - Mediterranean</t>
        </is>
      </c>
      <c r="D257" s="139" t="inlineStr">
        <is>
          <t>Packaging</t>
        </is>
      </c>
      <c r="E257" s="134" t="inlineStr">
        <is>
          <t>PP-PACK-CUTLERY</t>
        </is>
      </c>
      <c r="F257" s="113" t="inlineStr">
        <is>
          <t>Cutlery set</t>
        </is>
      </c>
      <c r="G257" s="147" t="n">
        <v>1</v>
      </c>
      <c r="H257" s="164" t="inlineStr">
        <is>
          <t>ea</t>
        </is>
      </c>
      <c r="I257" s="150">
        <f>IFERROR(INDEX('04 SKU Master'!$AM$5:$AM$165,MATCH($E257,'04 SKU Master'!$A$5:$A$165,0)),IFERROR(INDEX('05 Packaging Master'!$AM$5:$AM$50,MATCH($E257,'05 Packaging Master'!$A$5:$A$50,0)),IFERROR(INDEX('09 Cost Index'!$C$5:$C$24,MATCH($E257,'09 Cost Index'!$A$5:$A$24,0)),"")))</f>
        <v/>
      </c>
      <c r="J257" s="153">
        <f>'01 Control'!$C$7</f>
        <v/>
      </c>
      <c r="K257" s="150">
        <f>IF($I257="","",$G257*$I257*(1+$J257))</f>
        <v/>
      </c>
      <c r="L257" s="177">
        <f>IF(ISNUMBER(MATCH($E257,'09 Cost Index'!$A$5:$A$24,0)),"09 Cost Index",IF(ISNUMBER(MATCH($E257,'05 Packaging Master'!$A$5:$A$46,0)),"05 Packaging Master",IF(ISNUMBER(MATCH($E257,'04 SKU Master'!$A$5:$A$165,0)),"04 SKU Master","NOT FOUND")))</f>
        <v/>
      </c>
      <c r="M257" s="178">
        <f>IFERROR(INDEX('12 Final Menu'!$U$5:$U$200,MATCH($A257,'12 Final Menu'!$A$5:$A$200,0)),0)</f>
        <v/>
      </c>
      <c r="N257" s="165">
        <f>$G257*(1+$J257)*$M257*1000</f>
        <v/>
      </c>
    </row>
    <row r="258" ht="15" customHeight="1" s="106">
      <c r="A258" s="138" t="inlineStr">
        <is>
          <t>PP-SEA-Y3S-SUND</t>
        </is>
      </c>
      <c r="B258" s="138" t="inlineStr">
        <is>
          <t>Sundried Tomato &amp; Olive</t>
        </is>
      </c>
      <c r="C258" s="138" t="inlineStr">
        <is>
          <t>Y3 Summer - Mediterranean</t>
        </is>
      </c>
      <c r="D258" s="139" t="inlineStr">
        <is>
          <t>Packaging</t>
        </is>
      </c>
      <c r="E258" s="134" t="inlineStr">
        <is>
          <t>PP-PACK-NAPKIN</t>
        </is>
      </c>
      <c r="F258" s="113" t="inlineStr">
        <is>
          <t>Branded napkin</t>
        </is>
      </c>
      <c r="G258" s="147" t="n">
        <v>1</v>
      </c>
      <c r="H258" s="164" t="inlineStr">
        <is>
          <t>ea</t>
        </is>
      </c>
      <c r="I258" s="150">
        <f>IFERROR(INDEX('04 SKU Master'!$AM$5:$AM$165,MATCH($E258,'04 SKU Master'!$A$5:$A$165,0)),IFERROR(INDEX('05 Packaging Master'!$AM$5:$AM$50,MATCH($E258,'05 Packaging Master'!$A$5:$A$50,0)),IFERROR(INDEX('09 Cost Index'!$C$5:$C$24,MATCH($E258,'09 Cost Index'!$A$5:$A$24,0)),"")))</f>
        <v/>
      </c>
      <c r="J258" s="153">
        <f>'01 Control'!$C$7</f>
        <v/>
      </c>
      <c r="K258" s="150">
        <f>IF($I258="","",$G258*$I258*(1+$J258))</f>
        <v/>
      </c>
      <c r="L258" s="177">
        <f>IF(ISNUMBER(MATCH($E258,'09 Cost Index'!$A$5:$A$24,0)),"09 Cost Index",IF(ISNUMBER(MATCH($E258,'05 Packaging Master'!$A$5:$A$46,0)),"05 Packaging Master",IF(ISNUMBER(MATCH($E258,'04 SKU Master'!$A$5:$A$165,0)),"04 SKU Master","NOT FOUND")))</f>
        <v/>
      </c>
      <c r="M258" s="178">
        <f>IFERROR(INDEX('12 Final Menu'!$U$5:$U$200,MATCH($A258,'12 Final Menu'!$A$5:$A$200,0)),0)</f>
        <v/>
      </c>
      <c r="N258" s="165">
        <f>$G258*(1+$J258)*$M258*1000</f>
        <v/>
      </c>
    </row>
    <row r="259"/>
    <row r="260" ht="15" customHeight="1" s="106">
      <c r="A260" s="144" t="inlineStr">
        <is>
          <t>YEAR 3  |  Summer (Dec-Feb)  |  Mediterranean   -&gt;   Caprese 2.0 (chilled)   |   Fusilli   |   PP-SEA-Y3S-CAPR</t>
        </is>
      </c>
      <c r="B260" s="110" t="n"/>
      <c r="C260" s="110" t="n"/>
      <c r="D260" s="110" t="n"/>
      <c r="E260" s="110" t="n"/>
      <c r="F260" s="110" t="n"/>
      <c r="G260" s="110" t="n"/>
      <c r="H260" s="110" t="n"/>
      <c r="I260" s="110" t="n"/>
      <c r="J260" s="110" t="n"/>
      <c r="K260" s="110" t="n"/>
      <c r="L260" s="110" t="n"/>
      <c r="M260" s="110" t="n"/>
      <c r="N260" s="111" t="n"/>
    </row>
    <row r="261" ht="15" customHeight="1" s="106">
      <c r="A261" s="138" t="inlineStr">
        <is>
          <t>PP-SEA-Y3S-CAPR</t>
        </is>
      </c>
      <c r="B261" s="138" t="inlineStr">
        <is>
          <t>Caprese 2.0 (chilled)</t>
        </is>
      </c>
      <c r="C261" s="138" t="inlineStr">
        <is>
          <t>Y3 Summer - Mediterranean</t>
        </is>
      </c>
      <c r="D261" s="139" t="inlineStr">
        <is>
          <t>Pasta</t>
        </is>
      </c>
      <c r="E261" s="134" t="inlineStr">
        <is>
          <t>PP-DOUGH-BOKGAT</t>
        </is>
      </c>
      <c r="F261" s="113" t="inlineStr">
        <is>
          <t>Bokgat Base, Fusilli - dried weight</t>
        </is>
      </c>
      <c r="G261" s="147" t="n">
        <v>95</v>
      </c>
      <c r="H261" s="164" t="inlineStr">
        <is>
          <t>g</t>
        </is>
      </c>
      <c r="I261" s="150">
        <f>IFERROR(INDEX('04 SKU Master'!$AM$5:$AM$165,MATCH($E261,'04 SKU Master'!$A$5:$A$165,0)),IFERROR(INDEX('05 Packaging Master'!$AM$5:$AM$50,MATCH($E261,'05 Packaging Master'!$A$5:$A$50,0)),IFERROR(INDEX('09 Cost Index'!$C$5:$C$24,MATCH($E261,'09 Cost Index'!$A$5:$A$24,0)),"")))</f>
        <v/>
      </c>
      <c r="J261" s="153">
        <f>'01 Control'!$C$7</f>
        <v/>
      </c>
      <c r="K261" s="150">
        <f>IF($I261="","",$G261*$I261*(1+$J261))</f>
        <v/>
      </c>
      <c r="L261" s="177">
        <f>IF(ISNUMBER(MATCH($E261,'09 Cost Index'!$A$5:$A$24,0)),"09 Cost Index",IF(ISNUMBER(MATCH($E261,'05 Packaging Master'!$A$5:$A$46,0)),"05 Packaging Master",IF(ISNUMBER(MATCH($E261,'04 SKU Master'!$A$5:$A$165,0)),"04 SKU Master","NOT FOUND")))</f>
        <v/>
      </c>
      <c r="M261" s="178">
        <f>IFERROR(INDEX('12 Final Menu'!$U$5:$U$200,MATCH($A261,'12 Final Menu'!$A$5:$A$200,0)),0)</f>
        <v/>
      </c>
      <c r="N261" s="165">
        <f>$G261*(1+$J261)*$M261*1000</f>
        <v/>
      </c>
    </row>
    <row r="262" ht="15" customHeight="1" s="106">
      <c r="A262" s="138" t="inlineStr">
        <is>
          <t>PP-SEA-Y3S-CAPR</t>
        </is>
      </c>
      <c r="B262" s="138" t="inlineStr">
        <is>
          <t>Caprese 2.0 (chilled)</t>
        </is>
      </c>
      <c r="C262" s="138" t="inlineStr">
        <is>
          <t>Y3 Summer - Mediterranean</t>
        </is>
      </c>
      <c r="D262" s="139" t="inlineStr">
        <is>
          <t>Ingredient</t>
        </is>
      </c>
      <c r="E262" s="134" t="inlineStr">
        <is>
          <t>PP-MOZZ</t>
        </is>
      </c>
      <c r="F262" s="113" t="inlineStr">
        <is>
          <t>Buffalo mozzarella</t>
        </is>
      </c>
      <c r="G262" s="147" t="n">
        <v>60</v>
      </c>
      <c r="H262" s="164" t="inlineStr">
        <is>
          <t>g</t>
        </is>
      </c>
      <c r="I262" s="150">
        <f>IFERROR(INDEX('04 SKU Master'!$AM$5:$AM$165,MATCH($E262,'04 SKU Master'!$A$5:$A$165,0)),IFERROR(INDEX('05 Packaging Master'!$AM$5:$AM$50,MATCH($E262,'05 Packaging Master'!$A$5:$A$50,0)),IFERROR(INDEX('09 Cost Index'!$C$5:$C$24,MATCH($E262,'09 Cost Index'!$A$5:$A$24,0)),"")))</f>
        <v/>
      </c>
      <c r="J262" s="153">
        <f>'01 Control'!$C$7</f>
        <v/>
      </c>
      <c r="K262" s="150">
        <f>IF($I262="","",$G262*$I262*(1+$J262))</f>
        <v/>
      </c>
      <c r="L262" s="177">
        <f>IF(ISNUMBER(MATCH($E262,'09 Cost Index'!$A$5:$A$24,0)),"09 Cost Index",IF(ISNUMBER(MATCH($E262,'05 Packaging Master'!$A$5:$A$46,0)),"05 Packaging Master",IF(ISNUMBER(MATCH($E262,'04 SKU Master'!$A$5:$A$165,0)),"04 SKU Master","NOT FOUND")))</f>
        <v/>
      </c>
      <c r="M262" s="178">
        <f>IFERROR(INDEX('12 Final Menu'!$U$5:$U$200,MATCH($A262,'12 Final Menu'!$A$5:$A$200,0)),0)</f>
        <v/>
      </c>
      <c r="N262" s="165">
        <f>$G262*(1+$J262)*$M262*1000</f>
        <v/>
      </c>
    </row>
    <row r="263" ht="15" customHeight="1" s="106">
      <c r="A263" s="138" t="inlineStr">
        <is>
          <t>PP-SEA-Y3S-CAPR</t>
        </is>
      </c>
      <c r="B263" s="138" t="inlineStr">
        <is>
          <t>Caprese 2.0 (chilled)</t>
        </is>
      </c>
      <c r="C263" s="138" t="inlineStr">
        <is>
          <t>Y3 Summer - Mediterranean</t>
        </is>
      </c>
      <c r="D263" s="139" t="inlineStr">
        <is>
          <t>Ingredient</t>
        </is>
      </c>
      <c r="E263" s="134" t="inlineStr">
        <is>
          <t>PP-VEG-CHERRYTOM</t>
        </is>
      </c>
      <c r="F263" s="113" t="inlineStr">
        <is>
          <t>Heirloom tomato</t>
        </is>
      </c>
      <c r="G263" s="147" t="n">
        <v>70</v>
      </c>
      <c r="H263" s="164" t="inlineStr">
        <is>
          <t>g</t>
        </is>
      </c>
      <c r="I263" s="150">
        <f>IFERROR(INDEX('04 SKU Master'!$AM$5:$AM$165,MATCH($E263,'04 SKU Master'!$A$5:$A$165,0)),IFERROR(INDEX('05 Packaging Master'!$AM$5:$AM$50,MATCH($E263,'05 Packaging Master'!$A$5:$A$50,0)),IFERROR(INDEX('09 Cost Index'!$C$5:$C$24,MATCH($E263,'09 Cost Index'!$A$5:$A$24,0)),"")))</f>
        <v/>
      </c>
      <c r="J263" s="153">
        <f>'01 Control'!$C$7</f>
        <v/>
      </c>
      <c r="K263" s="150">
        <f>IF($I263="","",$G263*$I263*(1+$J263))</f>
        <v/>
      </c>
      <c r="L263" s="177">
        <f>IF(ISNUMBER(MATCH($E263,'09 Cost Index'!$A$5:$A$24,0)),"09 Cost Index",IF(ISNUMBER(MATCH($E263,'05 Packaging Master'!$A$5:$A$46,0)),"05 Packaging Master",IF(ISNUMBER(MATCH($E263,'04 SKU Master'!$A$5:$A$165,0)),"04 SKU Master","NOT FOUND")))</f>
        <v/>
      </c>
      <c r="M263" s="178">
        <f>IFERROR(INDEX('12 Final Menu'!$U$5:$U$200,MATCH($A263,'12 Final Menu'!$A$5:$A$200,0)),0)</f>
        <v/>
      </c>
      <c r="N263" s="165">
        <f>$G263*(1+$J263)*$M263*1000</f>
        <v/>
      </c>
    </row>
    <row r="264" ht="15" customHeight="1" s="106">
      <c r="A264" s="138" t="inlineStr">
        <is>
          <t>PP-SEA-Y3S-CAPR</t>
        </is>
      </c>
      <c r="B264" s="138" t="inlineStr">
        <is>
          <t>Caprese 2.0 (chilled)</t>
        </is>
      </c>
      <c r="C264" s="138" t="inlineStr">
        <is>
          <t>Y3 Summer - Mediterranean</t>
        </is>
      </c>
      <c r="D264" s="139" t="inlineStr">
        <is>
          <t>Ingredient</t>
        </is>
      </c>
      <c r="E264" s="134" t="inlineStr">
        <is>
          <t>PP-HERB-BASIL-FRESH</t>
        </is>
      </c>
      <c r="F264" s="113" t="inlineStr">
        <is>
          <t>Fresh basil</t>
        </is>
      </c>
      <c r="G264" s="147" t="n">
        <v>8</v>
      </c>
      <c r="H264" s="164" t="inlineStr">
        <is>
          <t>g</t>
        </is>
      </c>
      <c r="I264" s="150">
        <f>IFERROR(INDEX('04 SKU Master'!$AM$5:$AM$165,MATCH($E264,'04 SKU Master'!$A$5:$A$165,0)),IFERROR(INDEX('05 Packaging Master'!$AM$5:$AM$50,MATCH($E264,'05 Packaging Master'!$A$5:$A$50,0)),IFERROR(INDEX('09 Cost Index'!$C$5:$C$24,MATCH($E264,'09 Cost Index'!$A$5:$A$24,0)),"")))</f>
        <v/>
      </c>
      <c r="J264" s="153">
        <f>'01 Control'!$C$7</f>
        <v/>
      </c>
      <c r="K264" s="150">
        <f>IF($I264="","",$G264*$I264*(1+$J264))</f>
        <v/>
      </c>
      <c r="L264" s="177">
        <f>IF(ISNUMBER(MATCH($E264,'09 Cost Index'!$A$5:$A$24,0)),"09 Cost Index",IF(ISNUMBER(MATCH($E264,'05 Packaging Master'!$A$5:$A$46,0)),"05 Packaging Master",IF(ISNUMBER(MATCH($E264,'04 SKU Master'!$A$5:$A$165,0)),"04 SKU Master","NOT FOUND")))</f>
        <v/>
      </c>
      <c r="M264" s="178">
        <f>IFERROR(INDEX('12 Final Menu'!$U$5:$U$200,MATCH($A264,'12 Final Menu'!$A$5:$A$200,0)),0)</f>
        <v/>
      </c>
      <c r="N264" s="165">
        <f>$G264*(1+$J264)*$M264*1000</f>
        <v/>
      </c>
    </row>
    <row r="265" ht="15" customHeight="1" s="106">
      <c r="A265" s="138" t="inlineStr">
        <is>
          <t>PP-SEA-Y3S-CAPR</t>
        </is>
      </c>
      <c r="B265" s="138" t="inlineStr">
        <is>
          <t>Caprese 2.0 (chilled)</t>
        </is>
      </c>
      <c r="C265" s="138" t="inlineStr">
        <is>
          <t>Y3 Summer - Mediterranean</t>
        </is>
      </c>
      <c r="D265" s="139" t="inlineStr">
        <is>
          <t>Ingredient</t>
        </is>
      </c>
      <c r="E265" s="134" t="inlineStr">
        <is>
          <t>PP-EVOO</t>
        </is>
      </c>
      <c r="F265" s="113" t="inlineStr">
        <is>
          <t>Extra-virgin olive oil</t>
        </is>
      </c>
      <c r="G265" s="147" t="n">
        <v>15</v>
      </c>
      <c r="H265" s="164" t="inlineStr">
        <is>
          <t>ml</t>
        </is>
      </c>
      <c r="I265" s="150">
        <f>IFERROR(INDEX('04 SKU Master'!$AM$5:$AM$165,MATCH($E265,'04 SKU Master'!$A$5:$A$165,0)),IFERROR(INDEX('05 Packaging Master'!$AM$5:$AM$50,MATCH($E265,'05 Packaging Master'!$A$5:$A$50,0)),IFERROR(INDEX('09 Cost Index'!$C$5:$C$24,MATCH($E265,'09 Cost Index'!$A$5:$A$24,0)),"")))</f>
        <v/>
      </c>
      <c r="J265" s="153">
        <f>'01 Control'!$C$7</f>
        <v/>
      </c>
      <c r="K265" s="150">
        <f>IF($I265="","",$G265*$I265*(1+$J265))</f>
        <v/>
      </c>
      <c r="L265" s="177">
        <f>IF(ISNUMBER(MATCH($E265,'09 Cost Index'!$A$5:$A$24,0)),"09 Cost Index",IF(ISNUMBER(MATCH($E265,'05 Packaging Master'!$A$5:$A$46,0)),"05 Packaging Master",IF(ISNUMBER(MATCH($E265,'04 SKU Master'!$A$5:$A$165,0)),"04 SKU Master","NOT FOUND")))</f>
        <v/>
      </c>
      <c r="M265" s="178">
        <f>IFERROR(INDEX('12 Final Menu'!$U$5:$U$200,MATCH($A265,'12 Final Menu'!$A$5:$A$200,0)),0)</f>
        <v/>
      </c>
      <c r="N265" s="165">
        <f>$G265*(1+$J265)*$M265*1000</f>
        <v/>
      </c>
    </row>
    <row r="266" ht="15" customHeight="1" s="106">
      <c r="A266" s="138" t="inlineStr">
        <is>
          <t>PP-SEA-Y3S-CAPR</t>
        </is>
      </c>
      <c r="B266" s="138" t="inlineStr">
        <is>
          <t>Caprese 2.0 (chilled)</t>
        </is>
      </c>
      <c r="C266" s="138" t="inlineStr">
        <is>
          <t>Y3 Summer - Mediterranean</t>
        </is>
      </c>
      <c r="D266" s="139" t="inlineStr">
        <is>
          <t>Packaging</t>
        </is>
      </c>
      <c r="E266" s="134" t="inlineStr">
        <is>
          <t>PP-PACK-SALAD-BOWL</t>
        </is>
      </c>
      <c r="F266" s="113" t="inlineStr">
        <is>
          <t>Salad bowl</t>
        </is>
      </c>
      <c r="G266" s="147" t="n">
        <v>1</v>
      </c>
      <c r="H266" s="164" t="inlineStr">
        <is>
          <t>ea</t>
        </is>
      </c>
      <c r="I266" s="150">
        <f>IFERROR(INDEX('04 SKU Master'!$AM$5:$AM$165,MATCH($E266,'04 SKU Master'!$A$5:$A$165,0)),IFERROR(INDEX('05 Packaging Master'!$AM$5:$AM$50,MATCH($E266,'05 Packaging Master'!$A$5:$A$50,0)),IFERROR(INDEX('09 Cost Index'!$C$5:$C$24,MATCH($E266,'09 Cost Index'!$A$5:$A$24,0)),"")))</f>
        <v/>
      </c>
      <c r="J266" s="153">
        <f>'01 Control'!$C$7</f>
        <v/>
      </c>
      <c r="K266" s="150">
        <f>IF($I266="","",$G266*$I266*(1+$J266))</f>
        <v/>
      </c>
      <c r="L266" s="177">
        <f>IF(ISNUMBER(MATCH($E266,'09 Cost Index'!$A$5:$A$24,0)),"09 Cost Index",IF(ISNUMBER(MATCH($E266,'05 Packaging Master'!$A$5:$A$46,0)),"05 Packaging Master",IF(ISNUMBER(MATCH($E266,'04 SKU Master'!$A$5:$A$165,0)),"04 SKU Master","NOT FOUND")))</f>
        <v/>
      </c>
      <c r="M266" s="178">
        <f>IFERROR(INDEX('12 Final Menu'!$U$5:$U$200,MATCH($A266,'12 Final Menu'!$A$5:$A$200,0)),0)</f>
        <v/>
      </c>
      <c r="N266" s="165">
        <f>$G266*(1+$J266)*$M266*1000</f>
        <v/>
      </c>
    </row>
    <row r="267" ht="15" customHeight="1" s="106">
      <c r="A267" s="138" t="inlineStr">
        <is>
          <t>PP-SEA-Y3S-CAPR</t>
        </is>
      </c>
      <c r="B267" s="138" t="inlineStr">
        <is>
          <t>Caprese 2.0 (chilled)</t>
        </is>
      </c>
      <c r="C267" s="138" t="inlineStr">
        <is>
          <t>Y3 Summer - Mediterranean</t>
        </is>
      </c>
      <c r="D267" s="139" t="inlineStr">
        <is>
          <t>Packaging</t>
        </is>
      </c>
      <c r="E267" s="134" t="inlineStr">
        <is>
          <t>PP-PACK-SALAD-LID</t>
        </is>
      </c>
      <c r="F267" s="113" t="inlineStr">
        <is>
          <t>Salad bowl lid</t>
        </is>
      </c>
      <c r="G267" s="147" t="n">
        <v>1</v>
      </c>
      <c r="H267" s="164" t="inlineStr">
        <is>
          <t>ea</t>
        </is>
      </c>
      <c r="I267" s="150">
        <f>IFERROR(INDEX('04 SKU Master'!$AM$5:$AM$165,MATCH($E267,'04 SKU Master'!$A$5:$A$165,0)),IFERROR(INDEX('05 Packaging Master'!$AM$5:$AM$50,MATCH($E267,'05 Packaging Master'!$A$5:$A$50,0)),IFERROR(INDEX('09 Cost Index'!$C$5:$C$24,MATCH($E267,'09 Cost Index'!$A$5:$A$24,0)),"")))</f>
        <v/>
      </c>
      <c r="J267" s="153">
        <f>'01 Control'!$C$7</f>
        <v/>
      </c>
      <c r="K267" s="150">
        <f>IF($I267="","",$G267*$I267*(1+$J267))</f>
        <v/>
      </c>
      <c r="L267" s="177">
        <f>IF(ISNUMBER(MATCH($E267,'09 Cost Index'!$A$5:$A$24,0)),"09 Cost Index",IF(ISNUMBER(MATCH($E267,'05 Packaging Master'!$A$5:$A$46,0)),"05 Packaging Master",IF(ISNUMBER(MATCH($E267,'04 SKU Master'!$A$5:$A$165,0)),"04 SKU Master","NOT FOUND")))</f>
        <v/>
      </c>
      <c r="M267" s="178">
        <f>IFERROR(INDEX('12 Final Menu'!$U$5:$U$200,MATCH($A267,'12 Final Menu'!$A$5:$A$200,0)),0)</f>
        <v/>
      </c>
      <c r="N267" s="165">
        <f>$G267*(1+$J267)*$M267*1000</f>
        <v/>
      </c>
    </row>
    <row r="268" ht="15" customHeight="1" s="106">
      <c r="A268" s="138" t="inlineStr">
        <is>
          <t>PP-SEA-Y3S-CAPR</t>
        </is>
      </c>
      <c r="B268" s="138" t="inlineStr">
        <is>
          <t>Caprese 2.0 (chilled)</t>
        </is>
      </c>
      <c r="C268" s="138" t="inlineStr">
        <is>
          <t>Y3 Summer - Mediterranean</t>
        </is>
      </c>
      <c r="D268" s="139" t="inlineStr">
        <is>
          <t>Packaging</t>
        </is>
      </c>
      <c r="E268" s="134" t="inlineStr">
        <is>
          <t>PP-PACK-SAUCE-POT</t>
        </is>
      </c>
      <c r="F268" s="113" t="inlineStr">
        <is>
          <t>Dressing pot</t>
        </is>
      </c>
      <c r="G268" s="147" t="n">
        <v>1</v>
      </c>
      <c r="H268" s="164" t="inlineStr">
        <is>
          <t>ea</t>
        </is>
      </c>
      <c r="I268" s="150">
        <f>IFERROR(INDEX('04 SKU Master'!$AM$5:$AM$165,MATCH($E268,'04 SKU Master'!$A$5:$A$165,0)),IFERROR(INDEX('05 Packaging Master'!$AM$5:$AM$50,MATCH($E268,'05 Packaging Master'!$A$5:$A$50,0)),IFERROR(INDEX('09 Cost Index'!$C$5:$C$24,MATCH($E268,'09 Cost Index'!$A$5:$A$24,0)),"")))</f>
        <v/>
      </c>
      <c r="J268" s="153">
        <f>'01 Control'!$C$7</f>
        <v/>
      </c>
      <c r="K268" s="150">
        <f>IF($I268="","",$G268*$I268*(1+$J268))</f>
        <v/>
      </c>
      <c r="L268" s="177">
        <f>IF(ISNUMBER(MATCH($E268,'09 Cost Index'!$A$5:$A$24,0)),"09 Cost Index",IF(ISNUMBER(MATCH($E268,'05 Packaging Master'!$A$5:$A$46,0)),"05 Packaging Master",IF(ISNUMBER(MATCH($E268,'04 SKU Master'!$A$5:$A$165,0)),"04 SKU Master","NOT FOUND")))</f>
        <v/>
      </c>
      <c r="M268" s="178">
        <f>IFERROR(INDEX('12 Final Menu'!$U$5:$U$200,MATCH($A268,'12 Final Menu'!$A$5:$A$200,0)),0)</f>
        <v/>
      </c>
      <c r="N268" s="165">
        <f>$G268*(1+$J268)*$M268*1000</f>
        <v/>
      </c>
    </row>
    <row r="269" ht="15" customHeight="1" s="106">
      <c r="A269" s="138" t="inlineStr">
        <is>
          <t>PP-SEA-Y3S-CAPR</t>
        </is>
      </c>
      <c r="B269" s="138" t="inlineStr">
        <is>
          <t>Caprese 2.0 (chilled)</t>
        </is>
      </c>
      <c r="C269" s="138" t="inlineStr">
        <is>
          <t>Y3 Summer - Mediterranean</t>
        </is>
      </c>
      <c r="D269" s="139" t="inlineStr">
        <is>
          <t>Packaging</t>
        </is>
      </c>
      <c r="E269" s="134" t="inlineStr">
        <is>
          <t>PP-PACK-CUTLERY</t>
        </is>
      </c>
      <c r="F269" s="113" t="inlineStr">
        <is>
          <t>Cutlery set</t>
        </is>
      </c>
      <c r="G269" s="147" t="n">
        <v>1</v>
      </c>
      <c r="H269" s="164" t="inlineStr">
        <is>
          <t>ea</t>
        </is>
      </c>
      <c r="I269" s="150">
        <f>IFERROR(INDEX('04 SKU Master'!$AM$5:$AM$165,MATCH($E269,'04 SKU Master'!$A$5:$A$165,0)),IFERROR(INDEX('05 Packaging Master'!$AM$5:$AM$50,MATCH($E269,'05 Packaging Master'!$A$5:$A$50,0)),IFERROR(INDEX('09 Cost Index'!$C$5:$C$24,MATCH($E269,'09 Cost Index'!$A$5:$A$24,0)),"")))</f>
        <v/>
      </c>
      <c r="J269" s="153">
        <f>'01 Control'!$C$7</f>
        <v/>
      </c>
      <c r="K269" s="150">
        <f>IF($I269="","",$G269*$I269*(1+$J269))</f>
        <v/>
      </c>
      <c r="L269" s="177">
        <f>IF(ISNUMBER(MATCH($E269,'09 Cost Index'!$A$5:$A$24,0)),"09 Cost Index",IF(ISNUMBER(MATCH($E269,'05 Packaging Master'!$A$5:$A$46,0)),"05 Packaging Master",IF(ISNUMBER(MATCH($E269,'04 SKU Master'!$A$5:$A$165,0)),"04 SKU Master","NOT FOUND")))</f>
        <v/>
      </c>
      <c r="M269" s="178">
        <f>IFERROR(INDEX('12 Final Menu'!$U$5:$U$200,MATCH($A269,'12 Final Menu'!$A$5:$A$200,0)),0)</f>
        <v/>
      </c>
      <c r="N269" s="165">
        <f>$G269*(1+$J269)*$M269*1000</f>
        <v/>
      </c>
    </row>
    <row r="270" ht="15" customHeight="1" s="106">
      <c r="A270" s="138" t="inlineStr">
        <is>
          <t>PP-SEA-Y3S-CAPR</t>
        </is>
      </c>
      <c r="B270" s="138" t="inlineStr">
        <is>
          <t>Caprese 2.0 (chilled)</t>
        </is>
      </c>
      <c r="C270" s="138" t="inlineStr">
        <is>
          <t>Y3 Summer - Mediterranean</t>
        </is>
      </c>
      <c r="D270" s="139" t="inlineStr">
        <is>
          <t>Packaging</t>
        </is>
      </c>
      <c r="E270" s="134" t="inlineStr">
        <is>
          <t>PP-PACK-NAPKIN</t>
        </is>
      </c>
      <c r="F270" s="113" t="inlineStr">
        <is>
          <t>Branded napkin</t>
        </is>
      </c>
      <c r="G270" s="147" t="n">
        <v>1</v>
      </c>
      <c r="H270" s="164" t="inlineStr">
        <is>
          <t>ea</t>
        </is>
      </c>
      <c r="I270" s="150">
        <f>IFERROR(INDEX('04 SKU Master'!$AM$5:$AM$165,MATCH($E270,'04 SKU Master'!$A$5:$A$165,0)),IFERROR(INDEX('05 Packaging Master'!$AM$5:$AM$50,MATCH($E270,'05 Packaging Master'!$A$5:$A$50,0)),IFERROR(INDEX('09 Cost Index'!$C$5:$C$24,MATCH($E270,'09 Cost Index'!$A$5:$A$24,0)),"")))</f>
        <v/>
      </c>
      <c r="J270" s="153">
        <f>'01 Control'!$C$7</f>
        <v/>
      </c>
      <c r="K270" s="150">
        <f>IF($I270="","",$G270*$I270*(1+$J270))</f>
        <v/>
      </c>
      <c r="L270" s="177">
        <f>IF(ISNUMBER(MATCH($E270,'09 Cost Index'!$A$5:$A$24,0)),"09 Cost Index",IF(ISNUMBER(MATCH($E270,'05 Packaging Master'!$A$5:$A$46,0)),"05 Packaging Master",IF(ISNUMBER(MATCH($E270,'04 SKU Master'!$A$5:$A$165,0)),"04 SKU Master","NOT FOUND")))</f>
        <v/>
      </c>
      <c r="M270" s="178">
        <f>IFERROR(INDEX('12 Final Menu'!$U$5:$U$200,MATCH($A270,'12 Final Menu'!$A$5:$A$200,0)),0)</f>
        <v/>
      </c>
      <c r="N270" s="165">
        <f>$G270*(1+$J270)*$M270*1000</f>
        <v/>
      </c>
    </row>
    <row r="271"/>
    <row r="272" ht="15" customHeight="1" s="106">
      <c r="A272" s="144" t="inlineStr">
        <is>
          <t>YEAR 3  |  Autumn (Mar-May)  |  Americana   -&gt;   Smoky BBQ Pulled-Beef   |   Rigatoni   |   PP-SEA-Y3A-BBQ</t>
        </is>
      </c>
      <c r="B272" s="110" t="n"/>
      <c r="C272" s="110" t="n"/>
      <c r="D272" s="110" t="n"/>
      <c r="E272" s="110" t="n"/>
      <c r="F272" s="110" t="n"/>
      <c r="G272" s="110" t="n"/>
      <c r="H272" s="110" t="n"/>
      <c r="I272" s="110" t="n"/>
      <c r="J272" s="110" t="n"/>
      <c r="K272" s="110" t="n"/>
      <c r="L272" s="110" t="n"/>
      <c r="M272" s="110" t="n"/>
      <c r="N272" s="111" t="n"/>
    </row>
    <row r="273" ht="15" customHeight="1" s="106">
      <c r="A273" s="138" t="inlineStr">
        <is>
          <t>PP-SEA-Y3A-BBQ</t>
        </is>
      </c>
      <c r="B273" s="138" t="inlineStr">
        <is>
          <t>Smoky BBQ Pulled-Beef</t>
        </is>
      </c>
      <c r="C273" s="138" t="inlineStr">
        <is>
          <t>Y3 Autumn - Americana</t>
        </is>
      </c>
      <c r="D273" s="139" t="inlineStr">
        <is>
          <t>Pasta</t>
        </is>
      </c>
      <c r="E273" s="134" t="inlineStr">
        <is>
          <t>PP-DOUGH-BOKGAT</t>
        </is>
      </c>
      <c r="F273" s="113" t="inlineStr">
        <is>
          <t>Bokgat Base, Rigatoni - dried weight</t>
        </is>
      </c>
      <c r="G273" s="147" t="n">
        <v>111</v>
      </c>
      <c r="H273" s="164" t="inlineStr">
        <is>
          <t>g</t>
        </is>
      </c>
      <c r="I273" s="150">
        <f>IFERROR(INDEX('04 SKU Master'!$AM$5:$AM$165,MATCH($E273,'04 SKU Master'!$A$5:$A$165,0)),IFERROR(INDEX('05 Packaging Master'!$AM$5:$AM$50,MATCH($E273,'05 Packaging Master'!$A$5:$A$50,0)),IFERROR(INDEX('09 Cost Index'!$C$5:$C$24,MATCH($E273,'09 Cost Index'!$A$5:$A$24,0)),"")))</f>
        <v/>
      </c>
      <c r="J273" s="153">
        <f>'01 Control'!$C$7</f>
        <v/>
      </c>
      <c r="K273" s="150">
        <f>IF($I273="","",$G273*$I273*(1+$J273))</f>
        <v/>
      </c>
      <c r="L273" s="177">
        <f>IF(ISNUMBER(MATCH($E273,'09 Cost Index'!$A$5:$A$24,0)),"09 Cost Index",IF(ISNUMBER(MATCH($E273,'05 Packaging Master'!$A$5:$A$46,0)),"05 Packaging Master",IF(ISNUMBER(MATCH($E273,'04 SKU Master'!$A$5:$A$165,0)),"04 SKU Master","NOT FOUND")))</f>
        <v/>
      </c>
      <c r="M273" s="178">
        <f>IFERROR(INDEX('12 Final Menu'!$U$5:$U$200,MATCH($A273,'12 Final Menu'!$A$5:$A$200,0)),0)</f>
        <v/>
      </c>
      <c r="N273" s="165">
        <f>$G273*(1+$J273)*$M273*1000</f>
        <v/>
      </c>
    </row>
    <row r="274" ht="15" customHeight="1" s="106">
      <c r="A274" s="138" t="inlineStr">
        <is>
          <t>PP-SEA-Y3A-BBQ</t>
        </is>
      </c>
      <c r="B274" s="138" t="inlineStr">
        <is>
          <t>Smoky BBQ Pulled-Beef</t>
        </is>
      </c>
      <c r="C274" s="138" t="inlineStr">
        <is>
          <t>Y3 Autumn - Americana</t>
        </is>
      </c>
      <c r="D274" s="139" t="inlineStr">
        <is>
          <t>Sauce</t>
        </is>
      </c>
      <c r="E274" s="134" t="inlineStr">
        <is>
          <t>PP-SAUCE-NAP</t>
        </is>
      </c>
      <c r="F274" s="113" t="inlineStr">
        <is>
          <t>Napoletana (Pomodoro) base (CK - core)</t>
        </is>
      </c>
      <c r="G274" s="147" t="n">
        <v>130</v>
      </c>
      <c r="H274" s="164" t="inlineStr">
        <is>
          <t>g</t>
        </is>
      </c>
      <c r="I274" s="150">
        <f>IFERROR(INDEX('04 SKU Master'!$AM$5:$AM$165,MATCH($E274,'04 SKU Master'!$A$5:$A$165,0)),IFERROR(INDEX('05 Packaging Master'!$AM$5:$AM$50,MATCH($E274,'05 Packaging Master'!$A$5:$A$50,0)),IFERROR(INDEX('09 Cost Index'!$C$5:$C$24,MATCH($E274,'09 Cost Index'!$A$5:$A$24,0)),"")))</f>
        <v/>
      </c>
      <c r="J274" s="153">
        <f>'01 Control'!$C$7</f>
        <v/>
      </c>
      <c r="K274" s="150">
        <f>IF($I274="","",$G274*$I274*(1+$J274))</f>
        <v/>
      </c>
      <c r="L274" s="177">
        <f>IF(ISNUMBER(MATCH($E274,'09 Cost Index'!$A$5:$A$24,0)),"09 Cost Index",IF(ISNUMBER(MATCH($E274,'05 Packaging Master'!$A$5:$A$46,0)),"05 Packaging Master",IF(ISNUMBER(MATCH($E274,'04 SKU Master'!$A$5:$A$165,0)),"04 SKU Master","NOT FOUND")))</f>
        <v/>
      </c>
      <c r="M274" s="178">
        <f>IFERROR(INDEX('12 Final Menu'!$U$5:$U$200,MATCH($A274,'12 Final Menu'!$A$5:$A$200,0)),0)</f>
        <v/>
      </c>
      <c r="N274" s="165">
        <f>$G274*(1+$J274)*$M274*1000</f>
        <v/>
      </c>
    </row>
    <row r="275" ht="15" customHeight="1" s="106">
      <c r="A275" s="138" t="inlineStr">
        <is>
          <t>PP-SEA-Y3A-BBQ</t>
        </is>
      </c>
      <c r="B275" s="138" t="inlineStr">
        <is>
          <t>Smoky BBQ Pulled-Beef</t>
        </is>
      </c>
      <c r="C275" s="138" t="inlineStr">
        <is>
          <t>Y3 Autumn - Americana</t>
        </is>
      </c>
      <c r="D275" s="139" t="inlineStr">
        <is>
          <t>Protein</t>
        </is>
      </c>
      <c r="E275" s="134" t="inlineStr">
        <is>
          <t>PP-BEEF-SHRED</t>
        </is>
      </c>
      <c r="F275" s="113" t="inlineStr">
        <is>
          <t>Pulled beef</t>
        </is>
      </c>
      <c r="G275" s="147" t="n">
        <v>95</v>
      </c>
      <c r="H275" s="164" t="inlineStr">
        <is>
          <t>g</t>
        </is>
      </c>
      <c r="I275" s="150">
        <f>IFERROR(INDEX('04 SKU Master'!$AM$5:$AM$165,MATCH($E275,'04 SKU Master'!$A$5:$A$165,0)),IFERROR(INDEX('05 Packaging Master'!$AM$5:$AM$50,MATCH($E275,'05 Packaging Master'!$A$5:$A$50,0)),IFERROR(INDEX('09 Cost Index'!$C$5:$C$24,MATCH($E275,'09 Cost Index'!$A$5:$A$24,0)),"")))</f>
        <v/>
      </c>
      <c r="J275" s="153">
        <f>'01 Control'!$C$7</f>
        <v/>
      </c>
      <c r="K275" s="150">
        <f>IF($I275="","",$G275*$I275*(1+$J275))</f>
        <v/>
      </c>
      <c r="L275" s="177">
        <f>IF(ISNUMBER(MATCH($E275,'09 Cost Index'!$A$5:$A$24,0)),"09 Cost Index",IF(ISNUMBER(MATCH($E275,'05 Packaging Master'!$A$5:$A$46,0)),"05 Packaging Master",IF(ISNUMBER(MATCH($E275,'04 SKU Master'!$A$5:$A$165,0)),"04 SKU Master","NOT FOUND")))</f>
        <v/>
      </c>
      <c r="M275" s="178">
        <f>IFERROR(INDEX('12 Final Menu'!$U$5:$U$200,MATCH($A275,'12 Final Menu'!$A$5:$A$200,0)),0)</f>
        <v/>
      </c>
      <c r="N275" s="165">
        <f>$G275*(1+$J275)*$M275*1000</f>
        <v/>
      </c>
    </row>
    <row r="276" ht="15" customHeight="1" s="106">
      <c r="A276" s="138" t="inlineStr">
        <is>
          <t>PP-SEA-Y3A-BBQ</t>
        </is>
      </c>
      <c r="B276" s="138" t="inlineStr">
        <is>
          <t>Smoky BBQ Pulled-Beef</t>
        </is>
      </c>
      <c r="C276" s="138" t="inlineStr">
        <is>
          <t>Y3 Autumn - Americana</t>
        </is>
      </c>
      <c r="D276" s="139" t="inlineStr">
        <is>
          <t>Ingredient</t>
        </is>
      </c>
      <c r="E276" s="134" t="inlineStr">
        <is>
          <t>PP-BBQ-SAUCE</t>
        </is>
      </c>
      <c r="F276" s="113" t="inlineStr">
        <is>
          <t>BBQ sauce (alcohol-free)</t>
        </is>
      </c>
      <c r="G276" s="147" t="n">
        <v>35</v>
      </c>
      <c r="H276" s="164" t="inlineStr">
        <is>
          <t>g</t>
        </is>
      </c>
      <c r="I276" s="150">
        <f>IFERROR(INDEX('04 SKU Master'!$AM$5:$AM$165,MATCH($E276,'04 SKU Master'!$A$5:$A$165,0)),IFERROR(INDEX('05 Packaging Master'!$AM$5:$AM$50,MATCH($E276,'05 Packaging Master'!$A$5:$A$50,0)),IFERROR(INDEX('09 Cost Index'!$C$5:$C$24,MATCH($E276,'09 Cost Index'!$A$5:$A$24,0)),"")))</f>
        <v/>
      </c>
      <c r="J276" s="153">
        <f>'01 Control'!$C$7</f>
        <v/>
      </c>
      <c r="K276" s="150">
        <f>IF($I276="","",$G276*$I276*(1+$J276))</f>
        <v/>
      </c>
      <c r="L276" s="177">
        <f>IF(ISNUMBER(MATCH($E276,'09 Cost Index'!$A$5:$A$24,0)),"09 Cost Index",IF(ISNUMBER(MATCH($E276,'05 Packaging Master'!$A$5:$A$46,0)),"05 Packaging Master",IF(ISNUMBER(MATCH($E276,'04 SKU Master'!$A$5:$A$165,0)),"04 SKU Master","NOT FOUND")))</f>
        <v/>
      </c>
      <c r="M276" s="178">
        <f>IFERROR(INDEX('12 Final Menu'!$U$5:$U$200,MATCH($A276,'12 Final Menu'!$A$5:$A$200,0)),0)</f>
        <v/>
      </c>
      <c r="N276" s="165">
        <f>$G276*(1+$J276)*$M276*1000</f>
        <v/>
      </c>
    </row>
    <row r="277" ht="15" customHeight="1" s="106">
      <c r="A277" s="138" t="inlineStr">
        <is>
          <t>PP-SEA-Y3A-BBQ</t>
        </is>
      </c>
      <c r="B277" s="138" t="inlineStr">
        <is>
          <t>Smoky BBQ Pulled-Beef</t>
        </is>
      </c>
      <c r="C277" s="138" t="inlineStr">
        <is>
          <t>Y3 Autumn - Americana</t>
        </is>
      </c>
      <c r="D277" s="139" t="inlineStr">
        <is>
          <t>Packaging</t>
        </is>
      </c>
      <c r="E277" s="134" t="inlineStr">
        <is>
          <t>PP-PACK-TUB</t>
        </is>
      </c>
      <c r="F277" s="113" t="inlineStr">
        <is>
          <t>Takeaway pasta tub</t>
        </is>
      </c>
      <c r="G277" s="147" t="n">
        <v>1</v>
      </c>
      <c r="H277" s="164" t="inlineStr">
        <is>
          <t>ea</t>
        </is>
      </c>
      <c r="I277" s="150">
        <f>IFERROR(INDEX('04 SKU Master'!$AM$5:$AM$165,MATCH($E277,'04 SKU Master'!$A$5:$A$165,0)),IFERROR(INDEX('05 Packaging Master'!$AM$5:$AM$50,MATCH($E277,'05 Packaging Master'!$A$5:$A$50,0)),IFERROR(INDEX('09 Cost Index'!$C$5:$C$24,MATCH($E277,'09 Cost Index'!$A$5:$A$24,0)),"")))</f>
        <v/>
      </c>
      <c r="J277" s="153">
        <f>'01 Control'!$C$7</f>
        <v/>
      </c>
      <c r="K277" s="150">
        <f>IF($I277="","",$G277*$I277*(1+$J277))</f>
        <v/>
      </c>
      <c r="L277" s="177">
        <f>IF(ISNUMBER(MATCH($E277,'09 Cost Index'!$A$5:$A$24,0)),"09 Cost Index",IF(ISNUMBER(MATCH($E277,'05 Packaging Master'!$A$5:$A$46,0)),"05 Packaging Master",IF(ISNUMBER(MATCH($E277,'04 SKU Master'!$A$5:$A$165,0)),"04 SKU Master","NOT FOUND")))</f>
        <v/>
      </c>
      <c r="M277" s="178">
        <f>IFERROR(INDEX('12 Final Menu'!$U$5:$U$200,MATCH($A277,'12 Final Menu'!$A$5:$A$200,0)),0)</f>
        <v/>
      </c>
      <c r="N277" s="165">
        <f>$G277*(1+$J277)*$M277*1000</f>
        <v/>
      </c>
    </row>
    <row r="278" ht="15" customHeight="1" s="106">
      <c r="A278" s="138" t="inlineStr">
        <is>
          <t>PP-SEA-Y3A-BBQ</t>
        </is>
      </c>
      <c r="B278" s="138" t="inlineStr">
        <is>
          <t>Smoky BBQ Pulled-Beef</t>
        </is>
      </c>
      <c r="C278" s="138" t="inlineStr">
        <is>
          <t>Y3 Autumn - Americana</t>
        </is>
      </c>
      <c r="D278" s="139" t="inlineStr">
        <is>
          <t>Packaging</t>
        </is>
      </c>
      <c r="E278" s="134" t="inlineStr">
        <is>
          <t>PP-PACK-LID</t>
        </is>
      </c>
      <c r="F278" s="113" t="inlineStr">
        <is>
          <t>Bowl lid</t>
        </is>
      </c>
      <c r="G278" s="147" t="n">
        <v>1</v>
      </c>
      <c r="H278" s="164" t="inlineStr">
        <is>
          <t>ea</t>
        </is>
      </c>
      <c r="I278" s="150">
        <f>IFERROR(INDEX('04 SKU Master'!$AM$5:$AM$165,MATCH($E278,'04 SKU Master'!$A$5:$A$165,0)),IFERROR(INDEX('05 Packaging Master'!$AM$5:$AM$50,MATCH($E278,'05 Packaging Master'!$A$5:$A$50,0)),IFERROR(INDEX('09 Cost Index'!$C$5:$C$24,MATCH($E278,'09 Cost Index'!$A$5:$A$24,0)),"")))</f>
        <v/>
      </c>
      <c r="J278" s="153">
        <f>'01 Control'!$C$7</f>
        <v/>
      </c>
      <c r="K278" s="150">
        <f>IF($I278="","",$G278*$I278*(1+$J278))</f>
        <v/>
      </c>
      <c r="L278" s="177">
        <f>IF(ISNUMBER(MATCH($E278,'09 Cost Index'!$A$5:$A$24,0)),"09 Cost Index",IF(ISNUMBER(MATCH($E278,'05 Packaging Master'!$A$5:$A$46,0)),"05 Packaging Master",IF(ISNUMBER(MATCH($E278,'04 SKU Master'!$A$5:$A$165,0)),"04 SKU Master","NOT FOUND")))</f>
        <v/>
      </c>
      <c r="M278" s="178">
        <f>IFERROR(INDEX('12 Final Menu'!$U$5:$U$200,MATCH($A278,'12 Final Menu'!$A$5:$A$200,0)),0)</f>
        <v/>
      </c>
      <c r="N278" s="165">
        <f>$G278*(1+$J278)*$M278*1000</f>
        <v/>
      </c>
    </row>
    <row r="279" ht="15" customHeight="1" s="106">
      <c r="A279" s="138" t="inlineStr">
        <is>
          <t>PP-SEA-Y3A-BBQ</t>
        </is>
      </c>
      <c r="B279" s="138" t="inlineStr">
        <is>
          <t>Smoky BBQ Pulled-Beef</t>
        </is>
      </c>
      <c r="C279" s="138" t="inlineStr">
        <is>
          <t>Y3 Autumn - Americana</t>
        </is>
      </c>
      <c r="D279" s="139" t="inlineStr">
        <is>
          <t>Packaging</t>
        </is>
      </c>
      <c r="E279" s="134" t="inlineStr">
        <is>
          <t>PP-PACK-CUTLERY</t>
        </is>
      </c>
      <c r="F279" s="113" t="inlineStr">
        <is>
          <t>Cutlery set</t>
        </is>
      </c>
      <c r="G279" s="147" t="n">
        <v>1</v>
      </c>
      <c r="H279" s="164" t="inlineStr">
        <is>
          <t>ea</t>
        </is>
      </c>
      <c r="I279" s="150">
        <f>IFERROR(INDEX('04 SKU Master'!$AM$5:$AM$165,MATCH($E279,'04 SKU Master'!$A$5:$A$165,0)),IFERROR(INDEX('05 Packaging Master'!$AM$5:$AM$50,MATCH($E279,'05 Packaging Master'!$A$5:$A$50,0)),IFERROR(INDEX('09 Cost Index'!$C$5:$C$24,MATCH($E279,'09 Cost Index'!$A$5:$A$24,0)),"")))</f>
        <v/>
      </c>
      <c r="J279" s="153">
        <f>'01 Control'!$C$7</f>
        <v/>
      </c>
      <c r="K279" s="150">
        <f>IF($I279="","",$G279*$I279*(1+$J279))</f>
        <v/>
      </c>
      <c r="L279" s="177">
        <f>IF(ISNUMBER(MATCH($E279,'09 Cost Index'!$A$5:$A$24,0)),"09 Cost Index",IF(ISNUMBER(MATCH($E279,'05 Packaging Master'!$A$5:$A$46,0)),"05 Packaging Master",IF(ISNUMBER(MATCH($E279,'04 SKU Master'!$A$5:$A$165,0)),"04 SKU Master","NOT FOUND")))</f>
        <v/>
      </c>
      <c r="M279" s="178">
        <f>IFERROR(INDEX('12 Final Menu'!$U$5:$U$200,MATCH($A279,'12 Final Menu'!$A$5:$A$200,0)),0)</f>
        <v/>
      </c>
      <c r="N279" s="165">
        <f>$G279*(1+$J279)*$M279*1000</f>
        <v/>
      </c>
    </row>
    <row r="280" ht="15" customHeight="1" s="106">
      <c r="A280" s="138" t="inlineStr">
        <is>
          <t>PP-SEA-Y3A-BBQ</t>
        </is>
      </c>
      <c r="B280" s="138" t="inlineStr">
        <is>
          <t>Smoky BBQ Pulled-Beef</t>
        </is>
      </c>
      <c r="C280" s="138" t="inlineStr">
        <is>
          <t>Y3 Autumn - Americana</t>
        </is>
      </c>
      <c r="D280" s="139" t="inlineStr">
        <is>
          <t>Packaging</t>
        </is>
      </c>
      <c r="E280" s="134" t="inlineStr">
        <is>
          <t>PP-PACK-NAPKIN</t>
        </is>
      </c>
      <c r="F280" s="113" t="inlineStr">
        <is>
          <t>Branded napkin</t>
        </is>
      </c>
      <c r="G280" s="147" t="n">
        <v>1</v>
      </c>
      <c r="H280" s="164" t="inlineStr">
        <is>
          <t>ea</t>
        </is>
      </c>
      <c r="I280" s="150">
        <f>IFERROR(INDEX('04 SKU Master'!$AM$5:$AM$165,MATCH($E280,'04 SKU Master'!$A$5:$A$165,0)),IFERROR(INDEX('05 Packaging Master'!$AM$5:$AM$50,MATCH($E280,'05 Packaging Master'!$A$5:$A$50,0)),IFERROR(INDEX('09 Cost Index'!$C$5:$C$24,MATCH($E280,'09 Cost Index'!$A$5:$A$24,0)),"")))</f>
        <v/>
      </c>
      <c r="J280" s="153">
        <f>'01 Control'!$C$7</f>
        <v/>
      </c>
      <c r="K280" s="150">
        <f>IF($I280="","",$G280*$I280*(1+$J280))</f>
        <v/>
      </c>
      <c r="L280" s="177">
        <f>IF(ISNUMBER(MATCH($E280,'09 Cost Index'!$A$5:$A$24,0)),"09 Cost Index",IF(ISNUMBER(MATCH($E280,'05 Packaging Master'!$A$5:$A$46,0)),"05 Packaging Master",IF(ISNUMBER(MATCH($E280,'04 SKU Master'!$A$5:$A$165,0)),"04 SKU Master","NOT FOUND")))</f>
        <v/>
      </c>
      <c r="M280" s="178">
        <f>IFERROR(INDEX('12 Final Menu'!$U$5:$U$200,MATCH($A280,'12 Final Menu'!$A$5:$A$200,0)),0)</f>
        <v/>
      </c>
      <c r="N280" s="165">
        <f>$G280*(1+$J280)*$M280*1000</f>
        <v/>
      </c>
    </row>
    <row r="281"/>
    <row r="282" ht="15" customHeight="1" s="106">
      <c r="A282" s="144" t="inlineStr">
        <is>
          <t>YEAR 3  |  Autumn (Mar-May)  |  Americana   -&gt;   Buffalo Beef Mac Bake   |   Rigatoni   |   PP-SEA-Y3A-BUFF</t>
        </is>
      </c>
      <c r="B282" s="110" t="n"/>
      <c r="C282" s="110" t="n"/>
      <c r="D282" s="110" t="n"/>
      <c r="E282" s="110" t="n"/>
      <c r="F282" s="110" t="n"/>
      <c r="G282" s="110" t="n"/>
      <c r="H282" s="110" t="n"/>
      <c r="I282" s="110" t="n"/>
      <c r="J282" s="110" t="n"/>
      <c r="K282" s="110" t="n"/>
      <c r="L282" s="110" t="n"/>
      <c r="M282" s="110" t="n"/>
      <c r="N282" s="111" t="n"/>
    </row>
    <row r="283" ht="15" customHeight="1" s="106">
      <c r="A283" s="138" t="inlineStr">
        <is>
          <t>PP-SEA-Y3A-BUFF</t>
        </is>
      </c>
      <c r="B283" s="138" t="inlineStr">
        <is>
          <t>Buffalo Beef Mac Bake</t>
        </is>
      </c>
      <c r="C283" s="138" t="inlineStr">
        <is>
          <t>Y3 Autumn - Americana</t>
        </is>
      </c>
      <c r="D283" s="139" t="inlineStr">
        <is>
          <t>Pasta</t>
        </is>
      </c>
      <c r="E283" s="134" t="inlineStr">
        <is>
          <t>PP-DOUGH-BOKGAT</t>
        </is>
      </c>
      <c r="F283" s="113" t="inlineStr">
        <is>
          <t>Bokgat Base, Rigatoni - dried weight</t>
        </is>
      </c>
      <c r="G283" s="147" t="n">
        <v>111</v>
      </c>
      <c r="H283" s="164" t="inlineStr">
        <is>
          <t>g</t>
        </is>
      </c>
      <c r="I283" s="150">
        <f>IFERROR(INDEX('04 SKU Master'!$AM$5:$AM$165,MATCH($E283,'04 SKU Master'!$A$5:$A$165,0)),IFERROR(INDEX('05 Packaging Master'!$AM$5:$AM$50,MATCH($E283,'05 Packaging Master'!$A$5:$A$50,0)),IFERROR(INDEX('09 Cost Index'!$C$5:$C$24,MATCH($E283,'09 Cost Index'!$A$5:$A$24,0)),"")))</f>
        <v/>
      </c>
      <c r="J283" s="153">
        <f>'01 Control'!$C$7</f>
        <v/>
      </c>
      <c r="K283" s="150">
        <f>IF($I283="","",$G283*$I283*(1+$J283))</f>
        <v/>
      </c>
      <c r="L283" s="177">
        <f>IF(ISNUMBER(MATCH($E283,'09 Cost Index'!$A$5:$A$24,0)),"09 Cost Index",IF(ISNUMBER(MATCH($E283,'05 Packaging Master'!$A$5:$A$46,0)),"05 Packaging Master",IF(ISNUMBER(MATCH($E283,'04 SKU Master'!$A$5:$A$165,0)),"04 SKU Master","NOT FOUND")))</f>
        <v/>
      </c>
      <c r="M283" s="178">
        <f>IFERROR(INDEX('12 Final Menu'!$U$5:$U$200,MATCH($A283,'12 Final Menu'!$A$5:$A$200,0)),0)</f>
        <v/>
      </c>
      <c r="N283" s="165">
        <f>$G283*(1+$J283)*$M283*1000</f>
        <v/>
      </c>
    </row>
    <row r="284" ht="15" customHeight="1" s="106">
      <c r="A284" s="138" t="inlineStr">
        <is>
          <t>PP-SEA-Y3A-BUFF</t>
        </is>
      </c>
      <c r="B284" s="138" t="inlineStr">
        <is>
          <t>Buffalo Beef Mac Bake</t>
        </is>
      </c>
      <c r="C284" s="138" t="inlineStr">
        <is>
          <t>Y3 Autumn - Americana</t>
        </is>
      </c>
      <c r="D284" s="139" t="inlineStr">
        <is>
          <t>Sauce</t>
        </is>
      </c>
      <c r="E284" s="134" t="inlineStr">
        <is>
          <t>PP-SAUCE-QF</t>
        </is>
      </c>
      <c r="F284" s="113" t="inlineStr">
        <is>
          <t>Quattro Formaggi base (CK - core)</t>
        </is>
      </c>
      <c r="G284" s="147" t="n">
        <v>145</v>
      </c>
      <c r="H284" s="164" t="inlineStr">
        <is>
          <t>g</t>
        </is>
      </c>
      <c r="I284" s="150">
        <f>IFERROR(INDEX('04 SKU Master'!$AM$5:$AM$165,MATCH($E284,'04 SKU Master'!$A$5:$A$165,0)),IFERROR(INDEX('05 Packaging Master'!$AM$5:$AM$50,MATCH($E284,'05 Packaging Master'!$A$5:$A$50,0)),IFERROR(INDEX('09 Cost Index'!$C$5:$C$24,MATCH($E284,'09 Cost Index'!$A$5:$A$24,0)),"")))</f>
        <v/>
      </c>
      <c r="J284" s="153">
        <f>'01 Control'!$C$7</f>
        <v/>
      </c>
      <c r="K284" s="150">
        <f>IF($I284="","",$G284*$I284*(1+$J284))</f>
        <v/>
      </c>
      <c r="L284" s="177">
        <f>IF(ISNUMBER(MATCH($E284,'09 Cost Index'!$A$5:$A$24,0)),"09 Cost Index",IF(ISNUMBER(MATCH($E284,'05 Packaging Master'!$A$5:$A$46,0)),"05 Packaging Master",IF(ISNUMBER(MATCH($E284,'04 SKU Master'!$A$5:$A$165,0)),"04 SKU Master","NOT FOUND")))</f>
        <v/>
      </c>
      <c r="M284" s="178">
        <f>IFERROR(INDEX('12 Final Menu'!$U$5:$U$200,MATCH($A284,'12 Final Menu'!$A$5:$A$200,0)),0)</f>
        <v/>
      </c>
      <c r="N284" s="165">
        <f>$G284*(1+$J284)*$M284*1000</f>
        <v/>
      </c>
    </row>
    <row r="285" ht="15" customHeight="1" s="106">
      <c r="A285" s="138" t="inlineStr">
        <is>
          <t>PP-SEA-Y3A-BUFF</t>
        </is>
      </c>
      <c r="B285" s="138" t="inlineStr">
        <is>
          <t>Buffalo Beef Mac Bake</t>
        </is>
      </c>
      <c r="C285" s="138" t="inlineStr">
        <is>
          <t>Y3 Autumn - Americana</t>
        </is>
      </c>
      <c r="D285" s="139" t="inlineStr">
        <is>
          <t>Protein</t>
        </is>
      </c>
      <c r="E285" s="134" t="inlineStr">
        <is>
          <t>PP-BEEF-SEASONED</t>
        </is>
      </c>
      <c r="F285" s="113" t="inlineStr">
        <is>
          <t>Buffalo beef</t>
        </is>
      </c>
      <c r="G285" s="147" t="n">
        <v>85</v>
      </c>
      <c r="H285" s="164" t="inlineStr">
        <is>
          <t>g</t>
        </is>
      </c>
      <c r="I285" s="150">
        <f>IFERROR(INDEX('04 SKU Master'!$AM$5:$AM$165,MATCH($E285,'04 SKU Master'!$A$5:$A$165,0)),IFERROR(INDEX('05 Packaging Master'!$AM$5:$AM$50,MATCH($E285,'05 Packaging Master'!$A$5:$A$50,0)),IFERROR(INDEX('09 Cost Index'!$C$5:$C$24,MATCH($E285,'09 Cost Index'!$A$5:$A$24,0)),"")))</f>
        <v/>
      </c>
      <c r="J285" s="153">
        <f>'01 Control'!$C$7</f>
        <v/>
      </c>
      <c r="K285" s="150">
        <f>IF($I285="","",$G285*$I285*(1+$J285))</f>
        <v/>
      </c>
      <c r="L285" s="177">
        <f>IF(ISNUMBER(MATCH($E285,'09 Cost Index'!$A$5:$A$24,0)),"09 Cost Index",IF(ISNUMBER(MATCH($E285,'05 Packaging Master'!$A$5:$A$46,0)),"05 Packaging Master",IF(ISNUMBER(MATCH($E285,'04 SKU Master'!$A$5:$A$165,0)),"04 SKU Master","NOT FOUND")))</f>
        <v/>
      </c>
      <c r="M285" s="178">
        <f>IFERROR(INDEX('12 Final Menu'!$U$5:$U$200,MATCH($A285,'12 Final Menu'!$A$5:$A$200,0)),0)</f>
        <v/>
      </c>
      <c r="N285" s="165">
        <f>$G285*(1+$J285)*$M285*1000</f>
        <v/>
      </c>
    </row>
    <row r="286" ht="15" customHeight="1" s="106">
      <c r="A286" s="138" t="inlineStr">
        <is>
          <t>PP-SEA-Y3A-BUFF</t>
        </is>
      </c>
      <c r="B286" s="138" t="inlineStr">
        <is>
          <t>Buffalo Beef Mac Bake</t>
        </is>
      </c>
      <c r="C286" s="138" t="inlineStr">
        <is>
          <t>Y3 Autumn - Americana</t>
        </is>
      </c>
      <c r="D286" s="139" t="inlineStr">
        <is>
          <t>Ingredient</t>
        </is>
      </c>
      <c r="E286" s="134" t="inlineStr">
        <is>
          <t>PP-BUFFALO-SAUCE</t>
        </is>
      </c>
      <c r="F286" s="113" t="inlineStr">
        <is>
          <t>Buffalo sauce</t>
        </is>
      </c>
      <c r="G286" s="147" t="n">
        <v>30</v>
      </c>
      <c r="H286" s="164" t="inlineStr">
        <is>
          <t>g</t>
        </is>
      </c>
      <c r="I286" s="150">
        <f>IFERROR(INDEX('04 SKU Master'!$AM$5:$AM$165,MATCH($E286,'04 SKU Master'!$A$5:$A$165,0)),IFERROR(INDEX('05 Packaging Master'!$AM$5:$AM$50,MATCH($E286,'05 Packaging Master'!$A$5:$A$50,0)),IFERROR(INDEX('09 Cost Index'!$C$5:$C$24,MATCH($E286,'09 Cost Index'!$A$5:$A$24,0)),"")))</f>
        <v/>
      </c>
      <c r="J286" s="153">
        <f>'01 Control'!$C$7</f>
        <v/>
      </c>
      <c r="K286" s="150">
        <f>IF($I286="","",$G286*$I286*(1+$J286))</f>
        <v/>
      </c>
      <c r="L286" s="177">
        <f>IF(ISNUMBER(MATCH($E286,'09 Cost Index'!$A$5:$A$24,0)),"09 Cost Index",IF(ISNUMBER(MATCH($E286,'05 Packaging Master'!$A$5:$A$46,0)),"05 Packaging Master",IF(ISNUMBER(MATCH($E286,'04 SKU Master'!$A$5:$A$165,0)),"04 SKU Master","NOT FOUND")))</f>
        <v/>
      </c>
      <c r="M286" s="178">
        <f>IFERROR(INDEX('12 Final Menu'!$U$5:$U$200,MATCH($A286,'12 Final Menu'!$A$5:$A$200,0)),0)</f>
        <v/>
      </c>
      <c r="N286" s="165">
        <f>$G286*(1+$J286)*$M286*1000</f>
        <v/>
      </c>
    </row>
    <row r="287" ht="15" customHeight="1" s="106">
      <c r="A287" s="138" t="inlineStr">
        <is>
          <t>PP-SEA-Y3A-BUFF</t>
        </is>
      </c>
      <c r="B287" s="138" t="inlineStr">
        <is>
          <t>Buffalo Beef Mac Bake</t>
        </is>
      </c>
      <c r="C287" s="138" t="inlineStr">
        <is>
          <t>Y3 Autumn - Americana</t>
        </is>
      </c>
      <c r="D287" s="139" t="inlineStr">
        <is>
          <t>Finish</t>
        </is>
      </c>
      <c r="E287" s="134" t="inlineStr">
        <is>
          <t>PP-MOZZ</t>
        </is>
      </c>
      <c r="F287" s="113" t="inlineStr">
        <is>
          <t>Mozzarella top</t>
        </is>
      </c>
      <c r="G287" s="147" t="n">
        <v>25</v>
      </c>
      <c r="H287" s="164" t="inlineStr">
        <is>
          <t>g</t>
        </is>
      </c>
      <c r="I287" s="150">
        <f>IFERROR(INDEX('04 SKU Master'!$AM$5:$AM$165,MATCH($E287,'04 SKU Master'!$A$5:$A$165,0)),IFERROR(INDEX('05 Packaging Master'!$AM$5:$AM$50,MATCH($E287,'05 Packaging Master'!$A$5:$A$50,0)),IFERROR(INDEX('09 Cost Index'!$C$5:$C$24,MATCH($E287,'09 Cost Index'!$A$5:$A$24,0)),"")))</f>
        <v/>
      </c>
      <c r="J287" s="153">
        <f>'01 Control'!$C$7</f>
        <v/>
      </c>
      <c r="K287" s="150">
        <f>IF($I287="","",$G287*$I287*(1+$J287))</f>
        <v/>
      </c>
      <c r="L287" s="177">
        <f>IF(ISNUMBER(MATCH($E287,'09 Cost Index'!$A$5:$A$24,0)),"09 Cost Index",IF(ISNUMBER(MATCH($E287,'05 Packaging Master'!$A$5:$A$46,0)),"05 Packaging Master",IF(ISNUMBER(MATCH($E287,'04 SKU Master'!$A$5:$A$165,0)),"04 SKU Master","NOT FOUND")))</f>
        <v/>
      </c>
      <c r="M287" s="178">
        <f>IFERROR(INDEX('12 Final Menu'!$U$5:$U$200,MATCH($A287,'12 Final Menu'!$A$5:$A$200,0)),0)</f>
        <v/>
      </c>
      <c r="N287" s="165">
        <f>$G287*(1+$J287)*$M287*1000</f>
        <v/>
      </c>
    </row>
    <row r="288" ht="15" customHeight="1" s="106">
      <c r="A288" s="138" t="inlineStr">
        <is>
          <t>PP-SEA-Y3A-BUFF</t>
        </is>
      </c>
      <c r="B288" s="138" t="inlineStr">
        <is>
          <t>Buffalo Beef Mac Bake</t>
        </is>
      </c>
      <c r="C288" s="138" t="inlineStr">
        <is>
          <t>Y3 Autumn - Americana</t>
        </is>
      </c>
      <c r="D288" s="139" t="inlineStr">
        <is>
          <t>Packaging</t>
        </is>
      </c>
      <c r="E288" s="134" t="inlineStr">
        <is>
          <t>PP-PACK-BAKE-TRAY</t>
        </is>
      </c>
      <c r="F288" s="113" t="inlineStr">
        <is>
          <t>Al forno bake tray + lid</t>
        </is>
      </c>
      <c r="G288" s="147" t="n">
        <v>1</v>
      </c>
      <c r="H288" s="164" t="inlineStr">
        <is>
          <t>ea</t>
        </is>
      </c>
      <c r="I288" s="150">
        <f>IFERROR(INDEX('04 SKU Master'!$AM$5:$AM$165,MATCH($E288,'04 SKU Master'!$A$5:$A$165,0)),IFERROR(INDEX('05 Packaging Master'!$AM$5:$AM$50,MATCH($E288,'05 Packaging Master'!$A$5:$A$50,0)),IFERROR(INDEX('09 Cost Index'!$C$5:$C$24,MATCH($E288,'09 Cost Index'!$A$5:$A$24,0)),"")))</f>
        <v/>
      </c>
      <c r="J288" s="153">
        <f>'01 Control'!$C$7</f>
        <v/>
      </c>
      <c r="K288" s="150">
        <f>IF($I288="","",$G288*$I288*(1+$J288))</f>
        <v/>
      </c>
      <c r="L288" s="177">
        <f>IF(ISNUMBER(MATCH($E288,'09 Cost Index'!$A$5:$A$24,0)),"09 Cost Index",IF(ISNUMBER(MATCH($E288,'05 Packaging Master'!$A$5:$A$46,0)),"05 Packaging Master",IF(ISNUMBER(MATCH($E288,'04 SKU Master'!$A$5:$A$165,0)),"04 SKU Master","NOT FOUND")))</f>
        <v/>
      </c>
      <c r="M288" s="178">
        <f>IFERROR(INDEX('12 Final Menu'!$U$5:$U$200,MATCH($A288,'12 Final Menu'!$A$5:$A$200,0)),0)</f>
        <v/>
      </c>
      <c r="N288" s="165">
        <f>$G288*(1+$J288)*$M288*1000</f>
        <v/>
      </c>
    </row>
    <row r="289" ht="15" customHeight="1" s="106">
      <c r="A289" s="138" t="inlineStr">
        <is>
          <t>PP-SEA-Y3A-BUFF</t>
        </is>
      </c>
      <c r="B289" s="138" t="inlineStr">
        <is>
          <t>Buffalo Beef Mac Bake</t>
        </is>
      </c>
      <c r="C289" s="138" t="inlineStr">
        <is>
          <t>Y3 Autumn - Americana</t>
        </is>
      </c>
      <c r="D289" s="139" t="inlineStr">
        <is>
          <t>Packaging</t>
        </is>
      </c>
      <c r="E289" s="134" t="inlineStr">
        <is>
          <t>PP-PACK-CUTLERY</t>
        </is>
      </c>
      <c r="F289" s="113" t="inlineStr">
        <is>
          <t>Cutlery set</t>
        </is>
      </c>
      <c r="G289" s="147" t="n">
        <v>1</v>
      </c>
      <c r="H289" s="164" t="inlineStr">
        <is>
          <t>ea</t>
        </is>
      </c>
      <c r="I289" s="150">
        <f>IFERROR(INDEX('04 SKU Master'!$AM$5:$AM$165,MATCH($E289,'04 SKU Master'!$A$5:$A$165,0)),IFERROR(INDEX('05 Packaging Master'!$AM$5:$AM$50,MATCH($E289,'05 Packaging Master'!$A$5:$A$50,0)),IFERROR(INDEX('09 Cost Index'!$C$5:$C$24,MATCH($E289,'09 Cost Index'!$A$5:$A$24,0)),"")))</f>
        <v/>
      </c>
      <c r="J289" s="153">
        <f>'01 Control'!$C$7</f>
        <v/>
      </c>
      <c r="K289" s="150">
        <f>IF($I289="","",$G289*$I289*(1+$J289))</f>
        <v/>
      </c>
      <c r="L289" s="177">
        <f>IF(ISNUMBER(MATCH($E289,'09 Cost Index'!$A$5:$A$24,0)),"09 Cost Index",IF(ISNUMBER(MATCH($E289,'05 Packaging Master'!$A$5:$A$46,0)),"05 Packaging Master",IF(ISNUMBER(MATCH($E289,'04 SKU Master'!$A$5:$A$165,0)),"04 SKU Master","NOT FOUND")))</f>
        <v/>
      </c>
      <c r="M289" s="178">
        <f>IFERROR(INDEX('12 Final Menu'!$U$5:$U$200,MATCH($A289,'12 Final Menu'!$A$5:$A$200,0)),0)</f>
        <v/>
      </c>
      <c r="N289" s="165">
        <f>$G289*(1+$J289)*$M289*1000</f>
        <v/>
      </c>
    </row>
    <row r="290" ht="15" customHeight="1" s="106">
      <c r="A290" s="138" t="inlineStr">
        <is>
          <t>PP-SEA-Y3A-BUFF</t>
        </is>
      </c>
      <c r="B290" s="138" t="inlineStr">
        <is>
          <t>Buffalo Beef Mac Bake</t>
        </is>
      </c>
      <c r="C290" s="138" t="inlineStr">
        <is>
          <t>Y3 Autumn - Americana</t>
        </is>
      </c>
      <c r="D290" s="139" t="inlineStr">
        <is>
          <t>Packaging</t>
        </is>
      </c>
      <c r="E290" s="134" t="inlineStr">
        <is>
          <t>PP-PACK-NAPKIN</t>
        </is>
      </c>
      <c r="F290" s="113" t="inlineStr">
        <is>
          <t>Branded napkin</t>
        </is>
      </c>
      <c r="G290" s="147" t="n">
        <v>1</v>
      </c>
      <c r="H290" s="164" t="inlineStr">
        <is>
          <t>ea</t>
        </is>
      </c>
      <c r="I290" s="150">
        <f>IFERROR(INDEX('04 SKU Master'!$AM$5:$AM$165,MATCH($E290,'04 SKU Master'!$A$5:$A$165,0)),IFERROR(INDEX('05 Packaging Master'!$AM$5:$AM$50,MATCH($E290,'05 Packaging Master'!$A$5:$A$50,0)),IFERROR(INDEX('09 Cost Index'!$C$5:$C$24,MATCH($E290,'09 Cost Index'!$A$5:$A$24,0)),"")))</f>
        <v/>
      </c>
      <c r="J290" s="153">
        <f>'01 Control'!$C$7</f>
        <v/>
      </c>
      <c r="K290" s="150">
        <f>IF($I290="","",$G290*$I290*(1+$J290))</f>
        <v/>
      </c>
      <c r="L290" s="177">
        <f>IF(ISNUMBER(MATCH($E290,'09 Cost Index'!$A$5:$A$24,0)),"09 Cost Index",IF(ISNUMBER(MATCH($E290,'05 Packaging Master'!$A$5:$A$46,0)),"05 Packaging Master",IF(ISNUMBER(MATCH($E290,'04 SKU Master'!$A$5:$A$165,0)),"04 SKU Master","NOT FOUND")))</f>
        <v/>
      </c>
      <c r="M290" s="178">
        <f>IFERROR(INDEX('12 Final Menu'!$U$5:$U$200,MATCH($A290,'12 Final Menu'!$A$5:$A$200,0)),0)</f>
        <v/>
      </c>
      <c r="N290" s="165">
        <f>$G290*(1+$J290)*$M290*1000</f>
        <v/>
      </c>
    </row>
    <row r="291"/>
    <row r="292" ht="15" customHeight="1" s="106">
      <c r="A292" s="144" t="inlineStr">
        <is>
          <t>YEAR 3  |  Autumn (Mar-May)  |  Americana   -&gt;   Cajun Beef &amp; Pepper   |   Fusilli   |   PP-SEA-Y3A-CAJU</t>
        </is>
      </c>
      <c r="B292" s="110" t="n"/>
      <c r="C292" s="110" t="n"/>
      <c r="D292" s="110" t="n"/>
      <c r="E292" s="110" t="n"/>
      <c r="F292" s="110" t="n"/>
      <c r="G292" s="110" t="n"/>
      <c r="H292" s="110" t="n"/>
      <c r="I292" s="110" t="n"/>
      <c r="J292" s="110" t="n"/>
      <c r="K292" s="110" t="n"/>
      <c r="L292" s="110" t="n"/>
      <c r="M292" s="110" t="n"/>
      <c r="N292" s="111" t="n"/>
    </row>
    <row r="293" ht="15" customHeight="1" s="106">
      <c r="A293" s="138" t="inlineStr">
        <is>
          <t>PP-SEA-Y3A-CAJU</t>
        </is>
      </c>
      <c r="B293" s="138" t="inlineStr">
        <is>
          <t>Cajun Beef &amp; Pepper</t>
        </is>
      </c>
      <c r="C293" s="138" t="inlineStr">
        <is>
          <t>Y3 Autumn - Americana</t>
        </is>
      </c>
      <c r="D293" s="139" t="inlineStr">
        <is>
          <t>Pasta</t>
        </is>
      </c>
      <c r="E293" s="134" t="inlineStr">
        <is>
          <t>PP-DOUGH-BOKGAT</t>
        </is>
      </c>
      <c r="F293" s="113" t="inlineStr">
        <is>
          <t>Bokgat Base, Fusilli - dried weight</t>
        </is>
      </c>
      <c r="G293" s="147" t="n">
        <v>111</v>
      </c>
      <c r="H293" s="164" t="inlineStr">
        <is>
          <t>g</t>
        </is>
      </c>
      <c r="I293" s="150">
        <f>IFERROR(INDEX('04 SKU Master'!$AM$5:$AM$165,MATCH($E293,'04 SKU Master'!$A$5:$A$165,0)),IFERROR(INDEX('05 Packaging Master'!$AM$5:$AM$50,MATCH($E293,'05 Packaging Master'!$A$5:$A$50,0)),IFERROR(INDEX('09 Cost Index'!$C$5:$C$24,MATCH($E293,'09 Cost Index'!$A$5:$A$24,0)),"")))</f>
        <v/>
      </c>
      <c r="J293" s="153">
        <f>'01 Control'!$C$7</f>
        <v/>
      </c>
      <c r="K293" s="150">
        <f>IF($I293="","",$G293*$I293*(1+$J293))</f>
        <v/>
      </c>
      <c r="L293" s="177">
        <f>IF(ISNUMBER(MATCH($E293,'09 Cost Index'!$A$5:$A$24,0)),"09 Cost Index",IF(ISNUMBER(MATCH($E293,'05 Packaging Master'!$A$5:$A$46,0)),"05 Packaging Master",IF(ISNUMBER(MATCH($E293,'04 SKU Master'!$A$5:$A$165,0)),"04 SKU Master","NOT FOUND")))</f>
        <v/>
      </c>
      <c r="M293" s="178">
        <f>IFERROR(INDEX('12 Final Menu'!$U$5:$U$200,MATCH($A293,'12 Final Menu'!$A$5:$A$200,0)),0)</f>
        <v/>
      </c>
      <c r="N293" s="165">
        <f>$G293*(1+$J293)*$M293*1000</f>
        <v/>
      </c>
    </row>
    <row r="294" ht="15" customHeight="1" s="106">
      <c r="A294" s="138" t="inlineStr">
        <is>
          <t>PP-SEA-Y3A-CAJU</t>
        </is>
      </c>
      <c r="B294" s="138" t="inlineStr">
        <is>
          <t>Cajun Beef &amp; Pepper</t>
        </is>
      </c>
      <c r="C294" s="138" t="inlineStr">
        <is>
          <t>Y3 Autumn - Americana</t>
        </is>
      </c>
      <c r="D294" s="139" t="inlineStr">
        <is>
          <t>Sauce</t>
        </is>
      </c>
      <c r="E294" s="134" t="inlineStr">
        <is>
          <t>PP-SAUCE-ALF</t>
        </is>
      </c>
      <c r="F294" s="113" t="inlineStr">
        <is>
          <t>Creamy Alfredo base (CK - core)</t>
        </is>
      </c>
      <c r="G294" s="147" t="n">
        <v>140</v>
      </c>
      <c r="H294" s="164" t="inlineStr">
        <is>
          <t>g</t>
        </is>
      </c>
      <c r="I294" s="150">
        <f>IFERROR(INDEX('04 SKU Master'!$AM$5:$AM$165,MATCH($E294,'04 SKU Master'!$A$5:$A$165,0)),IFERROR(INDEX('05 Packaging Master'!$AM$5:$AM$50,MATCH($E294,'05 Packaging Master'!$A$5:$A$50,0)),IFERROR(INDEX('09 Cost Index'!$C$5:$C$24,MATCH($E294,'09 Cost Index'!$A$5:$A$24,0)),"")))</f>
        <v/>
      </c>
      <c r="J294" s="153">
        <f>'01 Control'!$C$7</f>
        <v/>
      </c>
      <c r="K294" s="150">
        <f>IF($I294="","",$G294*$I294*(1+$J294))</f>
        <v/>
      </c>
      <c r="L294" s="177">
        <f>IF(ISNUMBER(MATCH($E294,'09 Cost Index'!$A$5:$A$24,0)),"09 Cost Index",IF(ISNUMBER(MATCH($E294,'05 Packaging Master'!$A$5:$A$46,0)),"05 Packaging Master",IF(ISNUMBER(MATCH($E294,'04 SKU Master'!$A$5:$A$165,0)),"04 SKU Master","NOT FOUND")))</f>
        <v/>
      </c>
      <c r="M294" s="178">
        <f>IFERROR(INDEX('12 Final Menu'!$U$5:$U$200,MATCH($A294,'12 Final Menu'!$A$5:$A$200,0)),0)</f>
        <v/>
      </c>
      <c r="N294" s="165">
        <f>$G294*(1+$J294)*$M294*1000</f>
        <v/>
      </c>
    </row>
    <row r="295" ht="15" customHeight="1" s="106">
      <c r="A295" s="138" t="inlineStr">
        <is>
          <t>PP-SEA-Y3A-CAJU</t>
        </is>
      </c>
      <c r="B295" s="138" t="inlineStr">
        <is>
          <t>Cajun Beef &amp; Pepper</t>
        </is>
      </c>
      <c r="C295" s="138" t="inlineStr">
        <is>
          <t>Y3 Autumn - Americana</t>
        </is>
      </c>
      <c r="D295" s="139" t="inlineStr">
        <is>
          <t>Protein</t>
        </is>
      </c>
      <c r="E295" s="134" t="inlineStr">
        <is>
          <t>PP-BEEF-SEASONED</t>
        </is>
      </c>
      <c r="F295" s="113" t="inlineStr">
        <is>
          <t>Cajun beef</t>
        </is>
      </c>
      <c r="G295" s="147" t="n">
        <v>90</v>
      </c>
      <c r="H295" s="164" t="inlineStr">
        <is>
          <t>g</t>
        </is>
      </c>
      <c r="I295" s="150">
        <f>IFERROR(INDEX('04 SKU Master'!$AM$5:$AM$165,MATCH($E295,'04 SKU Master'!$A$5:$A$165,0)),IFERROR(INDEX('05 Packaging Master'!$AM$5:$AM$50,MATCH($E295,'05 Packaging Master'!$A$5:$A$50,0)),IFERROR(INDEX('09 Cost Index'!$C$5:$C$24,MATCH($E295,'09 Cost Index'!$A$5:$A$24,0)),"")))</f>
        <v/>
      </c>
      <c r="J295" s="153">
        <f>'01 Control'!$C$7</f>
        <v/>
      </c>
      <c r="K295" s="150">
        <f>IF($I295="","",$G295*$I295*(1+$J295))</f>
        <v/>
      </c>
      <c r="L295" s="177">
        <f>IF(ISNUMBER(MATCH($E295,'09 Cost Index'!$A$5:$A$24,0)),"09 Cost Index",IF(ISNUMBER(MATCH($E295,'05 Packaging Master'!$A$5:$A$46,0)),"05 Packaging Master",IF(ISNUMBER(MATCH($E295,'04 SKU Master'!$A$5:$A$165,0)),"04 SKU Master","NOT FOUND")))</f>
        <v/>
      </c>
      <c r="M295" s="178">
        <f>IFERROR(INDEX('12 Final Menu'!$U$5:$U$200,MATCH($A295,'12 Final Menu'!$A$5:$A$200,0)),0)</f>
        <v/>
      </c>
      <c r="N295" s="165">
        <f>$G295*(1+$J295)*$M295*1000</f>
        <v/>
      </c>
    </row>
    <row r="296" ht="15" customHeight="1" s="106">
      <c r="A296" s="138" t="inlineStr">
        <is>
          <t>PP-SEA-Y3A-CAJU</t>
        </is>
      </c>
      <c r="B296" s="138" t="inlineStr">
        <is>
          <t>Cajun Beef &amp; Pepper</t>
        </is>
      </c>
      <c r="C296" s="138" t="inlineStr">
        <is>
          <t>Y3 Autumn - Americana</t>
        </is>
      </c>
      <c r="D296" s="139" t="inlineStr">
        <is>
          <t>Ingredient</t>
        </is>
      </c>
      <c r="E296" s="134" t="inlineStr">
        <is>
          <t>PP-VEG-PEPPER</t>
        </is>
      </c>
      <c r="F296" s="113" t="inlineStr">
        <is>
          <t>Peppers</t>
        </is>
      </c>
      <c r="G296" s="147" t="n">
        <v>50</v>
      </c>
      <c r="H296" s="164" t="inlineStr">
        <is>
          <t>g</t>
        </is>
      </c>
      <c r="I296" s="150">
        <f>IFERROR(INDEX('04 SKU Master'!$AM$5:$AM$165,MATCH($E296,'04 SKU Master'!$A$5:$A$165,0)),IFERROR(INDEX('05 Packaging Master'!$AM$5:$AM$50,MATCH($E296,'05 Packaging Master'!$A$5:$A$50,0)),IFERROR(INDEX('09 Cost Index'!$C$5:$C$24,MATCH($E296,'09 Cost Index'!$A$5:$A$24,0)),"")))</f>
        <v/>
      </c>
      <c r="J296" s="153">
        <f>'01 Control'!$C$7</f>
        <v/>
      </c>
      <c r="K296" s="150">
        <f>IF($I296="","",$G296*$I296*(1+$J296))</f>
        <v/>
      </c>
      <c r="L296" s="177">
        <f>IF(ISNUMBER(MATCH($E296,'09 Cost Index'!$A$5:$A$24,0)),"09 Cost Index",IF(ISNUMBER(MATCH($E296,'05 Packaging Master'!$A$5:$A$46,0)),"05 Packaging Master",IF(ISNUMBER(MATCH($E296,'04 SKU Master'!$A$5:$A$165,0)),"04 SKU Master","NOT FOUND")))</f>
        <v/>
      </c>
      <c r="M296" s="178">
        <f>IFERROR(INDEX('12 Final Menu'!$U$5:$U$200,MATCH($A296,'12 Final Menu'!$A$5:$A$200,0)),0)</f>
        <v/>
      </c>
      <c r="N296" s="165">
        <f>$G296*(1+$J296)*$M296*1000</f>
        <v/>
      </c>
    </row>
    <row r="297" ht="15" customHeight="1" s="106">
      <c r="A297" s="138" t="inlineStr">
        <is>
          <t>PP-SEA-Y3A-CAJU</t>
        </is>
      </c>
      <c r="B297" s="138" t="inlineStr">
        <is>
          <t>Cajun Beef &amp; Pepper</t>
        </is>
      </c>
      <c r="C297" s="138" t="inlineStr">
        <is>
          <t>Y3 Autumn - Americana</t>
        </is>
      </c>
      <c r="D297" s="139" t="inlineStr">
        <is>
          <t>Ingredient</t>
        </is>
      </c>
      <c r="E297" s="134" t="inlineStr">
        <is>
          <t>PP-SPICE-CAJUN</t>
        </is>
      </c>
      <c r="F297" s="113" t="inlineStr">
        <is>
          <t>Cajun spice</t>
        </is>
      </c>
      <c r="G297" s="147" t="n">
        <v>6</v>
      </c>
      <c r="H297" s="164" t="inlineStr">
        <is>
          <t>g</t>
        </is>
      </c>
      <c r="I297" s="150">
        <f>IFERROR(INDEX('04 SKU Master'!$AM$5:$AM$165,MATCH($E297,'04 SKU Master'!$A$5:$A$165,0)),IFERROR(INDEX('05 Packaging Master'!$AM$5:$AM$50,MATCH($E297,'05 Packaging Master'!$A$5:$A$50,0)),IFERROR(INDEX('09 Cost Index'!$C$5:$C$24,MATCH($E297,'09 Cost Index'!$A$5:$A$24,0)),"")))</f>
        <v/>
      </c>
      <c r="J297" s="153">
        <f>'01 Control'!$C$7</f>
        <v/>
      </c>
      <c r="K297" s="150">
        <f>IF($I297="","",$G297*$I297*(1+$J297))</f>
        <v/>
      </c>
      <c r="L297" s="177">
        <f>IF(ISNUMBER(MATCH($E297,'09 Cost Index'!$A$5:$A$24,0)),"09 Cost Index",IF(ISNUMBER(MATCH($E297,'05 Packaging Master'!$A$5:$A$46,0)),"05 Packaging Master",IF(ISNUMBER(MATCH($E297,'04 SKU Master'!$A$5:$A$165,0)),"04 SKU Master","NOT FOUND")))</f>
        <v/>
      </c>
      <c r="M297" s="178">
        <f>IFERROR(INDEX('12 Final Menu'!$U$5:$U$200,MATCH($A297,'12 Final Menu'!$A$5:$A$200,0)),0)</f>
        <v/>
      </c>
      <c r="N297" s="165">
        <f>$G297*(1+$J297)*$M297*1000</f>
        <v/>
      </c>
    </row>
    <row r="298" ht="15" customHeight="1" s="106">
      <c r="A298" s="138" t="inlineStr">
        <is>
          <t>PP-SEA-Y3A-CAJU</t>
        </is>
      </c>
      <c r="B298" s="138" t="inlineStr">
        <is>
          <t>Cajun Beef &amp; Pepper</t>
        </is>
      </c>
      <c r="C298" s="138" t="inlineStr">
        <is>
          <t>Y3 Autumn - Americana</t>
        </is>
      </c>
      <c r="D298" s="139" t="inlineStr">
        <is>
          <t>Packaging</t>
        </is>
      </c>
      <c r="E298" s="134" t="inlineStr">
        <is>
          <t>PP-PACK-TUB</t>
        </is>
      </c>
      <c r="F298" s="113" t="inlineStr">
        <is>
          <t>Takeaway pasta tub</t>
        </is>
      </c>
      <c r="G298" s="147" t="n">
        <v>1</v>
      </c>
      <c r="H298" s="164" t="inlineStr">
        <is>
          <t>ea</t>
        </is>
      </c>
      <c r="I298" s="150">
        <f>IFERROR(INDEX('04 SKU Master'!$AM$5:$AM$165,MATCH($E298,'04 SKU Master'!$A$5:$A$165,0)),IFERROR(INDEX('05 Packaging Master'!$AM$5:$AM$50,MATCH($E298,'05 Packaging Master'!$A$5:$A$50,0)),IFERROR(INDEX('09 Cost Index'!$C$5:$C$24,MATCH($E298,'09 Cost Index'!$A$5:$A$24,0)),"")))</f>
        <v/>
      </c>
      <c r="J298" s="153">
        <f>'01 Control'!$C$7</f>
        <v/>
      </c>
      <c r="K298" s="150">
        <f>IF($I298="","",$G298*$I298*(1+$J298))</f>
        <v/>
      </c>
      <c r="L298" s="177">
        <f>IF(ISNUMBER(MATCH($E298,'09 Cost Index'!$A$5:$A$24,0)),"09 Cost Index",IF(ISNUMBER(MATCH($E298,'05 Packaging Master'!$A$5:$A$46,0)),"05 Packaging Master",IF(ISNUMBER(MATCH($E298,'04 SKU Master'!$A$5:$A$165,0)),"04 SKU Master","NOT FOUND")))</f>
        <v/>
      </c>
      <c r="M298" s="178">
        <f>IFERROR(INDEX('12 Final Menu'!$U$5:$U$200,MATCH($A298,'12 Final Menu'!$A$5:$A$200,0)),0)</f>
        <v/>
      </c>
      <c r="N298" s="165">
        <f>$G298*(1+$J298)*$M298*1000</f>
        <v/>
      </c>
    </row>
    <row r="299" ht="15" customHeight="1" s="106">
      <c r="A299" s="138" t="inlineStr">
        <is>
          <t>PP-SEA-Y3A-CAJU</t>
        </is>
      </c>
      <c r="B299" s="138" t="inlineStr">
        <is>
          <t>Cajun Beef &amp; Pepper</t>
        </is>
      </c>
      <c r="C299" s="138" t="inlineStr">
        <is>
          <t>Y3 Autumn - Americana</t>
        </is>
      </c>
      <c r="D299" s="139" t="inlineStr">
        <is>
          <t>Packaging</t>
        </is>
      </c>
      <c r="E299" s="134" t="inlineStr">
        <is>
          <t>PP-PACK-LID</t>
        </is>
      </c>
      <c r="F299" s="113" t="inlineStr">
        <is>
          <t>Bowl lid</t>
        </is>
      </c>
      <c r="G299" s="147" t="n">
        <v>1</v>
      </c>
      <c r="H299" s="164" t="inlineStr">
        <is>
          <t>ea</t>
        </is>
      </c>
      <c r="I299" s="150">
        <f>IFERROR(INDEX('04 SKU Master'!$AM$5:$AM$165,MATCH($E299,'04 SKU Master'!$A$5:$A$165,0)),IFERROR(INDEX('05 Packaging Master'!$AM$5:$AM$50,MATCH($E299,'05 Packaging Master'!$A$5:$A$50,0)),IFERROR(INDEX('09 Cost Index'!$C$5:$C$24,MATCH($E299,'09 Cost Index'!$A$5:$A$24,0)),"")))</f>
        <v/>
      </c>
      <c r="J299" s="153">
        <f>'01 Control'!$C$7</f>
        <v/>
      </c>
      <c r="K299" s="150">
        <f>IF($I299="","",$G299*$I299*(1+$J299))</f>
        <v/>
      </c>
      <c r="L299" s="177">
        <f>IF(ISNUMBER(MATCH($E299,'09 Cost Index'!$A$5:$A$24,0)),"09 Cost Index",IF(ISNUMBER(MATCH($E299,'05 Packaging Master'!$A$5:$A$46,0)),"05 Packaging Master",IF(ISNUMBER(MATCH($E299,'04 SKU Master'!$A$5:$A$165,0)),"04 SKU Master","NOT FOUND")))</f>
        <v/>
      </c>
      <c r="M299" s="178">
        <f>IFERROR(INDEX('12 Final Menu'!$U$5:$U$200,MATCH($A299,'12 Final Menu'!$A$5:$A$200,0)),0)</f>
        <v/>
      </c>
      <c r="N299" s="165">
        <f>$G299*(1+$J299)*$M299*1000</f>
        <v/>
      </c>
    </row>
    <row r="300" ht="15" customHeight="1" s="106">
      <c r="A300" s="138" t="inlineStr">
        <is>
          <t>PP-SEA-Y3A-CAJU</t>
        </is>
      </c>
      <c r="B300" s="138" t="inlineStr">
        <is>
          <t>Cajun Beef &amp; Pepper</t>
        </is>
      </c>
      <c r="C300" s="138" t="inlineStr">
        <is>
          <t>Y3 Autumn - Americana</t>
        </is>
      </c>
      <c r="D300" s="139" t="inlineStr">
        <is>
          <t>Packaging</t>
        </is>
      </c>
      <c r="E300" s="134" t="inlineStr">
        <is>
          <t>PP-PACK-CUTLERY</t>
        </is>
      </c>
      <c r="F300" s="113" t="inlineStr">
        <is>
          <t>Cutlery set</t>
        </is>
      </c>
      <c r="G300" s="147" t="n">
        <v>1</v>
      </c>
      <c r="H300" s="164" t="inlineStr">
        <is>
          <t>ea</t>
        </is>
      </c>
      <c r="I300" s="150">
        <f>IFERROR(INDEX('04 SKU Master'!$AM$5:$AM$165,MATCH($E300,'04 SKU Master'!$A$5:$A$165,0)),IFERROR(INDEX('05 Packaging Master'!$AM$5:$AM$50,MATCH($E300,'05 Packaging Master'!$A$5:$A$50,0)),IFERROR(INDEX('09 Cost Index'!$C$5:$C$24,MATCH($E300,'09 Cost Index'!$A$5:$A$24,0)),"")))</f>
        <v/>
      </c>
      <c r="J300" s="153">
        <f>'01 Control'!$C$7</f>
        <v/>
      </c>
      <c r="K300" s="150">
        <f>IF($I300="","",$G300*$I300*(1+$J300))</f>
        <v/>
      </c>
      <c r="L300" s="177">
        <f>IF(ISNUMBER(MATCH($E300,'09 Cost Index'!$A$5:$A$24,0)),"09 Cost Index",IF(ISNUMBER(MATCH($E300,'05 Packaging Master'!$A$5:$A$46,0)),"05 Packaging Master",IF(ISNUMBER(MATCH($E300,'04 SKU Master'!$A$5:$A$165,0)),"04 SKU Master","NOT FOUND")))</f>
        <v/>
      </c>
      <c r="M300" s="178">
        <f>IFERROR(INDEX('12 Final Menu'!$U$5:$U$200,MATCH($A300,'12 Final Menu'!$A$5:$A$200,0)),0)</f>
        <v/>
      </c>
      <c r="N300" s="165">
        <f>$G300*(1+$J300)*$M300*1000</f>
        <v/>
      </c>
    </row>
    <row r="301" ht="15" customHeight="1" s="106">
      <c r="A301" s="138" t="inlineStr">
        <is>
          <t>PP-SEA-Y3A-CAJU</t>
        </is>
      </c>
      <c r="B301" s="138" t="inlineStr">
        <is>
          <t>Cajun Beef &amp; Pepper</t>
        </is>
      </c>
      <c r="C301" s="138" t="inlineStr">
        <is>
          <t>Y3 Autumn - Americana</t>
        </is>
      </c>
      <c r="D301" s="139" t="inlineStr">
        <is>
          <t>Packaging</t>
        </is>
      </c>
      <c r="E301" s="134" t="inlineStr">
        <is>
          <t>PP-PACK-NAPKIN</t>
        </is>
      </c>
      <c r="F301" s="113" t="inlineStr">
        <is>
          <t>Branded napkin</t>
        </is>
      </c>
      <c r="G301" s="147" t="n">
        <v>1</v>
      </c>
      <c r="H301" s="164" t="inlineStr">
        <is>
          <t>ea</t>
        </is>
      </c>
      <c r="I301" s="150">
        <f>IFERROR(INDEX('04 SKU Master'!$AM$5:$AM$165,MATCH($E301,'04 SKU Master'!$A$5:$A$165,0)),IFERROR(INDEX('05 Packaging Master'!$AM$5:$AM$50,MATCH($E301,'05 Packaging Master'!$A$5:$A$50,0)),IFERROR(INDEX('09 Cost Index'!$C$5:$C$24,MATCH($E301,'09 Cost Index'!$A$5:$A$24,0)),"")))</f>
        <v/>
      </c>
      <c r="J301" s="153">
        <f>'01 Control'!$C$7</f>
        <v/>
      </c>
      <c r="K301" s="150">
        <f>IF($I301="","",$G301*$I301*(1+$J301))</f>
        <v/>
      </c>
      <c r="L301" s="177">
        <f>IF(ISNUMBER(MATCH($E301,'09 Cost Index'!$A$5:$A$24,0)),"09 Cost Index",IF(ISNUMBER(MATCH($E301,'05 Packaging Master'!$A$5:$A$46,0)),"05 Packaging Master",IF(ISNUMBER(MATCH($E301,'04 SKU Master'!$A$5:$A$165,0)),"04 SKU Master","NOT FOUND")))</f>
        <v/>
      </c>
      <c r="M301" s="178">
        <f>IFERROR(INDEX('12 Final Menu'!$U$5:$U$200,MATCH($A301,'12 Final Menu'!$A$5:$A$200,0)),0)</f>
        <v/>
      </c>
      <c r="N301" s="165">
        <f>$G301*(1+$J301)*$M301*1000</f>
        <v/>
      </c>
    </row>
    <row r="302"/>
    <row r="303" ht="15" customHeight="1" s="106">
      <c r="A303" s="144" t="inlineStr">
        <is>
          <t>YEAR 3  |  Winter (Jun-Aug)  |  Fan Favourites   -&gt;   Durban-Curry Beef (return)   |   Rigatoni   |   PP-SEA-Y3W-CURR</t>
        </is>
      </c>
      <c r="B303" s="110" t="n"/>
      <c r="C303" s="110" t="n"/>
      <c r="D303" s="110" t="n"/>
      <c r="E303" s="110" t="n"/>
      <c r="F303" s="110" t="n"/>
      <c r="G303" s="110" t="n"/>
      <c r="H303" s="110" t="n"/>
      <c r="I303" s="110" t="n"/>
      <c r="J303" s="110" t="n"/>
      <c r="K303" s="110" t="n"/>
      <c r="L303" s="110" t="n"/>
      <c r="M303" s="110" t="n"/>
      <c r="N303" s="111" t="n"/>
    </row>
    <row r="304" ht="15" customHeight="1" s="106">
      <c r="A304" s="138" t="inlineStr">
        <is>
          <t>PP-SEA-Y3W-CURR</t>
        </is>
      </c>
      <c r="B304" s="138" t="inlineStr">
        <is>
          <t>Durban-Curry Beef (return)</t>
        </is>
      </c>
      <c r="C304" s="138" t="inlineStr">
        <is>
          <t>Y3 Winter - Fan Favourites</t>
        </is>
      </c>
      <c r="D304" s="139" t="inlineStr">
        <is>
          <t>Pasta</t>
        </is>
      </c>
      <c r="E304" s="134" t="inlineStr">
        <is>
          <t>PP-DOUGH-BOKGAT</t>
        </is>
      </c>
      <c r="F304" s="113" t="inlineStr">
        <is>
          <t>Bokgat Base, Rigatoni - dried weight</t>
        </is>
      </c>
      <c r="G304" s="147" t="n">
        <v>111</v>
      </c>
      <c r="H304" s="164" t="inlineStr">
        <is>
          <t>g</t>
        </is>
      </c>
      <c r="I304" s="150">
        <f>IFERROR(INDEX('04 SKU Master'!$AM$5:$AM$165,MATCH($E304,'04 SKU Master'!$A$5:$A$165,0)),IFERROR(INDEX('05 Packaging Master'!$AM$5:$AM$50,MATCH($E304,'05 Packaging Master'!$A$5:$A$50,0)),IFERROR(INDEX('09 Cost Index'!$C$5:$C$24,MATCH($E304,'09 Cost Index'!$A$5:$A$24,0)),"")))</f>
        <v/>
      </c>
      <c r="J304" s="153">
        <f>'01 Control'!$C$7</f>
        <v/>
      </c>
      <c r="K304" s="150">
        <f>IF($I304="","",$G304*$I304*(1+$J304))</f>
        <v/>
      </c>
      <c r="L304" s="177">
        <f>IF(ISNUMBER(MATCH($E304,'09 Cost Index'!$A$5:$A$24,0)),"09 Cost Index",IF(ISNUMBER(MATCH($E304,'05 Packaging Master'!$A$5:$A$46,0)),"05 Packaging Master",IF(ISNUMBER(MATCH($E304,'04 SKU Master'!$A$5:$A$165,0)),"04 SKU Master","NOT FOUND")))</f>
        <v/>
      </c>
      <c r="M304" s="178">
        <f>IFERROR(INDEX('12 Final Menu'!$U$5:$U$200,MATCH($A304,'12 Final Menu'!$A$5:$A$200,0)),0)</f>
        <v/>
      </c>
      <c r="N304" s="165">
        <f>$G304*(1+$J304)*$M304*1000</f>
        <v/>
      </c>
    </row>
    <row r="305" ht="15" customHeight="1" s="106">
      <c r="A305" s="138" t="inlineStr">
        <is>
          <t>PP-SEA-Y3W-CURR</t>
        </is>
      </c>
      <c r="B305" s="138" t="inlineStr">
        <is>
          <t>Durban-Curry Beef (return)</t>
        </is>
      </c>
      <c r="C305" s="138" t="inlineStr">
        <is>
          <t>Y3 Winter - Fan Favourites</t>
        </is>
      </c>
      <c r="D305" s="139" t="inlineStr">
        <is>
          <t>Sauce</t>
        </is>
      </c>
      <c r="E305" s="134" t="inlineStr">
        <is>
          <t>PP-SEASAUCE-CURRYTOM</t>
        </is>
      </c>
      <c r="F305" s="113" t="inlineStr">
        <is>
          <t>Durban Curry-Tomato Base (CK - SEASONAL base)</t>
        </is>
      </c>
      <c r="G305" s="147" t="n">
        <v>150</v>
      </c>
      <c r="H305" s="164" t="inlineStr">
        <is>
          <t>g</t>
        </is>
      </c>
      <c r="I305" s="150">
        <f>IFERROR(INDEX('04 SKU Master'!$AM$5:$AM$165,MATCH($E305,'04 SKU Master'!$A$5:$A$165,0)),IFERROR(INDEX('05 Packaging Master'!$AM$5:$AM$50,MATCH($E305,'05 Packaging Master'!$A$5:$A$50,0)),IFERROR(INDEX('09 Cost Index'!$C$5:$C$24,MATCH($E305,'09 Cost Index'!$A$5:$A$24,0)),"")))</f>
        <v/>
      </c>
      <c r="J305" s="153">
        <f>'01 Control'!$C$7</f>
        <v/>
      </c>
      <c r="K305" s="150">
        <f>IF($I305="","",$G305*$I305*(1+$J305))</f>
        <v/>
      </c>
      <c r="L305" s="177">
        <f>IF(ISNUMBER(MATCH($E305,'09 Cost Index'!$A$5:$A$24,0)),"09 Cost Index",IF(ISNUMBER(MATCH($E305,'05 Packaging Master'!$A$5:$A$46,0)),"05 Packaging Master",IF(ISNUMBER(MATCH($E305,'04 SKU Master'!$A$5:$A$165,0)),"04 SKU Master","NOT FOUND")))</f>
        <v/>
      </c>
      <c r="M305" s="178">
        <f>IFERROR(INDEX('12 Final Menu'!$U$5:$U$200,MATCH($A305,'12 Final Menu'!$A$5:$A$200,0)),0)</f>
        <v/>
      </c>
      <c r="N305" s="165">
        <f>$G305*(1+$J305)*$M305*1000</f>
        <v/>
      </c>
    </row>
    <row r="306" ht="15" customHeight="1" s="106">
      <c r="A306" s="138" t="inlineStr">
        <is>
          <t>PP-SEA-Y3W-CURR</t>
        </is>
      </c>
      <c r="B306" s="138" t="inlineStr">
        <is>
          <t>Durban-Curry Beef (return)</t>
        </is>
      </c>
      <c r="C306" s="138" t="inlineStr">
        <is>
          <t>Y3 Winter - Fan Favourites</t>
        </is>
      </c>
      <c r="D306" s="139" t="inlineStr">
        <is>
          <t>Protein</t>
        </is>
      </c>
      <c r="E306" s="134" t="inlineStr">
        <is>
          <t>PP-BEEF-CHUNK</t>
        </is>
      </c>
      <c r="F306" s="113" t="inlineStr">
        <is>
          <t>Curry beef</t>
        </is>
      </c>
      <c r="G306" s="147" t="n">
        <v>90</v>
      </c>
      <c r="H306" s="164" t="inlineStr">
        <is>
          <t>g</t>
        </is>
      </c>
      <c r="I306" s="150">
        <f>IFERROR(INDEX('04 SKU Master'!$AM$5:$AM$165,MATCH($E306,'04 SKU Master'!$A$5:$A$165,0)),IFERROR(INDEX('05 Packaging Master'!$AM$5:$AM$50,MATCH($E306,'05 Packaging Master'!$A$5:$A$50,0)),IFERROR(INDEX('09 Cost Index'!$C$5:$C$24,MATCH($E306,'09 Cost Index'!$A$5:$A$24,0)),"")))</f>
        <v/>
      </c>
      <c r="J306" s="153">
        <f>'01 Control'!$C$7</f>
        <v/>
      </c>
      <c r="K306" s="150">
        <f>IF($I306="","",$G306*$I306*(1+$J306))</f>
        <v/>
      </c>
      <c r="L306" s="177">
        <f>IF(ISNUMBER(MATCH($E306,'09 Cost Index'!$A$5:$A$24,0)),"09 Cost Index",IF(ISNUMBER(MATCH($E306,'05 Packaging Master'!$A$5:$A$46,0)),"05 Packaging Master",IF(ISNUMBER(MATCH($E306,'04 SKU Master'!$A$5:$A$165,0)),"04 SKU Master","NOT FOUND")))</f>
        <v/>
      </c>
      <c r="M306" s="178">
        <f>IFERROR(INDEX('12 Final Menu'!$U$5:$U$200,MATCH($A306,'12 Final Menu'!$A$5:$A$200,0)),0)</f>
        <v/>
      </c>
      <c r="N306" s="165">
        <f>$G306*(1+$J306)*$M306*1000</f>
        <v/>
      </c>
    </row>
    <row r="307" ht="15" customHeight="1" s="106">
      <c r="A307" s="138" t="inlineStr">
        <is>
          <t>PP-SEA-Y3W-CURR</t>
        </is>
      </c>
      <c r="B307" s="138" t="inlineStr">
        <is>
          <t>Durban-Curry Beef (return)</t>
        </is>
      </c>
      <c r="C307" s="138" t="inlineStr">
        <is>
          <t>Y3 Winter - Fan Favourites</t>
        </is>
      </c>
      <c r="D307" s="139" t="inlineStr">
        <is>
          <t>Packaging</t>
        </is>
      </c>
      <c r="E307" s="134" t="inlineStr">
        <is>
          <t>PP-PACK-TUB</t>
        </is>
      </c>
      <c r="F307" s="113" t="inlineStr">
        <is>
          <t>Takeaway pasta tub</t>
        </is>
      </c>
      <c r="G307" s="147" t="n">
        <v>1</v>
      </c>
      <c r="H307" s="164" t="inlineStr">
        <is>
          <t>ea</t>
        </is>
      </c>
      <c r="I307" s="150">
        <f>IFERROR(INDEX('04 SKU Master'!$AM$5:$AM$165,MATCH($E307,'04 SKU Master'!$A$5:$A$165,0)),IFERROR(INDEX('05 Packaging Master'!$AM$5:$AM$50,MATCH($E307,'05 Packaging Master'!$A$5:$A$50,0)),IFERROR(INDEX('09 Cost Index'!$C$5:$C$24,MATCH($E307,'09 Cost Index'!$A$5:$A$24,0)),"")))</f>
        <v/>
      </c>
      <c r="J307" s="153">
        <f>'01 Control'!$C$7</f>
        <v/>
      </c>
      <c r="K307" s="150">
        <f>IF($I307="","",$G307*$I307*(1+$J307))</f>
        <v/>
      </c>
      <c r="L307" s="177">
        <f>IF(ISNUMBER(MATCH($E307,'09 Cost Index'!$A$5:$A$24,0)),"09 Cost Index",IF(ISNUMBER(MATCH($E307,'05 Packaging Master'!$A$5:$A$46,0)),"05 Packaging Master",IF(ISNUMBER(MATCH($E307,'04 SKU Master'!$A$5:$A$165,0)),"04 SKU Master","NOT FOUND")))</f>
        <v/>
      </c>
      <c r="M307" s="178">
        <f>IFERROR(INDEX('12 Final Menu'!$U$5:$U$200,MATCH($A307,'12 Final Menu'!$A$5:$A$200,0)),0)</f>
        <v/>
      </c>
      <c r="N307" s="165">
        <f>$G307*(1+$J307)*$M307*1000</f>
        <v/>
      </c>
    </row>
    <row r="308" ht="15" customHeight="1" s="106">
      <c r="A308" s="138" t="inlineStr">
        <is>
          <t>PP-SEA-Y3W-CURR</t>
        </is>
      </c>
      <c r="B308" s="138" t="inlineStr">
        <is>
          <t>Durban-Curry Beef (return)</t>
        </is>
      </c>
      <c r="C308" s="138" t="inlineStr">
        <is>
          <t>Y3 Winter - Fan Favourites</t>
        </is>
      </c>
      <c r="D308" s="139" t="inlineStr">
        <is>
          <t>Packaging</t>
        </is>
      </c>
      <c r="E308" s="134" t="inlineStr">
        <is>
          <t>PP-PACK-LID</t>
        </is>
      </c>
      <c r="F308" s="113" t="inlineStr">
        <is>
          <t>Bowl lid</t>
        </is>
      </c>
      <c r="G308" s="147" t="n">
        <v>1</v>
      </c>
      <c r="H308" s="164" t="inlineStr">
        <is>
          <t>ea</t>
        </is>
      </c>
      <c r="I308" s="150">
        <f>IFERROR(INDEX('04 SKU Master'!$AM$5:$AM$165,MATCH($E308,'04 SKU Master'!$A$5:$A$165,0)),IFERROR(INDEX('05 Packaging Master'!$AM$5:$AM$50,MATCH($E308,'05 Packaging Master'!$A$5:$A$50,0)),IFERROR(INDEX('09 Cost Index'!$C$5:$C$24,MATCH($E308,'09 Cost Index'!$A$5:$A$24,0)),"")))</f>
        <v/>
      </c>
      <c r="J308" s="153">
        <f>'01 Control'!$C$7</f>
        <v/>
      </c>
      <c r="K308" s="150">
        <f>IF($I308="","",$G308*$I308*(1+$J308))</f>
        <v/>
      </c>
      <c r="L308" s="177">
        <f>IF(ISNUMBER(MATCH($E308,'09 Cost Index'!$A$5:$A$24,0)),"09 Cost Index",IF(ISNUMBER(MATCH($E308,'05 Packaging Master'!$A$5:$A$46,0)),"05 Packaging Master",IF(ISNUMBER(MATCH($E308,'04 SKU Master'!$A$5:$A$165,0)),"04 SKU Master","NOT FOUND")))</f>
        <v/>
      </c>
      <c r="M308" s="178">
        <f>IFERROR(INDEX('12 Final Menu'!$U$5:$U$200,MATCH($A308,'12 Final Menu'!$A$5:$A$200,0)),0)</f>
        <v/>
      </c>
      <c r="N308" s="165">
        <f>$G308*(1+$J308)*$M308*1000</f>
        <v/>
      </c>
    </row>
    <row r="309" ht="15" customHeight="1" s="106">
      <c r="A309" s="138" t="inlineStr">
        <is>
          <t>PP-SEA-Y3W-CURR</t>
        </is>
      </c>
      <c r="B309" s="138" t="inlineStr">
        <is>
          <t>Durban-Curry Beef (return)</t>
        </is>
      </c>
      <c r="C309" s="138" t="inlineStr">
        <is>
          <t>Y3 Winter - Fan Favourites</t>
        </is>
      </c>
      <c r="D309" s="139" t="inlineStr">
        <is>
          <t>Packaging</t>
        </is>
      </c>
      <c r="E309" s="134" t="inlineStr">
        <is>
          <t>PP-PACK-CUTLERY</t>
        </is>
      </c>
      <c r="F309" s="113" t="inlineStr">
        <is>
          <t>Cutlery set</t>
        </is>
      </c>
      <c r="G309" s="147" t="n">
        <v>1</v>
      </c>
      <c r="H309" s="164" t="inlineStr">
        <is>
          <t>ea</t>
        </is>
      </c>
      <c r="I309" s="150">
        <f>IFERROR(INDEX('04 SKU Master'!$AM$5:$AM$165,MATCH($E309,'04 SKU Master'!$A$5:$A$165,0)),IFERROR(INDEX('05 Packaging Master'!$AM$5:$AM$50,MATCH($E309,'05 Packaging Master'!$A$5:$A$50,0)),IFERROR(INDEX('09 Cost Index'!$C$5:$C$24,MATCH($E309,'09 Cost Index'!$A$5:$A$24,0)),"")))</f>
        <v/>
      </c>
      <c r="J309" s="153">
        <f>'01 Control'!$C$7</f>
        <v/>
      </c>
      <c r="K309" s="150">
        <f>IF($I309="","",$G309*$I309*(1+$J309))</f>
        <v/>
      </c>
      <c r="L309" s="177">
        <f>IF(ISNUMBER(MATCH($E309,'09 Cost Index'!$A$5:$A$24,0)),"09 Cost Index",IF(ISNUMBER(MATCH($E309,'05 Packaging Master'!$A$5:$A$46,0)),"05 Packaging Master",IF(ISNUMBER(MATCH($E309,'04 SKU Master'!$A$5:$A$165,0)),"04 SKU Master","NOT FOUND")))</f>
        <v/>
      </c>
      <c r="M309" s="178">
        <f>IFERROR(INDEX('12 Final Menu'!$U$5:$U$200,MATCH($A309,'12 Final Menu'!$A$5:$A$200,0)),0)</f>
        <v/>
      </c>
      <c r="N309" s="165">
        <f>$G309*(1+$J309)*$M309*1000</f>
        <v/>
      </c>
    </row>
    <row r="310" ht="15" customHeight="1" s="106">
      <c r="A310" s="138" t="inlineStr">
        <is>
          <t>PP-SEA-Y3W-CURR</t>
        </is>
      </c>
      <c r="B310" s="138" t="inlineStr">
        <is>
          <t>Durban-Curry Beef (return)</t>
        </is>
      </c>
      <c r="C310" s="138" t="inlineStr">
        <is>
          <t>Y3 Winter - Fan Favourites</t>
        </is>
      </c>
      <c r="D310" s="139" t="inlineStr">
        <is>
          <t>Packaging</t>
        </is>
      </c>
      <c r="E310" s="134" t="inlineStr">
        <is>
          <t>PP-PACK-NAPKIN</t>
        </is>
      </c>
      <c r="F310" s="113" t="inlineStr">
        <is>
          <t>Branded napkin</t>
        </is>
      </c>
      <c r="G310" s="147" t="n">
        <v>1</v>
      </c>
      <c r="H310" s="164" t="inlineStr">
        <is>
          <t>ea</t>
        </is>
      </c>
      <c r="I310" s="150">
        <f>IFERROR(INDEX('04 SKU Master'!$AM$5:$AM$165,MATCH($E310,'04 SKU Master'!$A$5:$A$165,0)),IFERROR(INDEX('05 Packaging Master'!$AM$5:$AM$50,MATCH($E310,'05 Packaging Master'!$A$5:$A$50,0)),IFERROR(INDEX('09 Cost Index'!$C$5:$C$24,MATCH($E310,'09 Cost Index'!$A$5:$A$24,0)),"")))</f>
        <v/>
      </c>
      <c r="J310" s="153">
        <f>'01 Control'!$C$7</f>
        <v/>
      </c>
      <c r="K310" s="150">
        <f>IF($I310="","",$G310*$I310*(1+$J310))</f>
        <v/>
      </c>
      <c r="L310" s="177">
        <f>IF(ISNUMBER(MATCH($E310,'09 Cost Index'!$A$5:$A$24,0)),"09 Cost Index",IF(ISNUMBER(MATCH($E310,'05 Packaging Master'!$A$5:$A$46,0)),"05 Packaging Master",IF(ISNUMBER(MATCH($E310,'04 SKU Master'!$A$5:$A$165,0)),"04 SKU Master","NOT FOUND")))</f>
        <v/>
      </c>
      <c r="M310" s="178">
        <f>IFERROR(INDEX('12 Final Menu'!$U$5:$U$200,MATCH($A310,'12 Final Menu'!$A$5:$A$200,0)),0)</f>
        <v/>
      </c>
      <c r="N310" s="165">
        <f>$G310*(1+$J310)*$M310*1000</f>
        <v/>
      </c>
    </row>
    <row r="311"/>
    <row r="312" ht="15" customHeight="1" s="106">
      <c r="A312" s="144" t="inlineStr">
        <is>
          <t>YEAR 3  |  Winter (Jun-Aug)  |  Fan Favourites   -&gt;   Boerewors Beef Ragu (return)   |   Rigatoni   |   PP-SEA-Y3W-BOER</t>
        </is>
      </c>
      <c r="B312" s="110" t="n"/>
      <c r="C312" s="110" t="n"/>
      <c r="D312" s="110" t="n"/>
      <c r="E312" s="110" t="n"/>
      <c r="F312" s="110" t="n"/>
      <c r="G312" s="110" t="n"/>
      <c r="H312" s="110" t="n"/>
      <c r="I312" s="110" t="n"/>
      <c r="J312" s="110" t="n"/>
      <c r="K312" s="110" t="n"/>
      <c r="L312" s="110" t="n"/>
      <c r="M312" s="110" t="n"/>
      <c r="N312" s="111" t="n"/>
    </row>
    <row r="313" ht="15" customHeight="1" s="106">
      <c r="A313" s="138" t="inlineStr">
        <is>
          <t>PP-SEA-Y3W-BOER</t>
        </is>
      </c>
      <c r="B313" s="138" t="inlineStr">
        <is>
          <t>Boerewors Beef Ragu (return)</t>
        </is>
      </c>
      <c r="C313" s="138" t="inlineStr">
        <is>
          <t>Y3 Winter - Fan Favourites</t>
        </is>
      </c>
      <c r="D313" s="139" t="inlineStr">
        <is>
          <t>Pasta</t>
        </is>
      </c>
      <c r="E313" s="134" t="inlineStr">
        <is>
          <t>PP-DOUGH-BOKGAT</t>
        </is>
      </c>
      <c r="F313" s="113" t="inlineStr">
        <is>
          <t>Bokgat Base, Rigatoni - dried weight</t>
        </is>
      </c>
      <c r="G313" s="147" t="n">
        <v>111</v>
      </c>
      <c r="H313" s="164" t="inlineStr">
        <is>
          <t>g</t>
        </is>
      </c>
      <c r="I313" s="150">
        <f>IFERROR(INDEX('04 SKU Master'!$AM$5:$AM$165,MATCH($E313,'04 SKU Master'!$A$5:$A$165,0)),IFERROR(INDEX('05 Packaging Master'!$AM$5:$AM$50,MATCH($E313,'05 Packaging Master'!$A$5:$A$50,0)),IFERROR(INDEX('09 Cost Index'!$C$5:$C$24,MATCH($E313,'09 Cost Index'!$A$5:$A$24,0)),"")))</f>
        <v/>
      </c>
      <c r="J313" s="153">
        <f>'01 Control'!$C$7</f>
        <v/>
      </c>
      <c r="K313" s="150">
        <f>IF($I313="","",$G313*$I313*(1+$J313))</f>
        <v/>
      </c>
      <c r="L313" s="177">
        <f>IF(ISNUMBER(MATCH($E313,'09 Cost Index'!$A$5:$A$24,0)),"09 Cost Index",IF(ISNUMBER(MATCH($E313,'05 Packaging Master'!$A$5:$A$46,0)),"05 Packaging Master",IF(ISNUMBER(MATCH($E313,'04 SKU Master'!$A$5:$A$165,0)),"04 SKU Master","NOT FOUND")))</f>
        <v/>
      </c>
      <c r="M313" s="178">
        <f>IFERROR(INDEX('12 Final Menu'!$U$5:$U$200,MATCH($A313,'12 Final Menu'!$A$5:$A$200,0)),0)</f>
        <v/>
      </c>
      <c r="N313" s="165">
        <f>$G313*(1+$J313)*$M313*1000</f>
        <v/>
      </c>
    </row>
    <row r="314" ht="15" customHeight="1" s="106">
      <c r="A314" s="138" t="inlineStr">
        <is>
          <t>PP-SEA-Y3W-BOER</t>
        </is>
      </c>
      <c r="B314" s="138" t="inlineStr">
        <is>
          <t>Boerewors Beef Ragu (return)</t>
        </is>
      </c>
      <c r="C314" s="138" t="inlineStr">
        <is>
          <t>Y3 Winter - Fan Favourites</t>
        </is>
      </c>
      <c r="D314" s="139" t="inlineStr">
        <is>
          <t>Sauce</t>
        </is>
      </c>
      <c r="E314" s="134" t="inlineStr">
        <is>
          <t>PP-SAUCE-BOL</t>
        </is>
      </c>
      <c r="F314" s="113" t="inlineStr">
        <is>
          <t>Papa's Bolognese base (CK - core)</t>
        </is>
      </c>
      <c r="G314" s="147" t="n">
        <v>150</v>
      </c>
      <c r="H314" s="164" t="inlineStr">
        <is>
          <t>g</t>
        </is>
      </c>
      <c r="I314" s="150">
        <f>IFERROR(INDEX('04 SKU Master'!$AM$5:$AM$165,MATCH($E314,'04 SKU Master'!$A$5:$A$165,0)),IFERROR(INDEX('05 Packaging Master'!$AM$5:$AM$50,MATCH($E314,'05 Packaging Master'!$A$5:$A$50,0)),IFERROR(INDEX('09 Cost Index'!$C$5:$C$24,MATCH($E314,'09 Cost Index'!$A$5:$A$24,0)),"")))</f>
        <v/>
      </c>
      <c r="J314" s="153">
        <f>'01 Control'!$C$7</f>
        <v/>
      </c>
      <c r="K314" s="150">
        <f>IF($I314="","",$G314*$I314*(1+$J314))</f>
        <v/>
      </c>
      <c r="L314" s="177">
        <f>IF(ISNUMBER(MATCH($E314,'09 Cost Index'!$A$5:$A$24,0)),"09 Cost Index",IF(ISNUMBER(MATCH($E314,'05 Packaging Master'!$A$5:$A$46,0)),"05 Packaging Master",IF(ISNUMBER(MATCH($E314,'04 SKU Master'!$A$5:$A$165,0)),"04 SKU Master","NOT FOUND")))</f>
        <v/>
      </c>
      <c r="M314" s="178">
        <f>IFERROR(INDEX('12 Final Menu'!$U$5:$U$200,MATCH($A314,'12 Final Menu'!$A$5:$A$200,0)),0)</f>
        <v/>
      </c>
      <c r="N314" s="165">
        <f>$G314*(1+$J314)*$M314*1000</f>
        <v/>
      </c>
    </row>
    <row r="315" ht="15" customHeight="1" s="106">
      <c r="A315" s="138" t="inlineStr">
        <is>
          <t>PP-SEA-Y3W-BOER</t>
        </is>
      </c>
      <c r="B315" s="138" t="inlineStr">
        <is>
          <t>Boerewors Beef Ragu (return)</t>
        </is>
      </c>
      <c r="C315" s="138" t="inlineStr">
        <is>
          <t>Y3 Winter - Fan Favourites</t>
        </is>
      </c>
      <c r="D315" s="139" t="inlineStr">
        <is>
          <t>Protein</t>
        </is>
      </c>
      <c r="E315" s="134" t="inlineStr">
        <is>
          <t>PP-BEEF-MINCE</t>
        </is>
      </c>
      <c r="F315" s="113" t="inlineStr">
        <is>
          <t>Boerewors-spiced beef</t>
        </is>
      </c>
      <c r="G315" s="147" t="n">
        <v>70</v>
      </c>
      <c r="H315" s="164" t="inlineStr">
        <is>
          <t>g</t>
        </is>
      </c>
      <c r="I315" s="150">
        <f>IFERROR(INDEX('04 SKU Master'!$AM$5:$AM$165,MATCH($E315,'04 SKU Master'!$A$5:$A$165,0)),IFERROR(INDEX('05 Packaging Master'!$AM$5:$AM$50,MATCH($E315,'05 Packaging Master'!$A$5:$A$50,0)),IFERROR(INDEX('09 Cost Index'!$C$5:$C$24,MATCH($E315,'09 Cost Index'!$A$5:$A$24,0)),"")))</f>
        <v/>
      </c>
      <c r="J315" s="153">
        <f>'01 Control'!$C$7</f>
        <v/>
      </c>
      <c r="K315" s="150">
        <f>IF($I315="","",$G315*$I315*(1+$J315))</f>
        <v/>
      </c>
      <c r="L315" s="177">
        <f>IF(ISNUMBER(MATCH($E315,'09 Cost Index'!$A$5:$A$24,0)),"09 Cost Index",IF(ISNUMBER(MATCH($E315,'05 Packaging Master'!$A$5:$A$46,0)),"05 Packaging Master",IF(ISNUMBER(MATCH($E315,'04 SKU Master'!$A$5:$A$165,0)),"04 SKU Master","NOT FOUND")))</f>
        <v/>
      </c>
      <c r="M315" s="178">
        <f>IFERROR(INDEX('12 Final Menu'!$U$5:$U$200,MATCH($A315,'12 Final Menu'!$A$5:$A$200,0)),0)</f>
        <v/>
      </c>
      <c r="N315" s="165">
        <f>$G315*(1+$J315)*$M315*1000</f>
        <v/>
      </c>
    </row>
    <row r="316" ht="15" customHeight="1" s="106">
      <c r="A316" s="138" t="inlineStr">
        <is>
          <t>PP-SEA-Y3W-BOER</t>
        </is>
      </c>
      <c r="B316" s="138" t="inlineStr">
        <is>
          <t>Boerewors Beef Ragu (return)</t>
        </is>
      </c>
      <c r="C316" s="138" t="inlineStr">
        <is>
          <t>Y3 Winter - Fan Favourites</t>
        </is>
      </c>
      <c r="D316" s="139" t="inlineStr">
        <is>
          <t>Ingredient</t>
        </is>
      </c>
      <c r="E316" s="134" t="inlineStr">
        <is>
          <t>PP-SPICE-BOEREWORS</t>
        </is>
      </c>
      <c r="F316" s="113" t="inlineStr">
        <is>
          <t>Boerewors spice</t>
        </is>
      </c>
      <c r="G316" s="147" t="n">
        <v>6</v>
      </c>
      <c r="H316" s="164" t="inlineStr">
        <is>
          <t>g</t>
        </is>
      </c>
      <c r="I316" s="150">
        <f>IFERROR(INDEX('04 SKU Master'!$AM$5:$AM$165,MATCH($E316,'04 SKU Master'!$A$5:$A$165,0)),IFERROR(INDEX('05 Packaging Master'!$AM$5:$AM$50,MATCH($E316,'05 Packaging Master'!$A$5:$A$50,0)),IFERROR(INDEX('09 Cost Index'!$C$5:$C$24,MATCH($E316,'09 Cost Index'!$A$5:$A$24,0)),"")))</f>
        <v/>
      </c>
      <c r="J316" s="153">
        <f>'01 Control'!$C$7</f>
        <v/>
      </c>
      <c r="K316" s="150">
        <f>IF($I316="","",$G316*$I316*(1+$J316))</f>
        <v/>
      </c>
      <c r="L316" s="177">
        <f>IF(ISNUMBER(MATCH($E316,'09 Cost Index'!$A$5:$A$24,0)),"09 Cost Index",IF(ISNUMBER(MATCH($E316,'05 Packaging Master'!$A$5:$A$46,0)),"05 Packaging Master",IF(ISNUMBER(MATCH($E316,'04 SKU Master'!$A$5:$A$165,0)),"04 SKU Master","NOT FOUND")))</f>
        <v/>
      </c>
      <c r="M316" s="178">
        <f>IFERROR(INDEX('12 Final Menu'!$U$5:$U$200,MATCH($A316,'12 Final Menu'!$A$5:$A$200,0)),0)</f>
        <v/>
      </c>
      <c r="N316" s="165">
        <f>$G316*(1+$J316)*$M316*1000</f>
        <v/>
      </c>
    </row>
    <row r="317" ht="15" customHeight="1" s="106">
      <c r="A317" s="138" t="inlineStr">
        <is>
          <t>PP-SEA-Y3W-BOER</t>
        </is>
      </c>
      <c r="B317" s="138" t="inlineStr">
        <is>
          <t>Boerewors Beef Ragu (return)</t>
        </is>
      </c>
      <c r="C317" s="138" t="inlineStr">
        <is>
          <t>Y3 Winter - Fan Favourites</t>
        </is>
      </c>
      <c r="D317" s="139" t="inlineStr">
        <is>
          <t>Packaging</t>
        </is>
      </c>
      <c r="E317" s="134" t="inlineStr">
        <is>
          <t>PP-PACK-TUB</t>
        </is>
      </c>
      <c r="F317" s="113" t="inlineStr">
        <is>
          <t>Takeaway pasta tub</t>
        </is>
      </c>
      <c r="G317" s="147" t="n">
        <v>1</v>
      </c>
      <c r="H317" s="164" t="inlineStr">
        <is>
          <t>ea</t>
        </is>
      </c>
      <c r="I317" s="150">
        <f>IFERROR(INDEX('04 SKU Master'!$AM$5:$AM$165,MATCH($E317,'04 SKU Master'!$A$5:$A$165,0)),IFERROR(INDEX('05 Packaging Master'!$AM$5:$AM$50,MATCH($E317,'05 Packaging Master'!$A$5:$A$50,0)),IFERROR(INDEX('09 Cost Index'!$C$5:$C$24,MATCH($E317,'09 Cost Index'!$A$5:$A$24,0)),"")))</f>
        <v/>
      </c>
      <c r="J317" s="153">
        <f>'01 Control'!$C$7</f>
        <v/>
      </c>
      <c r="K317" s="150">
        <f>IF($I317="","",$G317*$I317*(1+$J317))</f>
        <v/>
      </c>
      <c r="L317" s="177">
        <f>IF(ISNUMBER(MATCH($E317,'09 Cost Index'!$A$5:$A$24,0)),"09 Cost Index",IF(ISNUMBER(MATCH($E317,'05 Packaging Master'!$A$5:$A$46,0)),"05 Packaging Master",IF(ISNUMBER(MATCH($E317,'04 SKU Master'!$A$5:$A$165,0)),"04 SKU Master","NOT FOUND")))</f>
        <v/>
      </c>
      <c r="M317" s="178">
        <f>IFERROR(INDEX('12 Final Menu'!$U$5:$U$200,MATCH($A317,'12 Final Menu'!$A$5:$A$200,0)),0)</f>
        <v/>
      </c>
      <c r="N317" s="165">
        <f>$G317*(1+$J317)*$M317*1000</f>
        <v/>
      </c>
    </row>
    <row r="318" ht="15" customHeight="1" s="106">
      <c r="A318" s="138" t="inlineStr">
        <is>
          <t>PP-SEA-Y3W-BOER</t>
        </is>
      </c>
      <c r="B318" s="138" t="inlineStr">
        <is>
          <t>Boerewors Beef Ragu (return)</t>
        </is>
      </c>
      <c r="C318" s="138" t="inlineStr">
        <is>
          <t>Y3 Winter - Fan Favourites</t>
        </is>
      </c>
      <c r="D318" s="139" t="inlineStr">
        <is>
          <t>Packaging</t>
        </is>
      </c>
      <c r="E318" s="134" t="inlineStr">
        <is>
          <t>PP-PACK-LID</t>
        </is>
      </c>
      <c r="F318" s="113" t="inlineStr">
        <is>
          <t>Bowl lid</t>
        </is>
      </c>
      <c r="G318" s="147" t="n">
        <v>1</v>
      </c>
      <c r="H318" s="164" t="inlineStr">
        <is>
          <t>ea</t>
        </is>
      </c>
      <c r="I318" s="150">
        <f>IFERROR(INDEX('04 SKU Master'!$AM$5:$AM$165,MATCH($E318,'04 SKU Master'!$A$5:$A$165,0)),IFERROR(INDEX('05 Packaging Master'!$AM$5:$AM$50,MATCH($E318,'05 Packaging Master'!$A$5:$A$50,0)),IFERROR(INDEX('09 Cost Index'!$C$5:$C$24,MATCH($E318,'09 Cost Index'!$A$5:$A$24,0)),"")))</f>
        <v/>
      </c>
      <c r="J318" s="153">
        <f>'01 Control'!$C$7</f>
        <v/>
      </c>
      <c r="K318" s="150">
        <f>IF($I318="","",$G318*$I318*(1+$J318))</f>
        <v/>
      </c>
      <c r="L318" s="177">
        <f>IF(ISNUMBER(MATCH($E318,'09 Cost Index'!$A$5:$A$24,0)),"09 Cost Index",IF(ISNUMBER(MATCH($E318,'05 Packaging Master'!$A$5:$A$46,0)),"05 Packaging Master",IF(ISNUMBER(MATCH($E318,'04 SKU Master'!$A$5:$A$165,0)),"04 SKU Master","NOT FOUND")))</f>
        <v/>
      </c>
      <c r="M318" s="178">
        <f>IFERROR(INDEX('12 Final Menu'!$U$5:$U$200,MATCH($A318,'12 Final Menu'!$A$5:$A$200,0)),0)</f>
        <v/>
      </c>
      <c r="N318" s="165">
        <f>$G318*(1+$J318)*$M318*1000</f>
        <v/>
      </c>
    </row>
    <row r="319" ht="15" customHeight="1" s="106">
      <c r="A319" s="138" t="inlineStr">
        <is>
          <t>PP-SEA-Y3W-BOER</t>
        </is>
      </c>
      <c r="B319" s="138" t="inlineStr">
        <is>
          <t>Boerewors Beef Ragu (return)</t>
        </is>
      </c>
      <c r="C319" s="138" t="inlineStr">
        <is>
          <t>Y3 Winter - Fan Favourites</t>
        </is>
      </c>
      <c r="D319" s="139" t="inlineStr">
        <is>
          <t>Packaging</t>
        </is>
      </c>
      <c r="E319" s="134" t="inlineStr">
        <is>
          <t>PP-PACK-CUTLERY</t>
        </is>
      </c>
      <c r="F319" s="113" t="inlineStr">
        <is>
          <t>Cutlery set</t>
        </is>
      </c>
      <c r="G319" s="147" t="n">
        <v>1</v>
      </c>
      <c r="H319" s="164" t="inlineStr">
        <is>
          <t>ea</t>
        </is>
      </c>
      <c r="I319" s="150">
        <f>IFERROR(INDEX('04 SKU Master'!$AM$5:$AM$165,MATCH($E319,'04 SKU Master'!$A$5:$A$165,0)),IFERROR(INDEX('05 Packaging Master'!$AM$5:$AM$50,MATCH($E319,'05 Packaging Master'!$A$5:$A$50,0)),IFERROR(INDEX('09 Cost Index'!$C$5:$C$24,MATCH($E319,'09 Cost Index'!$A$5:$A$24,0)),"")))</f>
        <v/>
      </c>
      <c r="J319" s="153">
        <f>'01 Control'!$C$7</f>
        <v/>
      </c>
      <c r="K319" s="150">
        <f>IF($I319="","",$G319*$I319*(1+$J319))</f>
        <v/>
      </c>
      <c r="L319" s="177">
        <f>IF(ISNUMBER(MATCH($E319,'09 Cost Index'!$A$5:$A$24,0)),"09 Cost Index",IF(ISNUMBER(MATCH($E319,'05 Packaging Master'!$A$5:$A$46,0)),"05 Packaging Master",IF(ISNUMBER(MATCH($E319,'04 SKU Master'!$A$5:$A$165,0)),"04 SKU Master","NOT FOUND")))</f>
        <v/>
      </c>
      <c r="M319" s="178">
        <f>IFERROR(INDEX('12 Final Menu'!$U$5:$U$200,MATCH($A319,'12 Final Menu'!$A$5:$A$200,0)),0)</f>
        <v/>
      </c>
      <c r="N319" s="165">
        <f>$G319*(1+$J319)*$M319*1000</f>
        <v/>
      </c>
    </row>
    <row r="320" ht="15" customHeight="1" s="106">
      <c r="A320" s="138" t="inlineStr">
        <is>
          <t>PP-SEA-Y3W-BOER</t>
        </is>
      </c>
      <c r="B320" s="138" t="inlineStr">
        <is>
          <t>Boerewors Beef Ragu (return)</t>
        </is>
      </c>
      <c r="C320" s="138" t="inlineStr">
        <is>
          <t>Y3 Winter - Fan Favourites</t>
        </is>
      </c>
      <c r="D320" s="139" t="inlineStr">
        <is>
          <t>Packaging</t>
        </is>
      </c>
      <c r="E320" s="134" t="inlineStr">
        <is>
          <t>PP-PACK-NAPKIN</t>
        </is>
      </c>
      <c r="F320" s="113" t="inlineStr">
        <is>
          <t>Branded napkin</t>
        </is>
      </c>
      <c r="G320" s="147" t="n">
        <v>1</v>
      </c>
      <c r="H320" s="164" t="inlineStr">
        <is>
          <t>ea</t>
        </is>
      </c>
      <c r="I320" s="150">
        <f>IFERROR(INDEX('04 SKU Master'!$AM$5:$AM$165,MATCH($E320,'04 SKU Master'!$A$5:$A$165,0)),IFERROR(INDEX('05 Packaging Master'!$AM$5:$AM$50,MATCH($E320,'05 Packaging Master'!$A$5:$A$50,0)),IFERROR(INDEX('09 Cost Index'!$C$5:$C$24,MATCH($E320,'09 Cost Index'!$A$5:$A$24,0)),"")))</f>
        <v/>
      </c>
      <c r="J320" s="153">
        <f>'01 Control'!$C$7</f>
        <v/>
      </c>
      <c r="K320" s="150">
        <f>IF($I320="","",$G320*$I320*(1+$J320))</f>
        <v/>
      </c>
      <c r="L320" s="177">
        <f>IF(ISNUMBER(MATCH($E320,'09 Cost Index'!$A$5:$A$24,0)),"09 Cost Index",IF(ISNUMBER(MATCH($E320,'05 Packaging Master'!$A$5:$A$46,0)),"05 Packaging Master",IF(ISNUMBER(MATCH($E320,'04 SKU Master'!$A$5:$A$165,0)),"04 SKU Master","NOT FOUND")))</f>
        <v/>
      </c>
      <c r="M320" s="178">
        <f>IFERROR(INDEX('12 Final Menu'!$U$5:$U$200,MATCH($A320,'12 Final Menu'!$A$5:$A$200,0)),0)</f>
        <v/>
      </c>
      <c r="N320" s="165">
        <f>$G320*(1+$J320)*$M320*1000</f>
        <v/>
      </c>
    </row>
    <row r="321"/>
    <row r="322" ht="15" customHeight="1" s="106">
      <c r="A322" s="144" t="inlineStr">
        <is>
          <t>YEAR 3  |  Winter (Jun-Aug)  |  Fan Favourites   -&gt;   Truffle-Mushroom Boscaiola   |   Fusilli   |   PP-SEA-Y3W-TRUF</t>
        </is>
      </c>
      <c r="B322" s="110" t="n"/>
      <c r="C322" s="110" t="n"/>
      <c r="D322" s="110" t="n"/>
      <c r="E322" s="110" t="n"/>
      <c r="F322" s="110" t="n"/>
      <c r="G322" s="110" t="n"/>
      <c r="H322" s="110" t="n"/>
      <c r="I322" s="110" t="n"/>
      <c r="J322" s="110" t="n"/>
      <c r="K322" s="110" t="n"/>
      <c r="L322" s="110" t="n"/>
      <c r="M322" s="110" t="n"/>
      <c r="N322" s="111" t="n"/>
    </row>
    <row r="323" ht="15" customHeight="1" s="106">
      <c r="A323" s="138" t="inlineStr">
        <is>
          <t>PP-SEA-Y3W-TRUF</t>
        </is>
      </c>
      <c r="B323" s="138" t="inlineStr">
        <is>
          <t>Truffle-Mushroom Boscaiola</t>
        </is>
      </c>
      <c r="C323" s="138" t="inlineStr">
        <is>
          <t>Y3 Winter - Fan Favourites</t>
        </is>
      </c>
      <c r="D323" s="139" t="inlineStr">
        <is>
          <t>Pasta</t>
        </is>
      </c>
      <c r="E323" s="134" t="inlineStr">
        <is>
          <t>PP-DOUGH-FARMHOUSE</t>
        </is>
      </c>
      <c r="F323" s="113" t="inlineStr">
        <is>
          <t>Farmhouse, Fusilli - dried weight</t>
        </is>
      </c>
      <c r="G323" s="147" t="n">
        <v>111</v>
      </c>
      <c r="H323" s="164" t="inlineStr">
        <is>
          <t>g</t>
        </is>
      </c>
      <c r="I323" s="150">
        <f>IFERROR(INDEX('04 SKU Master'!$AM$5:$AM$165,MATCH($E323,'04 SKU Master'!$A$5:$A$165,0)),IFERROR(INDEX('05 Packaging Master'!$AM$5:$AM$50,MATCH($E323,'05 Packaging Master'!$A$5:$A$50,0)),IFERROR(INDEX('09 Cost Index'!$C$5:$C$24,MATCH($E323,'09 Cost Index'!$A$5:$A$24,0)),"")))</f>
        <v/>
      </c>
      <c r="J323" s="153">
        <f>'01 Control'!$C$7</f>
        <v/>
      </c>
      <c r="K323" s="150">
        <f>IF($I323="","",$G323*$I323*(1+$J323))</f>
        <v/>
      </c>
      <c r="L323" s="177">
        <f>IF(ISNUMBER(MATCH($E323,'09 Cost Index'!$A$5:$A$24,0)),"09 Cost Index",IF(ISNUMBER(MATCH($E323,'05 Packaging Master'!$A$5:$A$46,0)),"05 Packaging Master",IF(ISNUMBER(MATCH($E323,'04 SKU Master'!$A$5:$A$165,0)),"04 SKU Master","NOT FOUND")))</f>
        <v/>
      </c>
      <c r="M323" s="178">
        <f>IFERROR(INDEX('12 Final Menu'!$U$5:$U$200,MATCH($A323,'12 Final Menu'!$A$5:$A$200,0)),0)</f>
        <v/>
      </c>
      <c r="N323" s="165">
        <f>$G323*(1+$J323)*$M323*1000</f>
        <v/>
      </c>
    </row>
    <row r="324" ht="15" customHeight="1" s="106">
      <c r="A324" s="138" t="inlineStr">
        <is>
          <t>PP-SEA-Y3W-TRUF</t>
        </is>
      </c>
      <c r="B324" s="138" t="inlineStr">
        <is>
          <t>Truffle-Mushroom Boscaiola</t>
        </is>
      </c>
      <c r="C324" s="138" t="inlineStr">
        <is>
          <t>Y3 Winter - Fan Favourites</t>
        </is>
      </c>
      <c r="D324" s="139" t="inlineStr">
        <is>
          <t>Sauce</t>
        </is>
      </c>
      <c r="E324" s="134" t="inlineStr">
        <is>
          <t>PP-SAUCE-BOSC</t>
        </is>
      </c>
      <c r="F324" s="113" t="inlineStr">
        <is>
          <t>Boscaiola base (CK - core)</t>
        </is>
      </c>
      <c r="G324" s="147" t="n">
        <v>155</v>
      </c>
      <c r="H324" s="164" t="inlineStr">
        <is>
          <t>g</t>
        </is>
      </c>
      <c r="I324" s="150">
        <f>IFERROR(INDEX('04 SKU Master'!$AM$5:$AM$165,MATCH($E324,'04 SKU Master'!$A$5:$A$165,0)),IFERROR(INDEX('05 Packaging Master'!$AM$5:$AM$50,MATCH($E324,'05 Packaging Master'!$A$5:$A$50,0)),IFERROR(INDEX('09 Cost Index'!$C$5:$C$24,MATCH($E324,'09 Cost Index'!$A$5:$A$24,0)),"")))</f>
        <v/>
      </c>
      <c r="J324" s="153">
        <f>'01 Control'!$C$7</f>
        <v/>
      </c>
      <c r="K324" s="150">
        <f>IF($I324="","",$G324*$I324*(1+$J324))</f>
        <v/>
      </c>
      <c r="L324" s="177">
        <f>IF(ISNUMBER(MATCH($E324,'09 Cost Index'!$A$5:$A$24,0)),"09 Cost Index",IF(ISNUMBER(MATCH($E324,'05 Packaging Master'!$A$5:$A$46,0)),"05 Packaging Master",IF(ISNUMBER(MATCH($E324,'04 SKU Master'!$A$5:$A$165,0)),"04 SKU Master","NOT FOUND")))</f>
        <v/>
      </c>
      <c r="M324" s="178">
        <f>IFERROR(INDEX('12 Final Menu'!$U$5:$U$200,MATCH($A324,'12 Final Menu'!$A$5:$A$200,0)),0)</f>
        <v/>
      </c>
      <c r="N324" s="165">
        <f>$G324*(1+$J324)*$M324*1000</f>
        <v/>
      </c>
    </row>
    <row r="325" ht="15" customHeight="1" s="106">
      <c r="A325" s="138" t="inlineStr">
        <is>
          <t>PP-SEA-Y3W-TRUF</t>
        </is>
      </c>
      <c r="B325" s="138" t="inlineStr">
        <is>
          <t>Truffle-Mushroom Boscaiola</t>
        </is>
      </c>
      <c r="C325" s="138" t="inlineStr">
        <is>
          <t>Y3 Winter - Fan Favourites</t>
        </is>
      </c>
      <c r="D325" s="139" t="inlineStr">
        <is>
          <t>Ingredient</t>
        </is>
      </c>
      <c r="E325" s="134" t="inlineStr">
        <is>
          <t>PP-KO-MSH-002</t>
        </is>
      </c>
      <c r="F325" s="113" t="inlineStr">
        <is>
          <t>King oyster mushrooms</t>
        </is>
      </c>
      <c r="G325" s="147" t="n">
        <v>55</v>
      </c>
      <c r="H325" s="164" t="inlineStr">
        <is>
          <t>g</t>
        </is>
      </c>
      <c r="I325" s="150">
        <f>IFERROR(INDEX('04 SKU Master'!$AM$5:$AM$165,MATCH($E325,'04 SKU Master'!$A$5:$A$165,0)),IFERROR(INDEX('05 Packaging Master'!$AM$5:$AM$50,MATCH($E325,'05 Packaging Master'!$A$5:$A$50,0)),IFERROR(INDEX('09 Cost Index'!$C$5:$C$24,MATCH($E325,'09 Cost Index'!$A$5:$A$24,0)),"")))</f>
        <v/>
      </c>
      <c r="J325" s="153">
        <f>'01 Control'!$C$7</f>
        <v/>
      </c>
      <c r="K325" s="150">
        <f>IF($I325="","",$G325*$I325*(1+$J325))</f>
        <v/>
      </c>
      <c r="L325" s="177">
        <f>IF(ISNUMBER(MATCH($E325,'09 Cost Index'!$A$5:$A$24,0)),"09 Cost Index",IF(ISNUMBER(MATCH($E325,'05 Packaging Master'!$A$5:$A$46,0)),"05 Packaging Master",IF(ISNUMBER(MATCH($E325,'04 SKU Master'!$A$5:$A$165,0)),"04 SKU Master","NOT FOUND")))</f>
        <v/>
      </c>
      <c r="M325" s="178">
        <f>IFERROR(INDEX('12 Final Menu'!$U$5:$U$200,MATCH($A325,'12 Final Menu'!$A$5:$A$200,0)),0)</f>
        <v/>
      </c>
      <c r="N325" s="165">
        <f>$G325*(1+$J325)*$M325*1000</f>
        <v/>
      </c>
    </row>
    <row r="326" ht="15" customHeight="1" s="106">
      <c r="A326" s="138" t="inlineStr">
        <is>
          <t>PP-SEA-Y3W-TRUF</t>
        </is>
      </c>
      <c r="B326" s="138" t="inlineStr">
        <is>
          <t>Truffle-Mushroom Boscaiola</t>
        </is>
      </c>
      <c r="C326" s="138" t="inlineStr">
        <is>
          <t>Y3 Winter - Fan Favourites</t>
        </is>
      </c>
      <c r="D326" s="139" t="inlineStr">
        <is>
          <t>Finish</t>
        </is>
      </c>
      <c r="E326" s="134" t="inlineStr">
        <is>
          <t>PP-TRUFFLE-OIL</t>
        </is>
      </c>
      <c r="F326" s="113" t="inlineStr">
        <is>
          <t>Truffle oil</t>
        </is>
      </c>
      <c r="G326" s="147" t="n">
        <v>5</v>
      </c>
      <c r="H326" s="164" t="inlineStr">
        <is>
          <t>ml</t>
        </is>
      </c>
      <c r="I326" s="150">
        <f>IFERROR(INDEX('04 SKU Master'!$AM$5:$AM$165,MATCH($E326,'04 SKU Master'!$A$5:$A$165,0)),IFERROR(INDEX('05 Packaging Master'!$AM$5:$AM$50,MATCH($E326,'05 Packaging Master'!$A$5:$A$50,0)),IFERROR(INDEX('09 Cost Index'!$C$5:$C$24,MATCH($E326,'09 Cost Index'!$A$5:$A$24,0)),"")))</f>
        <v/>
      </c>
      <c r="J326" s="153">
        <f>'01 Control'!$C$7</f>
        <v/>
      </c>
      <c r="K326" s="150">
        <f>IF($I326="","",$G326*$I326*(1+$J326))</f>
        <v/>
      </c>
      <c r="L326" s="177">
        <f>IF(ISNUMBER(MATCH($E326,'09 Cost Index'!$A$5:$A$24,0)),"09 Cost Index",IF(ISNUMBER(MATCH($E326,'05 Packaging Master'!$A$5:$A$46,0)),"05 Packaging Master",IF(ISNUMBER(MATCH($E326,'04 SKU Master'!$A$5:$A$165,0)),"04 SKU Master","NOT FOUND")))</f>
        <v/>
      </c>
      <c r="M326" s="178">
        <f>IFERROR(INDEX('12 Final Menu'!$U$5:$U$200,MATCH($A326,'12 Final Menu'!$A$5:$A$200,0)),0)</f>
        <v/>
      </c>
      <c r="N326" s="165">
        <f>$G326*(1+$J326)*$M326*1000</f>
        <v/>
      </c>
    </row>
    <row r="327" ht="15" customHeight="1" s="106">
      <c r="A327" s="138" t="inlineStr">
        <is>
          <t>PP-SEA-Y3W-TRUF</t>
        </is>
      </c>
      <c r="B327" s="138" t="inlineStr">
        <is>
          <t>Truffle-Mushroom Boscaiola</t>
        </is>
      </c>
      <c r="C327" s="138" t="inlineStr">
        <is>
          <t>Y3 Winter - Fan Favourites</t>
        </is>
      </c>
      <c r="D327" s="139" t="inlineStr">
        <is>
          <t>Packaging</t>
        </is>
      </c>
      <c r="E327" s="134" t="inlineStr">
        <is>
          <t>PP-PACK-TUB</t>
        </is>
      </c>
      <c r="F327" s="113" t="inlineStr">
        <is>
          <t>Takeaway pasta tub</t>
        </is>
      </c>
      <c r="G327" s="147" t="n">
        <v>1</v>
      </c>
      <c r="H327" s="164" t="inlineStr">
        <is>
          <t>ea</t>
        </is>
      </c>
      <c r="I327" s="150">
        <f>IFERROR(INDEX('04 SKU Master'!$AM$5:$AM$165,MATCH($E327,'04 SKU Master'!$A$5:$A$165,0)),IFERROR(INDEX('05 Packaging Master'!$AM$5:$AM$50,MATCH($E327,'05 Packaging Master'!$A$5:$A$50,0)),IFERROR(INDEX('09 Cost Index'!$C$5:$C$24,MATCH($E327,'09 Cost Index'!$A$5:$A$24,0)),"")))</f>
        <v/>
      </c>
      <c r="J327" s="153">
        <f>'01 Control'!$C$7</f>
        <v/>
      </c>
      <c r="K327" s="150">
        <f>IF($I327="","",$G327*$I327*(1+$J327))</f>
        <v/>
      </c>
      <c r="L327" s="177">
        <f>IF(ISNUMBER(MATCH($E327,'09 Cost Index'!$A$5:$A$24,0)),"09 Cost Index",IF(ISNUMBER(MATCH($E327,'05 Packaging Master'!$A$5:$A$46,0)),"05 Packaging Master",IF(ISNUMBER(MATCH($E327,'04 SKU Master'!$A$5:$A$165,0)),"04 SKU Master","NOT FOUND")))</f>
        <v/>
      </c>
      <c r="M327" s="178">
        <f>IFERROR(INDEX('12 Final Menu'!$U$5:$U$200,MATCH($A327,'12 Final Menu'!$A$5:$A$200,0)),0)</f>
        <v/>
      </c>
      <c r="N327" s="165">
        <f>$G327*(1+$J327)*$M327*1000</f>
        <v/>
      </c>
    </row>
    <row r="328" ht="15" customHeight="1" s="106">
      <c r="A328" s="138" t="inlineStr">
        <is>
          <t>PP-SEA-Y3W-TRUF</t>
        </is>
      </c>
      <c r="B328" s="138" t="inlineStr">
        <is>
          <t>Truffle-Mushroom Boscaiola</t>
        </is>
      </c>
      <c r="C328" s="138" t="inlineStr">
        <is>
          <t>Y3 Winter - Fan Favourites</t>
        </is>
      </c>
      <c r="D328" s="139" t="inlineStr">
        <is>
          <t>Packaging</t>
        </is>
      </c>
      <c r="E328" s="134" t="inlineStr">
        <is>
          <t>PP-PACK-LID</t>
        </is>
      </c>
      <c r="F328" s="113" t="inlineStr">
        <is>
          <t>Bowl lid</t>
        </is>
      </c>
      <c r="G328" s="147" t="n">
        <v>1</v>
      </c>
      <c r="H328" s="164" t="inlineStr">
        <is>
          <t>ea</t>
        </is>
      </c>
      <c r="I328" s="150">
        <f>IFERROR(INDEX('04 SKU Master'!$AM$5:$AM$165,MATCH($E328,'04 SKU Master'!$A$5:$A$165,0)),IFERROR(INDEX('05 Packaging Master'!$AM$5:$AM$50,MATCH($E328,'05 Packaging Master'!$A$5:$A$50,0)),IFERROR(INDEX('09 Cost Index'!$C$5:$C$24,MATCH($E328,'09 Cost Index'!$A$5:$A$24,0)),"")))</f>
        <v/>
      </c>
      <c r="J328" s="153">
        <f>'01 Control'!$C$7</f>
        <v/>
      </c>
      <c r="K328" s="150">
        <f>IF($I328="","",$G328*$I328*(1+$J328))</f>
        <v/>
      </c>
      <c r="L328" s="177">
        <f>IF(ISNUMBER(MATCH($E328,'09 Cost Index'!$A$5:$A$24,0)),"09 Cost Index",IF(ISNUMBER(MATCH($E328,'05 Packaging Master'!$A$5:$A$46,0)),"05 Packaging Master",IF(ISNUMBER(MATCH($E328,'04 SKU Master'!$A$5:$A$165,0)),"04 SKU Master","NOT FOUND")))</f>
        <v/>
      </c>
      <c r="M328" s="178">
        <f>IFERROR(INDEX('12 Final Menu'!$U$5:$U$200,MATCH($A328,'12 Final Menu'!$A$5:$A$200,0)),0)</f>
        <v/>
      </c>
      <c r="N328" s="165">
        <f>$G328*(1+$J328)*$M328*1000</f>
        <v/>
      </c>
    </row>
    <row r="329" ht="15" customHeight="1" s="106">
      <c r="A329" s="138" t="inlineStr">
        <is>
          <t>PP-SEA-Y3W-TRUF</t>
        </is>
      </c>
      <c r="B329" s="138" t="inlineStr">
        <is>
          <t>Truffle-Mushroom Boscaiola</t>
        </is>
      </c>
      <c r="C329" s="138" t="inlineStr">
        <is>
          <t>Y3 Winter - Fan Favourites</t>
        </is>
      </c>
      <c r="D329" s="139" t="inlineStr">
        <is>
          <t>Packaging</t>
        </is>
      </c>
      <c r="E329" s="134" t="inlineStr">
        <is>
          <t>PP-PACK-CUTLERY</t>
        </is>
      </c>
      <c r="F329" s="113" t="inlineStr">
        <is>
          <t>Cutlery set</t>
        </is>
      </c>
      <c r="G329" s="147" t="n">
        <v>1</v>
      </c>
      <c r="H329" s="164" t="inlineStr">
        <is>
          <t>ea</t>
        </is>
      </c>
      <c r="I329" s="150">
        <f>IFERROR(INDEX('04 SKU Master'!$AM$5:$AM$165,MATCH($E329,'04 SKU Master'!$A$5:$A$165,0)),IFERROR(INDEX('05 Packaging Master'!$AM$5:$AM$50,MATCH($E329,'05 Packaging Master'!$A$5:$A$50,0)),IFERROR(INDEX('09 Cost Index'!$C$5:$C$24,MATCH($E329,'09 Cost Index'!$A$5:$A$24,0)),"")))</f>
        <v/>
      </c>
      <c r="J329" s="153">
        <f>'01 Control'!$C$7</f>
        <v/>
      </c>
      <c r="K329" s="150">
        <f>IF($I329="","",$G329*$I329*(1+$J329))</f>
        <v/>
      </c>
      <c r="L329" s="177">
        <f>IF(ISNUMBER(MATCH($E329,'09 Cost Index'!$A$5:$A$24,0)),"09 Cost Index",IF(ISNUMBER(MATCH($E329,'05 Packaging Master'!$A$5:$A$46,0)),"05 Packaging Master",IF(ISNUMBER(MATCH($E329,'04 SKU Master'!$A$5:$A$165,0)),"04 SKU Master","NOT FOUND")))</f>
        <v/>
      </c>
      <c r="M329" s="178">
        <f>IFERROR(INDEX('12 Final Menu'!$U$5:$U$200,MATCH($A329,'12 Final Menu'!$A$5:$A$200,0)),0)</f>
        <v/>
      </c>
      <c r="N329" s="165">
        <f>$G329*(1+$J329)*$M329*1000</f>
        <v/>
      </c>
    </row>
    <row r="330" ht="15" customHeight="1" s="106">
      <c r="A330" s="138" t="inlineStr">
        <is>
          <t>PP-SEA-Y3W-TRUF</t>
        </is>
      </c>
      <c r="B330" s="138" t="inlineStr">
        <is>
          <t>Truffle-Mushroom Boscaiola</t>
        </is>
      </c>
      <c r="C330" s="138" t="inlineStr">
        <is>
          <t>Y3 Winter - Fan Favourites</t>
        </is>
      </c>
      <c r="D330" s="139" t="inlineStr">
        <is>
          <t>Packaging</t>
        </is>
      </c>
      <c r="E330" s="134" t="inlineStr">
        <is>
          <t>PP-PACK-NAPKIN</t>
        </is>
      </c>
      <c r="F330" s="113" t="inlineStr">
        <is>
          <t>Branded napkin</t>
        </is>
      </c>
      <c r="G330" s="147" t="n">
        <v>1</v>
      </c>
      <c r="H330" s="164" t="inlineStr">
        <is>
          <t>ea</t>
        </is>
      </c>
      <c r="I330" s="150">
        <f>IFERROR(INDEX('04 SKU Master'!$AM$5:$AM$165,MATCH($E330,'04 SKU Master'!$A$5:$A$165,0)),IFERROR(INDEX('05 Packaging Master'!$AM$5:$AM$50,MATCH($E330,'05 Packaging Master'!$A$5:$A$50,0)),IFERROR(INDEX('09 Cost Index'!$C$5:$C$24,MATCH($E330,'09 Cost Index'!$A$5:$A$24,0)),"")))</f>
        <v/>
      </c>
      <c r="J330" s="153">
        <f>'01 Control'!$C$7</f>
        <v/>
      </c>
      <c r="K330" s="150">
        <f>IF($I330="","",$G330*$I330*(1+$J330))</f>
        <v/>
      </c>
      <c r="L330" s="177">
        <f>IF(ISNUMBER(MATCH($E330,'09 Cost Index'!$A$5:$A$24,0)),"09 Cost Index",IF(ISNUMBER(MATCH($E330,'05 Packaging Master'!$A$5:$A$46,0)),"05 Packaging Master",IF(ISNUMBER(MATCH($E330,'04 SKU Master'!$A$5:$A$165,0)),"04 SKU Master","NOT FOUND")))</f>
        <v/>
      </c>
      <c r="M330" s="178">
        <f>IFERROR(INDEX('12 Final Menu'!$U$5:$U$200,MATCH($A330,'12 Final Menu'!$A$5:$A$200,0)),0)</f>
        <v/>
      </c>
      <c r="N330" s="165">
        <f>$G330*(1+$J330)*$M330*1000</f>
        <v/>
      </c>
    </row>
    <row r="331"/>
    <row r="332" ht="15" customHeight="1" s="106">
      <c r="A332" s="144" t="inlineStr">
        <is>
          <t>YEAR 3  |  Spring (Sep-Nov)  |  The Garden   -&gt;   Pea, Mint &amp; Ricotta   |   Fusilli   |   PP-SEA-Y3P-PEA</t>
        </is>
      </c>
      <c r="B332" s="110" t="n"/>
      <c r="C332" s="110" t="n"/>
      <c r="D332" s="110" t="n"/>
      <c r="E332" s="110" t="n"/>
      <c r="F332" s="110" t="n"/>
      <c r="G332" s="110" t="n"/>
      <c r="H332" s="110" t="n"/>
      <c r="I332" s="110" t="n"/>
      <c r="J332" s="110" t="n"/>
      <c r="K332" s="110" t="n"/>
      <c r="L332" s="110" t="n"/>
      <c r="M332" s="110" t="n"/>
      <c r="N332" s="111" t="n"/>
    </row>
    <row r="333" ht="15" customHeight="1" s="106">
      <c r="A333" s="138" t="inlineStr">
        <is>
          <t>PP-SEA-Y3P-PEA</t>
        </is>
      </c>
      <c r="B333" s="138" t="inlineStr">
        <is>
          <t>Pea, Mint &amp; Ricotta</t>
        </is>
      </c>
      <c r="C333" s="138" t="inlineStr">
        <is>
          <t>Y3 Spring - The Garden</t>
        </is>
      </c>
      <c r="D333" s="139" t="inlineStr">
        <is>
          <t>Pasta</t>
        </is>
      </c>
      <c r="E333" s="134" t="inlineStr">
        <is>
          <t>PP-DOUGH-BOKGAT</t>
        </is>
      </c>
      <c r="F333" s="113" t="inlineStr">
        <is>
          <t>Bokgat Base, Fusilli - dried weight</t>
        </is>
      </c>
      <c r="G333" s="147" t="n">
        <v>111</v>
      </c>
      <c r="H333" s="164" t="inlineStr">
        <is>
          <t>g</t>
        </is>
      </c>
      <c r="I333" s="150">
        <f>IFERROR(INDEX('04 SKU Master'!$AM$5:$AM$165,MATCH($E333,'04 SKU Master'!$A$5:$A$165,0)),IFERROR(INDEX('05 Packaging Master'!$AM$5:$AM$50,MATCH($E333,'05 Packaging Master'!$A$5:$A$50,0)),IFERROR(INDEX('09 Cost Index'!$C$5:$C$24,MATCH($E333,'09 Cost Index'!$A$5:$A$24,0)),"")))</f>
        <v/>
      </c>
      <c r="J333" s="153">
        <f>'01 Control'!$C$7</f>
        <v/>
      </c>
      <c r="K333" s="150">
        <f>IF($I333="","",$G333*$I333*(1+$J333))</f>
        <v/>
      </c>
      <c r="L333" s="177">
        <f>IF(ISNUMBER(MATCH($E333,'09 Cost Index'!$A$5:$A$24,0)),"09 Cost Index",IF(ISNUMBER(MATCH($E333,'05 Packaging Master'!$A$5:$A$46,0)),"05 Packaging Master",IF(ISNUMBER(MATCH($E333,'04 SKU Master'!$A$5:$A$165,0)),"04 SKU Master","NOT FOUND")))</f>
        <v/>
      </c>
      <c r="M333" s="178">
        <f>IFERROR(INDEX('12 Final Menu'!$U$5:$U$200,MATCH($A333,'12 Final Menu'!$A$5:$A$200,0)),0)</f>
        <v/>
      </c>
      <c r="N333" s="165">
        <f>$G333*(1+$J333)*$M333*1000</f>
        <v/>
      </c>
    </row>
    <row r="334" ht="15" customHeight="1" s="106">
      <c r="A334" s="138" t="inlineStr">
        <is>
          <t>PP-SEA-Y3P-PEA</t>
        </is>
      </c>
      <c r="B334" s="138" t="inlineStr">
        <is>
          <t>Pea, Mint &amp; Ricotta</t>
        </is>
      </c>
      <c r="C334" s="138" t="inlineStr">
        <is>
          <t>Y3 Spring - The Garden</t>
        </is>
      </c>
      <c r="D334" s="139" t="inlineStr">
        <is>
          <t>Sauce</t>
        </is>
      </c>
      <c r="E334" s="134" t="inlineStr">
        <is>
          <t>PP-SAUCE-ALF</t>
        </is>
      </c>
      <c r="F334" s="113" t="inlineStr">
        <is>
          <t>Creamy Alfredo base (CK - core)</t>
        </is>
      </c>
      <c r="G334" s="147" t="n">
        <v>130</v>
      </c>
      <c r="H334" s="164" t="inlineStr">
        <is>
          <t>g</t>
        </is>
      </c>
      <c r="I334" s="150">
        <f>IFERROR(INDEX('04 SKU Master'!$AM$5:$AM$165,MATCH($E334,'04 SKU Master'!$A$5:$A$165,0)),IFERROR(INDEX('05 Packaging Master'!$AM$5:$AM$50,MATCH($E334,'05 Packaging Master'!$A$5:$A$50,0)),IFERROR(INDEX('09 Cost Index'!$C$5:$C$24,MATCH($E334,'09 Cost Index'!$A$5:$A$24,0)),"")))</f>
        <v/>
      </c>
      <c r="J334" s="153">
        <f>'01 Control'!$C$7</f>
        <v/>
      </c>
      <c r="K334" s="150">
        <f>IF($I334="","",$G334*$I334*(1+$J334))</f>
        <v/>
      </c>
      <c r="L334" s="177">
        <f>IF(ISNUMBER(MATCH($E334,'09 Cost Index'!$A$5:$A$24,0)),"09 Cost Index",IF(ISNUMBER(MATCH($E334,'05 Packaging Master'!$A$5:$A$46,0)),"05 Packaging Master",IF(ISNUMBER(MATCH($E334,'04 SKU Master'!$A$5:$A$165,0)),"04 SKU Master","NOT FOUND")))</f>
        <v/>
      </c>
      <c r="M334" s="178">
        <f>IFERROR(INDEX('12 Final Menu'!$U$5:$U$200,MATCH($A334,'12 Final Menu'!$A$5:$A$200,0)),0)</f>
        <v/>
      </c>
      <c r="N334" s="165">
        <f>$G334*(1+$J334)*$M334*1000</f>
        <v/>
      </c>
    </row>
    <row r="335" ht="15" customHeight="1" s="106">
      <c r="A335" s="138" t="inlineStr">
        <is>
          <t>PP-SEA-Y3P-PEA</t>
        </is>
      </c>
      <c r="B335" s="138" t="inlineStr">
        <is>
          <t>Pea, Mint &amp; Ricotta</t>
        </is>
      </c>
      <c r="C335" s="138" t="inlineStr">
        <is>
          <t>Y3 Spring - The Garden</t>
        </is>
      </c>
      <c r="D335" s="139" t="inlineStr">
        <is>
          <t>Ingredient</t>
        </is>
      </c>
      <c r="E335" s="134" t="inlineStr">
        <is>
          <t>PP-VEG-PEAS</t>
        </is>
      </c>
      <c r="F335" s="113" t="inlineStr">
        <is>
          <t>Peas</t>
        </is>
      </c>
      <c r="G335" s="147" t="n">
        <v>60</v>
      </c>
      <c r="H335" s="164" t="inlineStr">
        <is>
          <t>g</t>
        </is>
      </c>
      <c r="I335" s="150">
        <f>IFERROR(INDEX('04 SKU Master'!$AM$5:$AM$165,MATCH($E335,'04 SKU Master'!$A$5:$A$165,0)),IFERROR(INDEX('05 Packaging Master'!$AM$5:$AM$50,MATCH($E335,'05 Packaging Master'!$A$5:$A$50,0)),IFERROR(INDEX('09 Cost Index'!$C$5:$C$24,MATCH($E335,'09 Cost Index'!$A$5:$A$24,0)),"")))</f>
        <v/>
      </c>
      <c r="J335" s="153">
        <f>'01 Control'!$C$7</f>
        <v/>
      </c>
      <c r="K335" s="150">
        <f>IF($I335="","",$G335*$I335*(1+$J335))</f>
        <v/>
      </c>
      <c r="L335" s="177">
        <f>IF(ISNUMBER(MATCH($E335,'09 Cost Index'!$A$5:$A$24,0)),"09 Cost Index",IF(ISNUMBER(MATCH($E335,'05 Packaging Master'!$A$5:$A$46,0)),"05 Packaging Master",IF(ISNUMBER(MATCH($E335,'04 SKU Master'!$A$5:$A$165,0)),"04 SKU Master","NOT FOUND")))</f>
        <v/>
      </c>
      <c r="M335" s="178">
        <f>IFERROR(INDEX('12 Final Menu'!$U$5:$U$200,MATCH($A335,'12 Final Menu'!$A$5:$A$200,0)),0)</f>
        <v/>
      </c>
      <c r="N335" s="165">
        <f>$G335*(1+$J335)*$M335*1000</f>
        <v/>
      </c>
    </row>
    <row r="336" ht="15" customHeight="1" s="106">
      <c r="A336" s="138" t="inlineStr">
        <is>
          <t>PP-SEA-Y3P-PEA</t>
        </is>
      </c>
      <c r="B336" s="138" t="inlineStr">
        <is>
          <t>Pea, Mint &amp; Ricotta</t>
        </is>
      </c>
      <c r="C336" s="138" t="inlineStr">
        <is>
          <t>Y3 Spring - The Garden</t>
        </is>
      </c>
      <c r="D336" s="139" t="inlineStr">
        <is>
          <t>Ingredient</t>
        </is>
      </c>
      <c r="E336" s="134" t="inlineStr">
        <is>
          <t>PP-RICOTTA</t>
        </is>
      </c>
      <c r="F336" s="113" t="inlineStr">
        <is>
          <t>Ricotta</t>
        </is>
      </c>
      <c r="G336" s="147" t="n">
        <v>40</v>
      </c>
      <c r="H336" s="164" t="inlineStr">
        <is>
          <t>g</t>
        </is>
      </c>
      <c r="I336" s="150">
        <f>IFERROR(INDEX('04 SKU Master'!$AM$5:$AM$165,MATCH($E336,'04 SKU Master'!$A$5:$A$165,0)),IFERROR(INDEX('05 Packaging Master'!$AM$5:$AM$50,MATCH($E336,'05 Packaging Master'!$A$5:$A$50,0)),IFERROR(INDEX('09 Cost Index'!$C$5:$C$24,MATCH($E336,'09 Cost Index'!$A$5:$A$24,0)),"")))</f>
        <v/>
      </c>
      <c r="J336" s="153">
        <f>'01 Control'!$C$7</f>
        <v/>
      </c>
      <c r="K336" s="150">
        <f>IF($I336="","",$G336*$I336*(1+$J336))</f>
        <v/>
      </c>
      <c r="L336" s="177">
        <f>IF(ISNUMBER(MATCH($E336,'09 Cost Index'!$A$5:$A$24,0)),"09 Cost Index",IF(ISNUMBER(MATCH($E336,'05 Packaging Master'!$A$5:$A$46,0)),"05 Packaging Master",IF(ISNUMBER(MATCH($E336,'04 SKU Master'!$A$5:$A$165,0)),"04 SKU Master","NOT FOUND")))</f>
        <v/>
      </c>
      <c r="M336" s="178">
        <f>IFERROR(INDEX('12 Final Menu'!$U$5:$U$200,MATCH($A336,'12 Final Menu'!$A$5:$A$200,0)),0)</f>
        <v/>
      </c>
      <c r="N336" s="165">
        <f>$G336*(1+$J336)*$M336*1000</f>
        <v/>
      </c>
    </row>
    <row r="337" ht="15" customHeight="1" s="106">
      <c r="A337" s="138" t="inlineStr">
        <is>
          <t>PP-SEA-Y3P-PEA</t>
        </is>
      </c>
      <c r="B337" s="138" t="inlineStr">
        <is>
          <t>Pea, Mint &amp; Ricotta</t>
        </is>
      </c>
      <c r="C337" s="138" t="inlineStr">
        <is>
          <t>Y3 Spring - The Garden</t>
        </is>
      </c>
      <c r="D337" s="139" t="inlineStr">
        <is>
          <t>Ingredient</t>
        </is>
      </c>
      <c r="E337" s="134" t="inlineStr">
        <is>
          <t>PP-HERB-MINT</t>
        </is>
      </c>
      <c r="F337" s="113" t="inlineStr">
        <is>
          <t>Fresh mint</t>
        </is>
      </c>
      <c r="G337" s="147" t="n">
        <v>4</v>
      </c>
      <c r="H337" s="164" t="inlineStr">
        <is>
          <t>g</t>
        </is>
      </c>
      <c r="I337" s="150">
        <f>IFERROR(INDEX('04 SKU Master'!$AM$5:$AM$165,MATCH($E337,'04 SKU Master'!$A$5:$A$165,0)),IFERROR(INDEX('05 Packaging Master'!$AM$5:$AM$50,MATCH($E337,'05 Packaging Master'!$A$5:$A$50,0)),IFERROR(INDEX('09 Cost Index'!$C$5:$C$24,MATCH($E337,'09 Cost Index'!$A$5:$A$24,0)),"")))</f>
        <v/>
      </c>
      <c r="J337" s="153">
        <f>'01 Control'!$C$7</f>
        <v/>
      </c>
      <c r="K337" s="150">
        <f>IF($I337="","",$G337*$I337*(1+$J337))</f>
        <v/>
      </c>
      <c r="L337" s="177">
        <f>IF(ISNUMBER(MATCH($E337,'09 Cost Index'!$A$5:$A$24,0)),"09 Cost Index",IF(ISNUMBER(MATCH($E337,'05 Packaging Master'!$A$5:$A$46,0)),"05 Packaging Master",IF(ISNUMBER(MATCH($E337,'04 SKU Master'!$A$5:$A$165,0)),"04 SKU Master","NOT FOUND")))</f>
        <v/>
      </c>
      <c r="M337" s="178">
        <f>IFERROR(INDEX('12 Final Menu'!$U$5:$U$200,MATCH($A337,'12 Final Menu'!$A$5:$A$200,0)),0)</f>
        <v/>
      </c>
      <c r="N337" s="165">
        <f>$G337*(1+$J337)*$M337*1000</f>
        <v/>
      </c>
    </row>
    <row r="338" ht="15" customHeight="1" s="106">
      <c r="A338" s="138" t="inlineStr">
        <is>
          <t>PP-SEA-Y3P-PEA</t>
        </is>
      </c>
      <c r="B338" s="138" t="inlineStr">
        <is>
          <t>Pea, Mint &amp; Ricotta</t>
        </is>
      </c>
      <c r="C338" s="138" t="inlineStr">
        <is>
          <t>Y3 Spring - The Garden</t>
        </is>
      </c>
      <c r="D338" s="139" t="inlineStr">
        <is>
          <t>Packaging</t>
        </is>
      </c>
      <c r="E338" s="134" t="inlineStr">
        <is>
          <t>PP-PACK-TUB</t>
        </is>
      </c>
      <c r="F338" s="113" t="inlineStr">
        <is>
          <t>Takeaway pasta tub</t>
        </is>
      </c>
      <c r="G338" s="147" t="n">
        <v>1</v>
      </c>
      <c r="H338" s="164" t="inlineStr">
        <is>
          <t>ea</t>
        </is>
      </c>
      <c r="I338" s="150">
        <f>IFERROR(INDEX('04 SKU Master'!$AM$5:$AM$165,MATCH($E338,'04 SKU Master'!$A$5:$A$165,0)),IFERROR(INDEX('05 Packaging Master'!$AM$5:$AM$50,MATCH($E338,'05 Packaging Master'!$A$5:$A$50,0)),IFERROR(INDEX('09 Cost Index'!$C$5:$C$24,MATCH($E338,'09 Cost Index'!$A$5:$A$24,0)),"")))</f>
        <v/>
      </c>
      <c r="J338" s="153">
        <f>'01 Control'!$C$7</f>
        <v/>
      </c>
      <c r="K338" s="150">
        <f>IF($I338="","",$G338*$I338*(1+$J338))</f>
        <v/>
      </c>
      <c r="L338" s="177">
        <f>IF(ISNUMBER(MATCH($E338,'09 Cost Index'!$A$5:$A$24,0)),"09 Cost Index",IF(ISNUMBER(MATCH($E338,'05 Packaging Master'!$A$5:$A$46,0)),"05 Packaging Master",IF(ISNUMBER(MATCH($E338,'04 SKU Master'!$A$5:$A$165,0)),"04 SKU Master","NOT FOUND")))</f>
        <v/>
      </c>
      <c r="M338" s="178">
        <f>IFERROR(INDEX('12 Final Menu'!$U$5:$U$200,MATCH($A338,'12 Final Menu'!$A$5:$A$200,0)),0)</f>
        <v/>
      </c>
      <c r="N338" s="165">
        <f>$G338*(1+$J338)*$M338*1000</f>
        <v/>
      </c>
    </row>
    <row r="339" ht="15" customHeight="1" s="106">
      <c r="A339" s="138" t="inlineStr">
        <is>
          <t>PP-SEA-Y3P-PEA</t>
        </is>
      </c>
      <c r="B339" s="138" t="inlineStr">
        <is>
          <t>Pea, Mint &amp; Ricotta</t>
        </is>
      </c>
      <c r="C339" s="138" t="inlineStr">
        <is>
          <t>Y3 Spring - The Garden</t>
        </is>
      </c>
      <c r="D339" s="139" t="inlineStr">
        <is>
          <t>Packaging</t>
        </is>
      </c>
      <c r="E339" s="134" t="inlineStr">
        <is>
          <t>PP-PACK-LID</t>
        </is>
      </c>
      <c r="F339" s="113" t="inlineStr">
        <is>
          <t>Bowl lid</t>
        </is>
      </c>
      <c r="G339" s="147" t="n">
        <v>1</v>
      </c>
      <c r="H339" s="164" t="inlineStr">
        <is>
          <t>ea</t>
        </is>
      </c>
      <c r="I339" s="150">
        <f>IFERROR(INDEX('04 SKU Master'!$AM$5:$AM$165,MATCH($E339,'04 SKU Master'!$A$5:$A$165,0)),IFERROR(INDEX('05 Packaging Master'!$AM$5:$AM$50,MATCH($E339,'05 Packaging Master'!$A$5:$A$50,0)),IFERROR(INDEX('09 Cost Index'!$C$5:$C$24,MATCH($E339,'09 Cost Index'!$A$5:$A$24,0)),"")))</f>
        <v/>
      </c>
      <c r="J339" s="153">
        <f>'01 Control'!$C$7</f>
        <v/>
      </c>
      <c r="K339" s="150">
        <f>IF($I339="","",$G339*$I339*(1+$J339))</f>
        <v/>
      </c>
      <c r="L339" s="177">
        <f>IF(ISNUMBER(MATCH($E339,'09 Cost Index'!$A$5:$A$24,0)),"09 Cost Index",IF(ISNUMBER(MATCH($E339,'05 Packaging Master'!$A$5:$A$46,0)),"05 Packaging Master",IF(ISNUMBER(MATCH($E339,'04 SKU Master'!$A$5:$A$165,0)),"04 SKU Master","NOT FOUND")))</f>
        <v/>
      </c>
      <c r="M339" s="178">
        <f>IFERROR(INDEX('12 Final Menu'!$U$5:$U$200,MATCH($A339,'12 Final Menu'!$A$5:$A$200,0)),0)</f>
        <v/>
      </c>
      <c r="N339" s="165">
        <f>$G339*(1+$J339)*$M339*1000</f>
        <v/>
      </c>
    </row>
    <row r="340" ht="15" customHeight="1" s="106">
      <c r="A340" s="138" t="inlineStr">
        <is>
          <t>PP-SEA-Y3P-PEA</t>
        </is>
      </c>
      <c r="B340" s="138" t="inlineStr">
        <is>
          <t>Pea, Mint &amp; Ricotta</t>
        </is>
      </c>
      <c r="C340" s="138" t="inlineStr">
        <is>
          <t>Y3 Spring - The Garden</t>
        </is>
      </c>
      <c r="D340" s="139" t="inlineStr">
        <is>
          <t>Packaging</t>
        </is>
      </c>
      <c r="E340" s="134" t="inlineStr">
        <is>
          <t>PP-PACK-CUTLERY</t>
        </is>
      </c>
      <c r="F340" s="113" t="inlineStr">
        <is>
          <t>Cutlery set</t>
        </is>
      </c>
      <c r="G340" s="147" t="n">
        <v>1</v>
      </c>
      <c r="H340" s="164" t="inlineStr">
        <is>
          <t>ea</t>
        </is>
      </c>
      <c r="I340" s="150">
        <f>IFERROR(INDEX('04 SKU Master'!$AM$5:$AM$165,MATCH($E340,'04 SKU Master'!$A$5:$A$165,0)),IFERROR(INDEX('05 Packaging Master'!$AM$5:$AM$50,MATCH($E340,'05 Packaging Master'!$A$5:$A$50,0)),IFERROR(INDEX('09 Cost Index'!$C$5:$C$24,MATCH($E340,'09 Cost Index'!$A$5:$A$24,0)),"")))</f>
        <v/>
      </c>
      <c r="J340" s="153">
        <f>'01 Control'!$C$7</f>
        <v/>
      </c>
      <c r="K340" s="150">
        <f>IF($I340="","",$G340*$I340*(1+$J340))</f>
        <v/>
      </c>
      <c r="L340" s="177">
        <f>IF(ISNUMBER(MATCH($E340,'09 Cost Index'!$A$5:$A$24,0)),"09 Cost Index",IF(ISNUMBER(MATCH($E340,'05 Packaging Master'!$A$5:$A$46,0)),"05 Packaging Master",IF(ISNUMBER(MATCH($E340,'04 SKU Master'!$A$5:$A$165,0)),"04 SKU Master","NOT FOUND")))</f>
        <v/>
      </c>
      <c r="M340" s="178">
        <f>IFERROR(INDEX('12 Final Menu'!$U$5:$U$200,MATCH($A340,'12 Final Menu'!$A$5:$A$200,0)),0)</f>
        <v/>
      </c>
      <c r="N340" s="165">
        <f>$G340*(1+$J340)*$M340*1000</f>
        <v/>
      </c>
    </row>
    <row r="341" ht="15" customHeight="1" s="106">
      <c r="A341" s="138" t="inlineStr">
        <is>
          <t>PP-SEA-Y3P-PEA</t>
        </is>
      </c>
      <c r="B341" s="138" t="inlineStr">
        <is>
          <t>Pea, Mint &amp; Ricotta</t>
        </is>
      </c>
      <c r="C341" s="138" t="inlineStr">
        <is>
          <t>Y3 Spring - The Garden</t>
        </is>
      </c>
      <c r="D341" s="139" t="inlineStr">
        <is>
          <t>Packaging</t>
        </is>
      </c>
      <c r="E341" s="134" t="inlineStr">
        <is>
          <t>PP-PACK-NAPKIN</t>
        </is>
      </c>
      <c r="F341" s="113" t="inlineStr">
        <is>
          <t>Branded napkin</t>
        </is>
      </c>
      <c r="G341" s="147" t="n">
        <v>1</v>
      </c>
      <c r="H341" s="164" t="inlineStr">
        <is>
          <t>ea</t>
        </is>
      </c>
      <c r="I341" s="150">
        <f>IFERROR(INDEX('04 SKU Master'!$AM$5:$AM$165,MATCH($E341,'04 SKU Master'!$A$5:$A$165,0)),IFERROR(INDEX('05 Packaging Master'!$AM$5:$AM$50,MATCH($E341,'05 Packaging Master'!$A$5:$A$50,0)),IFERROR(INDEX('09 Cost Index'!$C$5:$C$24,MATCH($E341,'09 Cost Index'!$A$5:$A$24,0)),"")))</f>
        <v/>
      </c>
      <c r="J341" s="153">
        <f>'01 Control'!$C$7</f>
        <v/>
      </c>
      <c r="K341" s="150">
        <f>IF($I341="","",$G341*$I341*(1+$J341))</f>
        <v/>
      </c>
      <c r="L341" s="177">
        <f>IF(ISNUMBER(MATCH($E341,'09 Cost Index'!$A$5:$A$24,0)),"09 Cost Index",IF(ISNUMBER(MATCH($E341,'05 Packaging Master'!$A$5:$A$46,0)),"05 Packaging Master",IF(ISNUMBER(MATCH($E341,'04 SKU Master'!$A$5:$A$165,0)),"04 SKU Master","NOT FOUND")))</f>
        <v/>
      </c>
      <c r="M341" s="178">
        <f>IFERROR(INDEX('12 Final Menu'!$U$5:$U$200,MATCH($A341,'12 Final Menu'!$A$5:$A$200,0)),0)</f>
        <v/>
      </c>
      <c r="N341" s="165">
        <f>$G341*(1+$J341)*$M341*1000</f>
        <v/>
      </c>
    </row>
    <row r="342"/>
    <row r="343" ht="15" customHeight="1" s="106">
      <c r="A343" s="144" t="inlineStr">
        <is>
          <t>YEAR 3  |  Spring (Sep-Nov)  |  The Garden   -&gt;   Roast Veg Primavera   |   Casarecce   |   PP-SEA-Y3P-PRIM</t>
        </is>
      </c>
      <c r="B343" s="110" t="n"/>
      <c r="C343" s="110" t="n"/>
      <c r="D343" s="110" t="n"/>
      <c r="E343" s="110" t="n"/>
      <c r="F343" s="110" t="n"/>
      <c r="G343" s="110" t="n"/>
      <c r="H343" s="110" t="n"/>
      <c r="I343" s="110" t="n"/>
      <c r="J343" s="110" t="n"/>
      <c r="K343" s="110" t="n"/>
      <c r="L343" s="110" t="n"/>
      <c r="M343" s="110" t="n"/>
      <c r="N343" s="111" t="n"/>
    </row>
    <row r="344" ht="15" customHeight="1" s="106">
      <c r="A344" s="138" t="inlineStr">
        <is>
          <t>PP-SEA-Y3P-PRIM</t>
        </is>
      </c>
      <c r="B344" s="138" t="inlineStr">
        <is>
          <t>Roast Veg Primavera</t>
        </is>
      </c>
      <c r="C344" s="138" t="inlineStr">
        <is>
          <t>Y3 Spring - The Garden</t>
        </is>
      </c>
      <c r="D344" s="139" t="inlineStr">
        <is>
          <t>Pasta</t>
        </is>
      </c>
      <c r="E344" s="134" t="inlineStr">
        <is>
          <t>PP-DOUGH-CHICKPEA</t>
        </is>
      </c>
      <c r="F344" s="113" t="inlineStr">
        <is>
          <t>Chickpea Power Pro, Casarecce - dried weight</t>
        </is>
      </c>
      <c r="G344" s="147" t="n">
        <v>111</v>
      </c>
      <c r="H344" s="164" t="inlineStr">
        <is>
          <t>g</t>
        </is>
      </c>
      <c r="I344" s="150">
        <f>IFERROR(INDEX('04 SKU Master'!$AM$5:$AM$165,MATCH($E344,'04 SKU Master'!$A$5:$A$165,0)),IFERROR(INDEX('05 Packaging Master'!$AM$5:$AM$50,MATCH($E344,'05 Packaging Master'!$A$5:$A$50,0)),IFERROR(INDEX('09 Cost Index'!$C$5:$C$24,MATCH($E344,'09 Cost Index'!$A$5:$A$24,0)),"")))</f>
        <v/>
      </c>
      <c r="J344" s="153">
        <f>'01 Control'!$C$7</f>
        <v/>
      </c>
      <c r="K344" s="150">
        <f>IF($I344="","",$G344*$I344*(1+$J344))</f>
        <v/>
      </c>
      <c r="L344" s="177">
        <f>IF(ISNUMBER(MATCH($E344,'09 Cost Index'!$A$5:$A$24,0)),"09 Cost Index",IF(ISNUMBER(MATCH($E344,'05 Packaging Master'!$A$5:$A$46,0)),"05 Packaging Master",IF(ISNUMBER(MATCH($E344,'04 SKU Master'!$A$5:$A$165,0)),"04 SKU Master","NOT FOUND")))</f>
        <v/>
      </c>
      <c r="M344" s="178">
        <f>IFERROR(INDEX('12 Final Menu'!$U$5:$U$200,MATCH($A344,'12 Final Menu'!$A$5:$A$200,0)),0)</f>
        <v/>
      </c>
      <c r="N344" s="165">
        <f>$G344*(1+$J344)*$M344*1000</f>
        <v/>
      </c>
    </row>
    <row r="345" ht="15" customHeight="1" s="106">
      <c r="A345" s="138" t="inlineStr">
        <is>
          <t>PP-SEA-Y3P-PRIM</t>
        </is>
      </c>
      <c r="B345" s="138" t="inlineStr">
        <is>
          <t>Roast Veg Primavera</t>
        </is>
      </c>
      <c r="C345" s="138" t="inlineStr">
        <is>
          <t>Y3 Spring - The Garden</t>
        </is>
      </c>
      <c r="D345" s="139" t="inlineStr">
        <is>
          <t>Sauce</t>
        </is>
      </c>
      <c r="E345" s="134" t="inlineStr">
        <is>
          <t>PP-SAUCE-ALO</t>
        </is>
      </c>
      <c r="F345" s="113" t="inlineStr">
        <is>
          <t>Aglio e Olio Kit base (CK - core)</t>
        </is>
      </c>
      <c r="G345" s="147" t="n">
        <v>35</v>
      </c>
      <c r="H345" s="164" t="inlineStr">
        <is>
          <t>g</t>
        </is>
      </c>
      <c r="I345" s="150">
        <f>IFERROR(INDEX('04 SKU Master'!$AM$5:$AM$165,MATCH($E345,'04 SKU Master'!$A$5:$A$165,0)),IFERROR(INDEX('05 Packaging Master'!$AM$5:$AM$50,MATCH($E345,'05 Packaging Master'!$A$5:$A$50,0)),IFERROR(INDEX('09 Cost Index'!$C$5:$C$24,MATCH($E345,'09 Cost Index'!$A$5:$A$24,0)),"")))</f>
        <v/>
      </c>
      <c r="J345" s="153">
        <f>'01 Control'!$C$7</f>
        <v/>
      </c>
      <c r="K345" s="150">
        <f>IF($I345="","",$G345*$I345*(1+$J345))</f>
        <v/>
      </c>
      <c r="L345" s="177">
        <f>IF(ISNUMBER(MATCH($E345,'09 Cost Index'!$A$5:$A$24,0)),"09 Cost Index",IF(ISNUMBER(MATCH($E345,'05 Packaging Master'!$A$5:$A$46,0)),"05 Packaging Master",IF(ISNUMBER(MATCH($E345,'04 SKU Master'!$A$5:$A$165,0)),"04 SKU Master","NOT FOUND")))</f>
        <v/>
      </c>
      <c r="M345" s="178">
        <f>IFERROR(INDEX('12 Final Menu'!$U$5:$U$200,MATCH($A345,'12 Final Menu'!$A$5:$A$200,0)),0)</f>
        <v/>
      </c>
      <c r="N345" s="165">
        <f>$G345*(1+$J345)*$M345*1000</f>
        <v/>
      </c>
    </row>
    <row r="346" ht="15" customHeight="1" s="106">
      <c r="A346" s="138" t="inlineStr">
        <is>
          <t>PP-SEA-Y3P-PRIM</t>
        </is>
      </c>
      <c r="B346" s="138" t="inlineStr">
        <is>
          <t>Roast Veg Primavera</t>
        </is>
      </c>
      <c r="C346" s="138" t="inlineStr">
        <is>
          <t>Y3 Spring - The Garden</t>
        </is>
      </c>
      <c r="D346" s="139" t="inlineStr">
        <is>
          <t>Ingredient</t>
        </is>
      </c>
      <c r="E346" s="134" t="inlineStr">
        <is>
          <t>PP-VEG-ZUCCHINI</t>
        </is>
      </c>
      <c r="F346" s="113" t="inlineStr">
        <is>
          <t>Baby marrow</t>
        </is>
      </c>
      <c r="G346" s="147" t="n">
        <v>50</v>
      </c>
      <c r="H346" s="164" t="inlineStr">
        <is>
          <t>g</t>
        </is>
      </c>
      <c r="I346" s="150">
        <f>IFERROR(INDEX('04 SKU Master'!$AM$5:$AM$165,MATCH($E346,'04 SKU Master'!$A$5:$A$165,0)),IFERROR(INDEX('05 Packaging Master'!$AM$5:$AM$50,MATCH($E346,'05 Packaging Master'!$A$5:$A$50,0)),IFERROR(INDEX('09 Cost Index'!$C$5:$C$24,MATCH($E346,'09 Cost Index'!$A$5:$A$24,0)),"")))</f>
        <v/>
      </c>
      <c r="J346" s="153">
        <f>'01 Control'!$C$7</f>
        <v/>
      </c>
      <c r="K346" s="150">
        <f>IF($I346="","",$G346*$I346*(1+$J346))</f>
        <v/>
      </c>
      <c r="L346" s="177">
        <f>IF(ISNUMBER(MATCH($E346,'09 Cost Index'!$A$5:$A$24,0)),"09 Cost Index",IF(ISNUMBER(MATCH($E346,'05 Packaging Master'!$A$5:$A$46,0)),"05 Packaging Master",IF(ISNUMBER(MATCH($E346,'04 SKU Master'!$A$5:$A$165,0)),"04 SKU Master","NOT FOUND")))</f>
        <v/>
      </c>
      <c r="M346" s="178">
        <f>IFERROR(INDEX('12 Final Menu'!$U$5:$U$200,MATCH($A346,'12 Final Menu'!$A$5:$A$200,0)),0)</f>
        <v/>
      </c>
      <c r="N346" s="165">
        <f>$G346*(1+$J346)*$M346*1000</f>
        <v/>
      </c>
    </row>
    <row r="347" ht="15" customHeight="1" s="106">
      <c r="A347" s="138" t="inlineStr">
        <is>
          <t>PP-SEA-Y3P-PRIM</t>
        </is>
      </c>
      <c r="B347" s="138" t="inlineStr">
        <is>
          <t>Roast Veg Primavera</t>
        </is>
      </c>
      <c r="C347" s="138" t="inlineStr">
        <is>
          <t>Y3 Spring - The Garden</t>
        </is>
      </c>
      <c r="D347" s="139" t="inlineStr">
        <is>
          <t>Ingredient</t>
        </is>
      </c>
      <c r="E347" s="134" t="inlineStr">
        <is>
          <t>PP-VEG-PEPPER</t>
        </is>
      </c>
      <c r="F347" s="113" t="inlineStr">
        <is>
          <t>Peppers</t>
        </is>
      </c>
      <c r="G347" s="147" t="n">
        <v>45</v>
      </c>
      <c r="H347" s="164" t="inlineStr">
        <is>
          <t>g</t>
        </is>
      </c>
      <c r="I347" s="150">
        <f>IFERROR(INDEX('04 SKU Master'!$AM$5:$AM$165,MATCH($E347,'04 SKU Master'!$A$5:$A$165,0)),IFERROR(INDEX('05 Packaging Master'!$AM$5:$AM$50,MATCH($E347,'05 Packaging Master'!$A$5:$A$50,0)),IFERROR(INDEX('09 Cost Index'!$C$5:$C$24,MATCH($E347,'09 Cost Index'!$A$5:$A$24,0)),"")))</f>
        <v/>
      </c>
      <c r="J347" s="153">
        <f>'01 Control'!$C$7</f>
        <v/>
      </c>
      <c r="K347" s="150">
        <f>IF($I347="","",$G347*$I347*(1+$J347))</f>
        <v/>
      </c>
      <c r="L347" s="177">
        <f>IF(ISNUMBER(MATCH($E347,'09 Cost Index'!$A$5:$A$24,0)),"09 Cost Index",IF(ISNUMBER(MATCH($E347,'05 Packaging Master'!$A$5:$A$46,0)),"05 Packaging Master",IF(ISNUMBER(MATCH($E347,'04 SKU Master'!$A$5:$A$165,0)),"04 SKU Master","NOT FOUND")))</f>
        <v/>
      </c>
      <c r="M347" s="178">
        <f>IFERROR(INDEX('12 Final Menu'!$U$5:$U$200,MATCH($A347,'12 Final Menu'!$A$5:$A$200,0)),0)</f>
        <v/>
      </c>
      <c r="N347" s="165">
        <f>$G347*(1+$J347)*$M347*1000</f>
        <v/>
      </c>
    </row>
    <row r="348" ht="15" customHeight="1" s="106">
      <c r="A348" s="138" t="inlineStr">
        <is>
          <t>PP-SEA-Y3P-PRIM</t>
        </is>
      </c>
      <c r="B348" s="138" t="inlineStr">
        <is>
          <t>Roast Veg Primavera</t>
        </is>
      </c>
      <c r="C348" s="138" t="inlineStr">
        <is>
          <t>Y3 Spring - The Garden</t>
        </is>
      </c>
      <c r="D348" s="139" t="inlineStr">
        <is>
          <t>Ingredient</t>
        </is>
      </c>
      <c r="E348" s="134" t="inlineStr">
        <is>
          <t>PP-VEG-GREENBEAN</t>
        </is>
      </c>
      <c r="F348" s="113" t="inlineStr">
        <is>
          <t>Green beans</t>
        </is>
      </c>
      <c r="G348" s="147" t="n">
        <v>40</v>
      </c>
      <c r="H348" s="164" t="inlineStr">
        <is>
          <t>g</t>
        </is>
      </c>
      <c r="I348" s="150">
        <f>IFERROR(INDEX('04 SKU Master'!$AM$5:$AM$165,MATCH($E348,'04 SKU Master'!$A$5:$A$165,0)),IFERROR(INDEX('05 Packaging Master'!$AM$5:$AM$50,MATCH($E348,'05 Packaging Master'!$A$5:$A$50,0)),IFERROR(INDEX('09 Cost Index'!$C$5:$C$24,MATCH($E348,'09 Cost Index'!$A$5:$A$24,0)),"")))</f>
        <v/>
      </c>
      <c r="J348" s="153">
        <f>'01 Control'!$C$7</f>
        <v/>
      </c>
      <c r="K348" s="150">
        <f>IF($I348="","",$G348*$I348*(1+$J348))</f>
        <v/>
      </c>
      <c r="L348" s="177">
        <f>IF(ISNUMBER(MATCH($E348,'09 Cost Index'!$A$5:$A$24,0)),"09 Cost Index",IF(ISNUMBER(MATCH($E348,'05 Packaging Master'!$A$5:$A$46,0)),"05 Packaging Master",IF(ISNUMBER(MATCH($E348,'04 SKU Master'!$A$5:$A$165,0)),"04 SKU Master","NOT FOUND")))</f>
        <v/>
      </c>
      <c r="M348" s="178">
        <f>IFERROR(INDEX('12 Final Menu'!$U$5:$U$200,MATCH($A348,'12 Final Menu'!$A$5:$A$200,0)),0)</f>
        <v/>
      </c>
      <c r="N348" s="165">
        <f>$G348*(1+$J348)*$M348*1000</f>
        <v/>
      </c>
    </row>
    <row r="349" ht="15" customHeight="1" s="106">
      <c r="A349" s="138" t="inlineStr">
        <is>
          <t>PP-SEA-Y3P-PRIM</t>
        </is>
      </c>
      <c r="B349" s="138" t="inlineStr">
        <is>
          <t>Roast Veg Primavera</t>
        </is>
      </c>
      <c r="C349" s="138" t="inlineStr">
        <is>
          <t>Y3 Spring - The Garden</t>
        </is>
      </c>
      <c r="D349" s="139" t="inlineStr">
        <is>
          <t>Packaging</t>
        </is>
      </c>
      <c r="E349" s="134" t="inlineStr">
        <is>
          <t>PP-PACK-TUB</t>
        </is>
      </c>
      <c r="F349" s="113" t="inlineStr">
        <is>
          <t>Takeaway pasta tub</t>
        </is>
      </c>
      <c r="G349" s="147" t="n">
        <v>1</v>
      </c>
      <c r="H349" s="164" t="inlineStr">
        <is>
          <t>ea</t>
        </is>
      </c>
      <c r="I349" s="150">
        <f>IFERROR(INDEX('04 SKU Master'!$AM$5:$AM$165,MATCH($E349,'04 SKU Master'!$A$5:$A$165,0)),IFERROR(INDEX('05 Packaging Master'!$AM$5:$AM$50,MATCH($E349,'05 Packaging Master'!$A$5:$A$50,0)),IFERROR(INDEX('09 Cost Index'!$C$5:$C$24,MATCH($E349,'09 Cost Index'!$A$5:$A$24,0)),"")))</f>
        <v/>
      </c>
      <c r="J349" s="153">
        <f>'01 Control'!$C$7</f>
        <v/>
      </c>
      <c r="K349" s="150">
        <f>IF($I349="","",$G349*$I349*(1+$J349))</f>
        <v/>
      </c>
      <c r="L349" s="177">
        <f>IF(ISNUMBER(MATCH($E349,'09 Cost Index'!$A$5:$A$24,0)),"09 Cost Index",IF(ISNUMBER(MATCH($E349,'05 Packaging Master'!$A$5:$A$46,0)),"05 Packaging Master",IF(ISNUMBER(MATCH($E349,'04 SKU Master'!$A$5:$A$165,0)),"04 SKU Master","NOT FOUND")))</f>
        <v/>
      </c>
      <c r="M349" s="178">
        <f>IFERROR(INDEX('12 Final Menu'!$U$5:$U$200,MATCH($A349,'12 Final Menu'!$A$5:$A$200,0)),0)</f>
        <v/>
      </c>
      <c r="N349" s="165">
        <f>$G349*(1+$J349)*$M349*1000</f>
        <v/>
      </c>
    </row>
    <row r="350" ht="15" customHeight="1" s="106">
      <c r="A350" s="138" t="inlineStr">
        <is>
          <t>PP-SEA-Y3P-PRIM</t>
        </is>
      </c>
      <c r="B350" s="138" t="inlineStr">
        <is>
          <t>Roast Veg Primavera</t>
        </is>
      </c>
      <c r="C350" s="138" t="inlineStr">
        <is>
          <t>Y3 Spring - The Garden</t>
        </is>
      </c>
      <c r="D350" s="139" t="inlineStr">
        <is>
          <t>Packaging</t>
        </is>
      </c>
      <c r="E350" s="134" t="inlineStr">
        <is>
          <t>PP-PACK-LID</t>
        </is>
      </c>
      <c r="F350" s="113" t="inlineStr">
        <is>
          <t>Bowl lid</t>
        </is>
      </c>
      <c r="G350" s="147" t="n">
        <v>1</v>
      </c>
      <c r="H350" s="164" t="inlineStr">
        <is>
          <t>ea</t>
        </is>
      </c>
      <c r="I350" s="150">
        <f>IFERROR(INDEX('04 SKU Master'!$AM$5:$AM$165,MATCH($E350,'04 SKU Master'!$A$5:$A$165,0)),IFERROR(INDEX('05 Packaging Master'!$AM$5:$AM$50,MATCH($E350,'05 Packaging Master'!$A$5:$A$50,0)),IFERROR(INDEX('09 Cost Index'!$C$5:$C$24,MATCH($E350,'09 Cost Index'!$A$5:$A$24,0)),"")))</f>
        <v/>
      </c>
      <c r="J350" s="153">
        <f>'01 Control'!$C$7</f>
        <v/>
      </c>
      <c r="K350" s="150">
        <f>IF($I350="","",$G350*$I350*(1+$J350))</f>
        <v/>
      </c>
      <c r="L350" s="177">
        <f>IF(ISNUMBER(MATCH($E350,'09 Cost Index'!$A$5:$A$24,0)),"09 Cost Index",IF(ISNUMBER(MATCH($E350,'05 Packaging Master'!$A$5:$A$46,0)),"05 Packaging Master",IF(ISNUMBER(MATCH($E350,'04 SKU Master'!$A$5:$A$165,0)),"04 SKU Master","NOT FOUND")))</f>
        <v/>
      </c>
      <c r="M350" s="178">
        <f>IFERROR(INDEX('12 Final Menu'!$U$5:$U$200,MATCH($A350,'12 Final Menu'!$A$5:$A$200,0)),0)</f>
        <v/>
      </c>
      <c r="N350" s="165">
        <f>$G350*(1+$J350)*$M350*1000</f>
        <v/>
      </c>
    </row>
    <row r="351" ht="15" customHeight="1" s="106">
      <c r="A351" s="138" t="inlineStr">
        <is>
          <t>PP-SEA-Y3P-PRIM</t>
        </is>
      </c>
      <c r="B351" s="138" t="inlineStr">
        <is>
          <t>Roast Veg Primavera</t>
        </is>
      </c>
      <c r="C351" s="138" t="inlineStr">
        <is>
          <t>Y3 Spring - The Garden</t>
        </is>
      </c>
      <c r="D351" s="139" t="inlineStr">
        <is>
          <t>Packaging</t>
        </is>
      </c>
      <c r="E351" s="134" t="inlineStr">
        <is>
          <t>PP-PACK-CUTLERY</t>
        </is>
      </c>
      <c r="F351" s="113" t="inlineStr">
        <is>
          <t>Cutlery set</t>
        </is>
      </c>
      <c r="G351" s="147" t="n">
        <v>1</v>
      </c>
      <c r="H351" s="164" t="inlineStr">
        <is>
          <t>ea</t>
        </is>
      </c>
      <c r="I351" s="150">
        <f>IFERROR(INDEX('04 SKU Master'!$AM$5:$AM$165,MATCH($E351,'04 SKU Master'!$A$5:$A$165,0)),IFERROR(INDEX('05 Packaging Master'!$AM$5:$AM$50,MATCH($E351,'05 Packaging Master'!$A$5:$A$50,0)),IFERROR(INDEX('09 Cost Index'!$C$5:$C$24,MATCH($E351,'09 Cost Index'!$A$5:$A$24,0)),"")))</f>
        <v/>
      </c>
      <c r="J351" s="153">
        <f>'01 Control'!$C$7</f>
        <v/>
      </c>
      <c r="K351" s="150">
        <f>IF($I351="","",$G351*$I351*(1+$J351))</f>
        <v/>
      </c>
      <c r="L351" s="177">
        <f>IF(ISNUMBER(MATCH($E351,'09 Cost Index'!$A$5:$A$24,0)),"09 Cost Index",IF(ISNUMBER(MATCH($E351,'05 Packaging Master'!$A$5:$A$46,0)),"05 Packaging Master",IF(ISNUMBER(MATCH($E351,'04 SKU Master'!$A$5:$A$165,0)),"04 SKU Master","NOT FOUND")))</f>
        <v/>
      </c>
      <c r="M351" s="178">
        <f>IFERROR(INDEX('12 Final Menu'!$U$5:$U$200,MATCH($A351,'12 Final Menu'!$A$5:$A$200,0)),0)</f>
        <v/>
      </c>
      <c r="N351" s="165">
        <f>$G351*(1+$J351)*$M351*1000</f>
        <v/>
      </c>
    </row>
    <row r="352" ht="15" customHeight="1" s="106">
      <c r="A352" s="138" t="inlineStr">
        <is>
          <t>PP-SEA-Y3P-PRIM</t>
        </is>
      </c>
      <c r="B352" s="138" t="inlineStr">
        <is>
          <t>Roast Veg Primavera</t>
        </is>
      </c>
      <c r="C352" s="138" t="inlineStr">
        <is>
          <t>Y3 Spring - The Garden</t>
        </is>
      </c>
      <c r="D352" s="139" t="inlineStr">
        <is>
          <t>Packaging</t>
        </is>
      </c>
      <c r="E352" s="134" t="inlineStr">
        <is>
          <t>PP-PACK-NAPKIN</t>
        </is>
      </c>
      <c r="F352" s="113" t="inlineStr">
        <is>
          <t>Branded napkin</t>
        </is>
      </c>
      <c r="G352" s="147" t="n">
        <v>1</v>
      </c>
      <c r="H352" s="164" t="inlineStr">
        <is>
          <t>ea</t>
        </is>
      </c>
      <c r="I352" s="150">
        <f>IFERROR(INDEX('04 SKU Master'!$AM$5:$AM$165,MATCH($E352,'04 SKU Master'!$A$5:$A$165,0)),IFERROR(INDEX('05 Packaging Master'!$AM$5:$AM$50,MATCH($E352,'05 Packaging Master'!$A$5:$A$50,0)),IFERROR(INDEX('09 Cost Index'!$C$5:$C$24,MATCH($E352,'09 Cost Index'!$A$5:$A$24,0)),"")))</f>
        <v/>
      </c>
      <c r="J352" s="153">
        <f>'01 Control'!$C$7</f>
        <v/>
      </c>
      <c r="K352" s="150">
        <f>IF($I352="","",$G352*$I352*(1+$J352))</f>
        <v/>
      </c>
      <c r="L352" s="177">
        <f>IF(ISNUMBER(MATCH($E352,'09 Cost Index'!$A$5:$A$24,0)),"09 Cost Index",IF(ISNUMBER(MATCH($E352,'05 Packaging Master'!$A$5:$A$46,0)),"05 Packaging Master",IF(ISNUMBER(MATCH($E352,'04 SKU Master'!$A$5:$A$165,0)),"04 SKU Master","NOT FOUND")))</f>
        <v/>
      </c>
      <c r="M352" s="178">
        <f>IFERROR(INDEX('12 Final Menu'!$U$5:$U$200,MATCH($A352,'12 Final Menu'!$A$5:$A$200,0)),0)</f>
        <v/>
      </c>
      <c r="N352" s="165">
        <f>$G352*(1+$J352)*$M352*1000</f>
        <v/>
      </c>
    </row>
    <row r="353"/>
    <row r="354" ht="15" customHeight="1" s="106">
      <c r="A354" s="144" t="inlineStr">
        <is>
          <t>YEAR 3  |  Spring (Sep-Nov)  |  The Garden   -&gt;   Pesto &amp; Asparagus   |   Casarecce   |   PP-SEA-Y3P-ASPA</t>
        </is>
      </c>
      <c r="B354" s="110" t="n"/>
      <c r="C354" s="110" t="n"/>
      <c r="D354" s="110" t="n"/>
      <c r="E354" s="110" t="n"/>
      <c r="F354" s="110" t="n"/>
      <c r="G354" s="110" t="n"/>
      <c r="H354" s="110" t="n"/>
      <c r="I354" s="110" t="n"/>
      <c r="J354" s="110" t="n"/>
      <c r="K354" s="110" t="n"/>
      <c r="L354" s="110" t="n"/>
      <c r="M354" s="110" t="n"/>
      <c r="N354" s="111" t="n"/>
    </row>
    <row r="355" ht="15" customHeight="1" s="106">
      <c r="A355" s="138" t="inlineStr">
        <is>
          <t>PP-SEA-Y3P-ASPA</t>
        </is>
      </c>
      <c r="B355" s="138" t="inlineStr">
        <is>
          <t>Pesto &amp; Asparagus</t>
        </is>
      </c>
      <c r="C355" s="138" t="inlineStr">
        <is>
          <t>Y3 Spring - The Garden</t>
        </is>
      </c>
      <c r="D355" s="139" t="inlineStr">
        <is>
          <t>Pasta</t>
        </is>
      </c>
      <c r="E355" s="134" t="inlineStr">
        <is>
          <t>PP-DOUGH-PROTEIN</t>
        </is>
      </c>
      <c r="F355" s="113" t="inlineStr">
        <is>
          <t>Protein+ Pro, Casarecce - dried weight</t>
        </is>
      </c>
      <c r="G355" s="147" t="n">
        <v>111</v>
      </c>
      <c r="H355" s="164" t="inlineStr">
        <is>
          <t>g</t>
        </is>
      </c>
      <c r="I355" s="150">
        <f>IFERROR(INDEX('04 SKU Master'!$AM$5:$AM$165,MATCH($E355,'04 SKU Master'!$A$5:$A$165,0)),IFERROR(INDEX('05 Packaging Master'!$AM$5:$AM$50,MATCH($E355,'05 Packaging Master'!$A$5:$A$50,0)),IFERROR(INDEX('09 Cost Index'!$C$5:$C$24,MATCH($E355,'09 Cost Index'!$A$5:$A$24,0)),"")))</f>
        <v/>
      </c>
      <c r="J355" s="153">
        <f>'01 Control'!$C$7</f>
        <v/>
      </c>
      <c r="K355" s="150">
        <f>IF($I355="","",$G355*$I355*(1+$J355))</f>
        <v/>
      </c>
      <c r="L355" s="177">
        <f>IF(ISNUMBER(MATCH($E355,'09 Cost Index'!$A$5:$A$24,0)),"09 Cost Index",IF(ISNUMBER(MATCH($E355,'05 Packaging Master'!$A$5:$A$46,0)),"05 Packaging Master",IF(ISNUMBER(MATCH($E355,'04 SKU Master'!$A$5:$A$165,0)),"04 SKU Master","NOT FOUND")))</f>
        <v/>
      </c>
      <c r="M355" s="178">
        <f>IFERROR(INDEX('12 Final Menu'!$U$5:$U$200,MATCH($A355,'12 Final Menu'!$A$5:$A$200,0)),0)</f>
        <v/>
      </c>
      <c r="N355" s="165">
        <f>$G355*(1+$J355)*$M355*1000</f>
        <v/>
      </c>
    </row>
    <row r="356" ht="15" customHeight="1" s="106">
      <c r="A356" s="138" t="inlineStr">
        <is>
          <t>PP-SEA-Y3P-ASPA</t>
        </is>
      </c>
      <c r="B356" s="138" t="inlineStr">
        <is>
          <t>Pesto &amp; Asparagus</t>
        </is>
      </c>
      <c r="C356" s="138" t="inlineStr">
        <is>
          <t>Y3 Spring - The Garden</t>
        </is>
      </c>
      <c r="D356" s="139" t="inlineStr">
        <is>
          <t>Sauce</t>
        </is>
      </c>
      <c r="E356" s="134" t="inlineStr">
        <is>
          <t>PP-SAUCE-PES</t>
        </is>
      </c>
      <c r="F356" s="113" t="inlineStr">
        <is>
          <t>Basil Pesto base (CK - core)</t>
        </is>
      </c>
      <c r="G356" s="147" t="n">
        <v>70</v>
      </c>
      <c r="H356" s="164" t="inlineStr">
        <is>
          <t>g</t>
        </is>
      </c>
      <c r="I356" s="150">
        <f>IFERROR(INDEX('04 SKU Master'!$AM$5:$AM$165,MATCH($E356,'04 SKU Master'!$A$5:$A$165,0)),IFERROR(INDEX('05 Packaging Master'!$AM$5:$AM$50,MATCH($E356,'05 Packaging Master'!$A$5:$A$50,0)),IFERROR(INDEX('09 Cost Index'!$C$5:$C$24,MATCH($E356,'09 Cost Index'!$A$5:$A$24,0)),"")))</f>
        <v/>
      </c>
      <c r="J356" s="153">
        <f>'01 Control'!$C$7</f>
        <v/>
      </c>
      <c r="K356" s="150">
        <f>IF($I356="","",$G356*$I356*(1+$J356))</f>
        <v/>
      </c>
      <c r="L356" s="177">
        <f>IF(ISNUMBER(MATCH($E356,'09 Cost Index'!$A$5:$A$24,0)),"09 Cost Index",IF(ISNUMBER(MATCH($E356,'05 Packaging Master'!$A$5:$A$46,0)),"05 Packaging Master",IF(ISNUMBER(MATCH($E356,'04 SKU Master'!$A$5:$A$165,0)),"04 SKU Master","NOT FOUND")))</f>
        <v/>
      </c>
      <c r="M356" s="178">
        <f>IFERROR(INDEX('12 Final Menu'!$U$5:$U$200,MATCH($A356,'12 Final Menu'!$A$5:$A$200,0)),0)</f>
        <v/>
      </c>
      <c r="N356" s="165">
        <f>$G356*(1+$J356)*$M356*1000</f>
        <v/>
      </c>
    </row>
    <row r="357" ht="15" customHeight="1" s="106">
      <c r="A357" s="138" t="inlineStr">
        <is>
          <t>PP-SEA-Y3P-ASPA</t>
        </is>
      </c>
      <c r="B357" s="138" t="inlineStr">
        <is>
          <t>Pesto &amp; Asparagus</t>
        </is>
      </c>
      <c r="C357" s="138" t="inlineStr">
        <is>
          <t>Y3 Spring - The Garden</t>
        </is>
      </c>
      <c r="D357" s="139" t="inlineStr">
        <is>
          <t>Ingredient</t>
        </is>
      </c>
      <c r="E357" s="134" t="inlineStr">
        <is>
          <t>PP-VEG-ASPARAGUS</t>
        </is>
      </c>
      <c r="F357" s="113" t="inlineStr">
        <is>
          <t>Asparagus</t>
        </is>
      </c>
      <c r="G357" s="147" t="n">
        <v>70</v>
      </c>
      <c r="H357" s="164" t="inlineStr">
        <is>
          <t>g</t>
        </is>
      </c>
      <c r="I357" s="150">
        <f>IFERROR(INDEX('04 SKU Master'!$AM$5:$AM$165,MATCH($E357,'04 SKU Master'!$A$5:$A$165,0)),IFERROR(INDEX('05 Packaging Master'!$AM$5:$AM$50,MATCH($E357,'05 Packaging Master'!$A$5:$A$50,0)),IFERROR(INDEX('09 Cost Index'!$C$5:$C$24,MATCH($E357,'09 Cost Index'!$A$5:$A$24,0)),"")))</f>
        <v/>
      </c>
      <c r="J357" s="153">
        <f>'01 Control'!$C$7</f>
        <v/>
      </c>
      <c r="K357" s="150">
        <f>IF($I357="","",$G357*$I357*(1+$J357))</f>
        <v/>
      </c>
      <c r="L357" s="177">
        <f>IF(ISNUMBER(MATCH($E357,'09 Cost Index'!$A$5:$A$24,0)),"09 Cost Index",IF(ISNUMBER(MATCH($E357,'05 Packaging Master'!$A$5:$A$46,0)),"05 Packaging Master",IF(ISNUMBER(MATCH($E357,'04 SKU Master'!$A$5:$A$165,0)),"04 SKU Master","NOT FOUND")))</f>
        <v/>
      </c>
      <c r="M357" s="178">
        <f>IFERROR(INDEX('12 Final Menu'!$U$5:$U$200,MATCH($A357,'12 Final Menu'!$A$5:$A$200,0)),0)</f>
        <v/>
      </c>
      <c r="N357" s="165">
        <f>$G357*(1+$J357)*$M357*1000</f>
        <v/>
      </c>
    </row>
    <row r="358" ht="15" customHeight="1" s="106">
      <c r="A358" s="138" t="inlineStr">
        <is>
          <t>PP-SEA-Y3P-ASPA</t>
        </is>
      </c>
      <c r="B358" s="138" t="inlineStr">
        <is>
          <t>Pesto &amp; Asparagus</t>
        </is>
      </c>
      <c r="C358" s="138" t="inlineStr">
        <is>
          <t>Y3 Spring - The Garden</t>
        </is>
      </c>
      <c r="D358" s="139" t="inlineStr">
        <is>
          <t>Packaging</t>
        </is>
      </c>
      <c r="E358" s="134" t="inlineStr">
        <is>
          <t>PP-PACK-TUB</t>
        </is>
      </c>
      <c r="F358" s="113" t="inlineStr">
        <is>
          <t>Takeaway pasta tub</t>
        </is>
      </c>
      <c r="G358" s="147" t="n">
        <v>1</v>
      </c>
      <c r="H358" s="164" t="inlineStr">
        <is>
          <t>ea</t>
        </is>
      </c>
      <c r="I358" s="150">
        <f>IFERROR(INDEX('04 SKU Master'!$AM$5:$AM$165,MATCH($E358,'04 SKU Master'!$A$5:$A$165,0)),IFERROR(INDEX('05 Packaging Master'!$AM$5:$AM$50,MATCH($E358,'05 Packaging Master'!$A$5:$A$50,0)),IFERROR(INDEX('09 Cost Index'!$C$5:$C$24,MATCH($E358,'09 Cost Index'!$A$5:$A$24,0)),"")))</f>
        <v/>
      </c>
      <c r="J358" s="153">
        <f>'01 Control'!$C$7</f>
        <v/>
      </c>
      <c r="K358" s="150">
        <f>IF($I358="","",$G358*$I358*(1+$J358))</f>
        <v/>
      </c>
      <c r="L358" s="177">
        <f>IF(ISNUMBER(MATCH($E358,'09 Cost Index'!$A$5:$A$24,0)),"09 Cost Index",IF(ISNUMBER(MATCH($E358,'05 Packaging Master'!$A$5:$A$46,0)),"05 Packaging Master",IF(ISNUMBER(MATCH($E358,'04 SKU Master'!$A$5:$A$165,0)),"04 SKU Master","NOT FOUND")))</f>
        <v/>
      </c>
      <c r="M358" s="178">
        <f>IFERROR(INDEX('12 Final Menu'!$U$5:$U$200,MATCH($A358,'12 Final Menu'!$A$5:$A$200,0)),0)</f>
        <v/>
      </c>
      <c r="N358" s="165">
        <f>$G358*(1+$J358)*$M358*1000</f>
        <v/>
      </c>
    </row>
    <row r="359" ht="15" customHeight="1" s="106">
      <c r="A359" s="138" t="inlineStr">
        <is>
          <t>PP-SEA-Y3P-ASPA</t>
        </is>
      </c>
      <c r="B359" s="138" t="inlineStr">
        <is>
          <t>Pesto &amp; Asparagus</t>
        </is>
      </c>
      <c r="C359" s="138" t="inlineStr">
        <is>
          <t>Y3 Spring - The Garden</t>
        </is>
      </c>
      <c r="D359" s="139" t="inlineStr">
        <is>
          <t>Packaging</t>
        </is>
      </c>
      <c r="E359" s="134" t="inlineStr">
        <is>
          <t>PP-PACK-LID</t>
        </is>
      </c>
      <c r="F359" s="113" t="inlineStr">
        <is>
          <t>Bowl lid</t>
        </is>
      </c>
      <c r="G359" s="147" t="n">
        <v>1</v>
      </c>
      <c r="H359" s="164" t="inlineStr">
        <is>
          <t>ea</t>
        </is>
      </c>
      <c r="I359" s="150">
        <f>IFERROR(INDEX('04 SKU Master'!$AM$5:$AM$165,MATCH($E359,'04 SKU Master'!$A$5:$A$165,0)),IFERROR(INDEX('05 Packaging Master'!$AM$5:$AM$50,MATCH($E359,'05 Packaging Master'!$A$5:$A$50,0)),IFERROR(INDEX('09 Cost Index'!$C$5:$C$24,MATCH($E359,'09 Cost Index'!$A$5:$A$24,0)),"")))</f>
        <v/>
      </c>
      <c r="J359" s="153">
        <f>'01 Control'!$C$7</f>
        <v/>
      </c>
      <c r="K359" s="150">
        <f>IF($I359="","",$G359*$I359*(1+$J359))</f>
        <v/>
      </c>
      <c r="L359" s="177">
        <f>IF(ISNUMBER(MATCH($E359,'09 Cost Index'!$A$5:$A$24,0)),"09 Cost Index",IF(ISNUMBER(MATCH($E359,'05 Packaging Master'!$A$5:$A$46,0)),"05 Packaging Master",IF(ISNUMBER(MATCH($E359,'04 SKU Master'!$A$5:$A$165,0)),"04 SKU Master","NOT FOUND")))</f>
        <v/>
      </c>
      <c r="M359" s="178">
        <f>IFERROR(INDEX('12 Final Menu'!$U$5:$U$200,MATCH($A359,'12 Final Menu'!$A$5:$A$200,0)),0)</f>
        <v/>
      </c>
      <c r="N359" s="165">
        <f>$G359*(1+$J359)*$M359*1000</f>
        <v/>
      </c>
    </row>
    <row r="360" ht="15" customHeight="1" s="106">
      <c r="A360" s="138" t="inlineStr">
        <is>
          <t>PP-SEA-Y3P-ASPA</t>
        </is>
      </c>
      <c r="B360" s="138" t="inlineStr">
        <is>
          <t>Pesto &amp; Asparagus</t>
        </is>
      </c>
      <c r="C360" s="138" t="inlineStr">
        <is>
          <t>Y3 Spring - The Garden</t>
        </is>
      </c>
      <c r="D360" s="139" t="inlineStr">
        <is>
          <t>Packaging</t>
        </is>
      </c>
      <c r="E360" s="134" t="inlineStr">
        <is>
          <t>PP-PACK-CUTLERY</t>
        </is>
      </c>
      <c r="F360" s="113" t="inlineStr">
        <is>
          <t>Cutlery set</t>
        </is>
      </c>
      <c r="G360" s="147" t="n">
        <v>1</v>
      </c>
      <c r="H360" s="164" t="inlineStr">
        <is>
          <t>ea</t>
        </is>
      </c>
      <c r="I360" s="150">
        <f>IFERROR(INDEX('04 SKU Master'!$AM$5:$AM$165,MATCH($E360,'04 SKU Master'!$A$5:$A$165,0)),IFERROR(INDEX('05 Packaging Master'!$AM$5:$AM$50,MATCH($E360,'05 Packaging Master'!$A$5:$A$50,0)),IFERROR(INDEX('09 Cost Index'!$C$5:$C$24,MATCH($E360,'09 Cost Index'!$A$5:$A$24,0)),"")))</f>
        <v/>
      </c>
      <c r="J360" s="153">
        <f>'01 Control'!$C$7</f>
        <v/>
      </c>
      <c r="K360" s="150">
        <f>IF($I360="","",$G360*$I360*(1+$J360))</f>
        <v/>
      </c>
      <c r="L360" s="177">
        <f>IF(ISNUMBER(MATCH($E360,'09 Cost Index'!$A$5:$A$24,0)),"09 Cost Index",IF(ISNUMBER(MATCH($E360,'05 Packaging Master'!$A$5:$A$46,0)),"05 Packaging Master",IF(ISNUMBER(MATCH($E360,'04 SKU Master'!$A$5:$A$165,0)),"04 SKU Master","NOT FOUND")))</f>
        <v/>
      </c>
      <c r="M360" s="178">
        <f>IFERROR(INDEX('12 Final Menu'!$U$5:$U$200,MATCH($A360,'12 Final Menu'!$A$5:$A$200,0)),0)</f>
        <v/>
      </c>
      <c r="N360" s="165">
        <f>$G360*(1+$J360)*$M360*1000</f>
        <v/>
      </c>
    </row>
    <row r="361" ht="15" customHeight="1" s="106">
      <c r="A361" s="138" t="inlineStr">
        <is>
          <t>PP-SEA-Y3P-ASPA</t>
        </is>
      </c>
      <c r="B361" s="138" t="inlineStr">
        <is>
          <t>Pesto &amp; Asparagus</t>
        </is>
      </c>
      <c r="C361" s="138" t="inlineStr">
        <is>
          <t>Y3 Spring - The Garden</t>
        </is>
      </c>
      <c r="D361" s="139" t="inlineStr">
        <is>
          <t>Packaging</t>
        </is>
      </c>
      <c r="E361" s="134" t="inlineStr">
        <is>
          <t>PP-PACK-NAPKIN</t>
        </is>
      </c>
      <c r="F361" s="113" t="inlineStr">
        <is>
          <t>Branded napkin</t>
        </is>
      </c>
      <c r="G361" s="147" t="n">
        <v>1</v>
      </c>
      <c r="H361" s="164" t="inlineStr">
        <is>
          <t>ea</t>
        </is>
      </c>
      <c r="I361" s="150">
        <f>IFERROR(INDEX('04 SKU Master'!$AM$5:$AM$165,MATCH($E361,'04 SKU Master'!$A$5:$A$165,0)),IFERROR(INDEX('05 Packaging Master'!$AM$5:$AM$50,MATCH($E361,'05 Packaging Master'!$A$5:$A$50,0)),IFERROR(INDEX('09 Cost Index'!$C$5:$C$24,MATCH($E361,'09 Cost Index'!$A$5:$A$24,0)),"")))</f>
        <v/>
      </c>
      <c r="J361" s="153">
        <f>'01 Control'!$C$7</f>
        <v/>
      </c>
      <c r="K361" s="150">
        <f>IF($I361="","",$G361*$I361*(1+$J361))</f>
        <v/>
      </c>
      <c r="L361" s="177">
        <f>IF(ISNUMBER(MATCH($E361,'09 Cost Index'!$A$5:$A$24,0)),"09 Cost Index",IF(ISNUMBER(MATCH($E361,'05 Packaging Master'!$A$5:$A$46,0)),"05 Packaging Master",IF(ISNUMBER(MATCH($E361,'04 SKU Master'!$A$5:$A$165,0)),"04 SKU Master","NOT FOUND")))</f>
        <v/>
      </c>
      <c r="M361" s="178">
        <f>IFERROR(INDEX('12 Final Menu'!$U$5:$U$200,MATCH($A361,'12 Final Menu'!$A$5:$A$200,0)),0)</f>
        <v/>
      </c>
      <c r="N361" s="165">
        <f>$G361*(1+$J361)*$M361*1000</f>
        <v/>
      </c>
    </row>
  </sheetData>
  <sheetProtection selectLockedCells="0" selectUnlockedCells="0" sheet="1" objects="0" insertRows="1" insertHyperlinks="1" autoFilter="0" scenarios="0" formatColumns="0" deleteColumns="1" insertColumns="1" pivotTables="1" deleteRows="1" formatCells="0" formatRows="0" sort="0"/>
  <autoFilter ref="A4:N363"/>
  <mergeCells count="38">
    <mergeCell ref="A211:N211"/>
    <mergeCell ref="A92:N92"/>
    <mergeCell ref="A130:N130"/>
    <mergeCell ref="A201:N201"/>
    <mergeCell ref="A15:N15"/>
    <mergeCell ref="A260:N260"/>
    <mergeCell ref="A182:N182"/>
    <mergeCell ref="A343:N343"/>
    <mergeCell ref="A250:N250"/>
    <mergeCell ref="A1:N1"/>
    <mergeCell ref="A221:N221"/>
    <mergeCell ref="A25:N25"/>
    <mergeCell ref="A354:N354"/>
    <mergeCell ref="A37:N37"/>
    <mergeCell ref="A292:N292"/>
    <mergeCell ref="A75:N75"/>
    <mergeCell ref="A84:N84"/>
    <mergeCell ref="A66:N66"/>
    <mergeCell ref="A282:N282"/>
    <mergeCell ref="A120:N120"/>
    <mergeCell ref="A192:N192"/>
    <mergeCell ref="A272:N272"/>
    <mergeCell ref="A2:N2"/>
    <mergeCell ref="A57:N57"/>
    <mergeCell ref="A322:N322"/>
    <mergeCell ref="A47:N47"/>
    <mergeCell ref="A5:N5"/>
    <mergeCell ref="A303:N303"/>
    <mergeCell ref="A312:N312"/>
    <mergeCell ref="A140:N140"/>
    <mergeCell ref="A231:N231"/>
    <mergeCell ref="A240:N240"/>
    <mergeCell ref="A171:N171"/>
    <mergeCell ref="A161:N161"/>
    <mergeCell ref="A332:N332"/>
    <mergeCell ref="A152:N152"/>
    <mergeCell ref="A111:N111"/>
    <mergeCell ref="A102:N10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AB92"/>
  <sheetViews>
    <sheetView showFormulas="0" showGridLines="0" showRowColHeaders="1" showZeros="1" rightToLeft="0" tabSelected="0" showOutlineSymbols="1" defaultGridColor="1"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baseColWidth="8" defaultColWidth="8.6796875" defaultRowHeight="15" zeroHeight="0" outlineLevelRow="0"/>
  <cols>
    <col width="22" customWidth="1" style="105" min="1" max="1"/>
    <col width="34" customWidth="1" style="105" min="2" max="2"/>
    <col width="24" customWidth="1" style="105" min="3" max="3"/>
    <col width="22" customWidth="1" style="105" min="4" max="4"/>
    <col width="12" customWidth="1" style="105" min="5" max="5"/>
    <col width="20" customWidth="1" style="105" min="6" max="6"/>
    <col width="22" customWidth="1" style="105" min="7" max="7"/>
    <col width="13" customWidth="1" style="105" min="8" max="9"/>
    <col width="14" customWidth="1" style="105" min="10" max="10"/>
    <col width="13" customWidth="1" style="105" min="11" max="11"/>
    <col width="14" customWidth="1" style="105" min="12" max="12"/>
    <col width="10" customWidth="1" style="105" min="13" max="13"/>
    <col width="15" customWidth="1" style="105" min="14" max="17"/>
    <col width="10" customWidth="1" style="105" min="18" max="18"/>
    <col width="11" customWidth="1" style="105" min="19" max="19"/>
    <col width="32" customWidth="1" style="105" min="20" max="20"/>
    <col width="11" customWidth="1" style="105" min="21" max="21"/>
    <col width="12" customWidth="1" style="105" min="22" max="24"/>
    <col width="15" customWidth="1" style="105" min="25" max="27"/>
    <col width="24" customWidth="1" style="105" min="28" max="28"/>
  </cols>
  <sheetData>
    <row r="1" ht="30" customHeight="1" s="106">
      <c r="A1" s="107" t="inlineStr">
        <is>
          <t>FINAL MENU  -  COST, GROSS PROFIT AND SELLING PRICE</t>
        </is>
      </c>
    </row>
    <row r="2" ht="18" customHeight="1" s="106">
      <c r="A2" s="108" t="inlineStr">
        <is>
          <t>The answer sheet. Recommended prices are calculated from the target GP on 01 Control. APPROVED SELL IS NOW PRE-LOADED with Set B (the Menu Concepts pack), adopted 6 Sep 2026 - column AB says where each price came from. Overtype any of them and FINAL SELL follows. You sign off the prices - the model only shows you the maths.</t>
        </is>
      </c>
    </row>
    <row r="4" ht="15" customHeight="1" s="106">
      <c r="A4" s="109" t="inlineStr">
        <is>
          <t>TIER 1  -  THE NINE SIGNATURE DISHES</t>
        </is>
      </c>
      <c r="B4" s="110" t="n"/>
      <c r="C4" s="110" t="n"/>
      <c r="D4" s="110" t="n"/>
      <c r="E4" s="110" t="n"/>
      <c r="F4" s="110" t="n"/>
      <c r="G4" s="110" t="n"/>
      <c r="H4" s="110" t="n"/>
      <c r="I4" s="110" t="n"/>
      <c r="J4" s="110" t="n"/>
      <c r="K4" s="110" t="n"/>
      <c r="L4" s="110" t="n"/>
      <c r="M4" s="110" t="n"/>
      <c r="N4" s="110" t="n"/>
      <c r="O4" s="110" t="n"/>
      <c r="P4" s="110" t="n"/>
      <c r="Q4" s="110" t="n"/>
      <c r="R4" s="110" t="n"/>
      <c r="S4" s="110" t="n"/>
      <c r="T4" s="110" t="n"/>
      <c r="U4" s="110" t="n"/>
      <c r="V4" s="110" t="n"/>
      <c r="W4" s="110" t="n"/>
      <c r="X4" s="110" t="n"/>
      <c r="Y4" s="110" t="n"/>
      <c r="Z4" s="110" t="n"/>
      <c r="AA4" s="110" t="n"/>
      <c r="AB4" s="111" t="n"/>
    </row>
    <row r="5" ht="43.5" customHeight="1" s="106">
      <c r="A5" s="112" t="inlineStr">
        <is>
          <t>Menu SKU</t>
        </is>
      </c>
      <c r="B5" s="112" t="inlineStr">
        <is>
          <t>Menu Item</t>
        </is>
      </c>
      <c r="C5" s="112" t="inlineStr">
        <is>
          <t>Tier / Group</t>
        </is>
      </c>
      <c r="D5" s="112" t="inlineStr">
        <is>
          <t>Season / Drop</t>
        </is>
      </c>
      <c r="E5" s="112" t="inlineStr">
        <is>
          <t>Shape</t>
        </is>
      </c>
      <c r="F5" s="112" t="inlineStr">
        <is>
          <t>Pasta Formula</t>
        </is>
      </c>
      <c r="G5" s="112" t="inlineStr">
        <is>
          <t>Base Sauce</t>
        </is>
      </c>
      <c r="H5" s="112" t="inlineStr">
        <is>
          <t>Food Cost</t>
        </is>
      </c>
      <c r="I5" s="112" t="inlineStr">
        <is>
          <t>Packaging
Cost</t>
        </is>
      </c>
      <c r="J5" s="112" t="inlineStr">
        <is>
          <t>Total Direct
Cost</t>
        </is>
      </c>
      <c r="K5" s="112" t="inlineStr">
        <is>
          <t>Store Labour
Allowance</t>
        </is>
      </c>
      <c r="L5" s="112" t="inlineStr">
        <is>
          <t>Fully Loaded
Cost</t>
        </is>
      </c>
      <c r="M5" s="112" t="inlineStr">
        <is>
          <t>Target
GP%</t>
        </is>
      </c>
      <c r="N5" s="112" t="inlineStr">
        <is>
          <t>Recommended
Sell (excl VAT)</t>
        </is>
      </c>
      <c r="O5" s="112" t="inlineStr">
        <is>
          <t>Recommended
Sell (incl VAT)</t>
        </is>
      </c>
      <c r="P5" s="112" t="inlineStr">
        <is>
          <t>Approved Sell
(incl VAT)</t>
        </is>
      </c>
      <c r="Q5" s="112" t="inlineStr">
        <is>
          <t>FINAL SELL
(incl VAT)</t>
        </is>
      </c>
      <c r="R5" s="112" t="inlineStr">
        <is>
          <t>Actual
GP%</t>
        </is>
      </c>
      <c r="S5" s="112" t="inlineStr">
        <is>
          <t>Lines
Unpriced</t>
        </is>
      </c>
      <c r="T5" s="112" t="inlineStr">
        <is>
          <t>Cost Status</t>
        </is>
      </c>
      <c r="U5" s="112" t="inlineStr">
        <is>
          <t>MENU
MIX %</t>
        </is>
      </c>
      <c r="V5" s="112" t="inlineStr">
        <is>
          <t>GP% at
Price A</t>
        </is>
      </c>
      <c r="W5" s="112" t="inlineStr">
        <is>
          <t>GP% at
Price B</t>
        </is>
      </c>
      <c r="X5" s="112" t="inlineStr">
        <is>
          <t>GP% at
Price C</t>
        </is>
      </c>
      <c r="Y5" s="112" t="inlineStr">
        <is>
          <t>Weighted
Revenue</t>
        </is>
      </c>
      <c r="Z5" s="112" t="inlineStr">
        <is>
          <t>Weighted
Food Cost</t>
        </is>
      </c>
      <c r="AA5" s="112" t="inlineStr">
        <is>
          <t>Weighted
Packaging</t>
        </is>
      </c>
      <c r="AB5" s="112" t="inlineStr">
        <is>
          <t>Approved Price
Source</t>
        </is>
      </c>
    </row>
    <row r="6" ht="15" customHeight="1" s="106">
      <c r="A6" s="134" t="inlineStr">
        <is>
          <t>PP-PASTA-RIG-BOL</t>
        </is>
      </c>
      <c r="B6" s="113" t="inlineStr">
        <is>
          <t>Papa's Bolognese</t>
        </is>
      </c>
      <c r="C6" s="138" t="inlineStr">
        <is>
          <t>Core - Signature</t>
        </is>
      </c>
      <c r="D6" s="138" t="inlineStr">
        <is>
          <t>Permanent</t>
        </is>
      </c>
      <c r="E6" s="180" t="inlineStr">
        <is>
          <t>Rigatoni</t>
        </is>
      </c>
      <c r="F6" s="138" t="inlineStr">
        <is>
          <t>Bokgat Base</t>
        </is>
      </c>
      <c r="G6" s="138" t="inlineStr">
        <is>
          <t>Papa's Bolognese</t>
        </is>
      </c>
      <c r="H6" s="150">
        <f>SUMIFS('10 Core Menu BOM'!$K$5:$K$300,'10 Core Menu BOM'!$A$5:$A$300,$A6)-$I6</f>
        <v/>
      </c>
      <c r="I6" s="150">
        <f>SUMIFS('10 Core Menu BOM'!$K$5:$K$300,'10 Core Menu BOM'!$A$5:$A$300,$A6,'10 Core Menu BOM'!$D$5:$D$300,"Packaging")</f>
        <v/>
      </c>
      <c r="J6" s="181">
        <f>$H6+$I6</f>
        <v/>
      </c>
      <c r="K6" s="150">
        <f>$H6*'01 Control'!$C$16</f>
        <v/>
      </c>
      <c r="L6" s="150">
        <f>$J6+$K6</f>
        <v/>
      </c>
      <c r="M6" s="153">
        <f>'01 Control'!$C$17</f>
        <v/>
      </c>
      <c r="N6" s="150">
        <f>IF($J6=0,"",$J6/(1-$M6))</f>
        <v/>
      </c>
      <c r="O6" s="150">
        <f>IF($N6="","",$N6*(1+'01 Control'!$C$6))</f>
        <v/>
      </c>
      <c r="P6" s="148" t="n">
        <v>85</v>
      </c>
      <c r="Q6" s="151">
        <f>IF(N($P6)&gt;0,$P6,IF($O6="","",$O6))</f>
        <v/>
      </c>
      <c r="R6" s="182">
        <f>IF(OR($Q6="",$Q6=0),"",($Q6/(1+'01 Control'!$C$6)-$J6)/($Q6/(1+'01 Control'!$C$6)))</f>
        <v/>
      </c>
      <c r="S6" s="152">
        <f>COUNTIFS('10 Core Menu BOM'!$A$5:$A$300,$A6)-COUNTIFS('10 Core Menu BOM'!$A$5:$A$300,$A6,'10 Core Menu BOM'!$I$5:$I$300,"&gt;=0")</f>
        <v/>
      </c>
      <c r="T6" s="162">
        <f>IF($S6&gt;0,"INCOMPLETE - "&amp;$S6&amp;" line(s) unpriced",IF($J6=0,"BOM COST MISSING",IF($R6&lt;$M6-0.02,"BELOW GP TARGET","READY")))</f>
        <v/>
      </c>
      <c r="U6" s="146" t="n">
        <v>0.14</v>
      </c>
      <c r="V6" s="153">
        <f>IF($J6=0,"",('01 Control'!$C$29/(1+'01 Control'!$C$6)-$J6)/('01 Control'!$C$29/(1+'01 Control'!$C$6)))</f>
        <v/>
      </c>
      <c r="W6" s="153">
        <f>IF($J6=0,"",('01 Control'!$C$30/(1+'01 Control'!$C$6)-$J6)/('01 Control'!$C$30/(1+'01 Control'!$C$6)))</f>
        <v/>
      </c>
      <c r="X6" s="153">
        <f>IF($J6=0,"",('01 Control'!$C$31/(1+'01 Control'!$C$6)-$J6)/('01 Control'!$C$31/(1+'01 Control'!$C$6)))</f>
        <v/>
      </c>
      <c r="Y6" s="183">
        <f>IF(ISNUMBER($Q6),$Q6,0)*N($U6)</f>
        <v/>
      </c>
      <c r="Z6" s="183">
        <f>IF(ISNUMBER($H6),$H6,0)*N($U6)</f>
        <v/>
      </c>
      <c r="AA6" s="183">
        <f>IF(ISNUMBER($I6),$I6,0)*N($U6)</f>
        <v/>
      </c>
      <c r="AB6" s="184" t="inlineStr">
        <is>
          <t>Set B - Menu Concepts</t>
        </is>
      </c>
    </row>
    <row r="7" ht="15" customHeight="1" s="106">
      <c r="A7" s="134" t="inlineStr">
        <is>
          <t>PP-PASTA-SPA-CAR</t>
        </is>
      </c>
      <c r="B7" s="113" t="inlineStr">
        <is>
          <t>The Carbonara</t>
        </is>
      </c>
      <c r="C7" s="138" t="inlineStr">
        <is>
          <t>Core - Signature</t>
        </is>
      </c>
      <c r="D7" s="138" t="inlineStr">
        <is>
          <t>Permanent</t>
        </is>
      </c>
      <c r="E7" s="180" t="inlineStr">
        <is>
          <t>Spaghetti</t>
        </is>
      </c>
      <c r="F7" s="138" t="inlineStr">
        <is>
          <t>Bokgat Base</t>
        </is>
      </c>
      <c r="G7" s="138" t="inlineStr">
        <is>
          <t>Carbonara Base</t>
        </is>
      </c>
      <c r="H7" s="150">
        <f>SUMIFS('10 Core Menu BOM'!$K$5:$K$300,'10 Core Menu BOM'!$A$5:$A$300,$A7)-$I7</f>
        <v/>
      </c>
      <c r="I7" s="150">
        <f>SUMIFS('10 Core Menu BOM'!$K$5:$K$300,'10 Core Menu BOM'!$A$5:$A$300,$A7,'10 Core Menu BOM'!$D$5:$D$300,"Packaging")</f>
        <v/>
      </c>
      <c r="J7" s="181">
        <f>$H7+$I7</f>
        <v/>
      </c>
      <c r="K7" s="150">
        <f>$H7*'01 Control'!$C$16</f>
        <v/>
      </c>
      <c r="L7" s="150">
        <f>$J7+$K7</f>
        <v/>
      </c>
      <c r="M7" s="153">
        <f>'01 Control'!$C$17</f>
        <v/>
      </c>
      <c r="N7" s="150">
        <f>IF($J7=0,"",$J7/(1-$M7))</f>
        <v/>
      </c>
      <c r="O7" s="150">
        <f>IF($N7="","",$N7*(1+'01 Control'!$C$6))</f>
        <v/>
      </c>
      <c r="P7" s="148" t="n">
        <v>99</v>
      </c>
      <c r="Q7" s="151">
        <f>IF(N($P7)&gt;0,$P7,IF($O7="","",$O7))</f>
        <v/>
      </c>
      <c r="R7" s="182">
        <f>IF(OR($Q7="",$Q7=0),"",($Q7/(1+'01 Control'!$C$6)-$J7)/($Q7/(1+'01 Control'!$C$6)))</f>
        <v/>
      </c>
      <c r="S7" s="152">
        <f>COUNTIFS('10 Core Menu BOM'!$A$5:$A$300,$A7)-COUNTIFS('10 Core Menu BOM'!$A$5:$A$300,$A7,'10 Core Menu BOM'!$I$5:$I$300,"&gt;=0")</f>
        <v/>
      </c>
      <c r="T7" s="162">
        <f>IF($S7&gt;0,"INCOMPLETE - "&amp;$S7&amp;" line(s) unpriced",IF($J7=0,"BOM COST MISSING",IF($R7&lt;$M7-0.02,"BELOW GP TARGET","READY")))</f>
        <v/>
      </c>
      <c r="U7" s="146" t="n">
        <v>0.08</v>
      </c>
      <c r="V7" s="153">
        <f>IF($J7=0,"",('01 Control'!$C$29/(1+'01 Control'!$C$6)-$J7)/('01 Control'!$C$29/(1+'01 Control'!$C$6)))</f>
        <v/>
      </c>
      <c r="W7" s="153">
        <f>IF($J7=0,"",('01 Control'!$C$30/(1+'01 Control'!$C$6)-$J7)/('01 Control'!$C$30/(1+'01 Control'!$C$6)))</f>
        <v/>
      </c>
      <c r="X7" s="153">
        <f>IF($J7=0,"",('01 Control'!$C$31/(1+'01 Control'!$C$6)-$J7)/('01 Control'!$C$31/(1+'01 Control'!$C$6)))</f>
        <v/>
      </c>
      <c r="Y7" s="183">
        <f>IF(ISNUMBER($Q7),$Q7,0)*N($U7)</f>
        <v/>
      </c>
      <c r="Z7" s="183">
        <f>IF(ISNUMBER($H7),$H7,0)*N($U7)</f>
        <v/>
      </c>
      <c r="AA7" s="183">
        <f>IF(ISNUMBER($I7),$I7,0)*N($U7)</f>
        <v/>
      </c>
      <c r="AB7" s="184" t="inlineStr">
        <is>
          <t>Set B - Menu Concepts</t>
        </is>
      </c>
    </row>
    <row r="8" ht="15" customHeight="1" s="106">
      <c r="A8" s="134" t="inlineStr">
        <is>
          <t>PP-PASTA-SPA-NAP</t>
        </is>
      </c>
      <c r="B8" s="113" t="inlineStr">
        <is>
          <t>Napoletana</t>
        </is>
      </c>
      <c r="C8" s="138" t="inlineStr">
        <is>
          <t>Core - Signature</t>
        </is>
      </c>
      <c r="D8" s="138" t="inlineStr">
        <is>
          <t>Permanent</t>
        </is>
      </c>
      <c r="E8" s="180" t="inlineStr">
        <is>
          <t>Spaghetti</t>
        </is>
      </c>
      <c r="F8" s="138" t="inlineStr">
        <is>
          <t>Bokgat Base</t>
        </is>
      </c>
      <c r="G8" s="138" t="inlineStr">
        <is>
          <t>Napoletana (Pomodoro)</t>
        </is>
      </c>
      <c r="H8" s="150">
        <f>SUMIFS('10 Core Menu BOM'!$K$5:$K$300,'10 Core Menu BOM'!$A$5:$A$300,$A8)-$I8</f>
        <v/>
      </c>
      <c r="I8" s="150">
        <f>SUMIFS('10 Core Menu BOM'!$K$5:$K$300,'10 Core Menu BOM'!$A$5:$A$300,$A8,'10 Core Menu BOM'!$D$5:$D$300,"Packaging")</f>
        <v/>
      </c>
      <c r="J8" s="181">
        <f>$H8+$I8</f>
        <v/>
      </c>
      <c r="K8" s="150">
        <f>$H8*'01 Control'!$C$16</f>
        <v/>
      </c>
      <c r="L8" s="150">
        <f>$J8+$K8</f>
        <v/>
      </c>
      <c r="M8" s="153">
        <f>'01 Control'!$C$17</f>
        <v/>
      </c>
      <c r="N8" s="150">
        <f>IF($J8=0,"",$J8/(1-$M8))</f>
        <v/>
      </c>
      <c r="O8" s="150">
        <f>IF($N8="","",$N8*(1+'01 Control'!$C$6))</f>
        <v/>
      </c>
      <c r="P8" s="148" t="n">
        <v>65</v>
      </c>
      <c r="Q8" s="151">
        <f>IF(N($P8)&gt;0,$P8,IF($O8="","",$O8))</f>
        <v/>
      </c>
      <c r="R8" s="182">
        <f>IF(OR($Q8="",$Q8=0),"",($Q8/(1+'01 Control'!$C$6)-$J8)/($Q8/(1+'01 Control'!$C$6)))</f>
        <v/>
      </c>
      <c r="S8" s="152">
        <f>COUNTIFS('10 Core Menu BOM'!$A$5:$A$300,$A8)-COUNTIFS('10 Core Menu BOM'!$A$5:$A$300,$A8,'10 Core Menu BOM'!$I$5:$I$300,"&gt;=0")</f>
        <v/>
      </c>
      <c r="T8" s="162">
        <f>IF($S8&gt;0,"INCOMPLETE - "&amp;$S8&amp;" line(s) unpriced",IF($J8=0,"BOM COST MISSING",IF($R8&lt;$M8-0.02,"BELOW GP TARGET","READY")))</f>
        <v/>
      </c>
      <c r="U8" s="146" t="n">
        <v>0.09</v>
      </c>
      <c r="V8" s="153">
        <f>IF($J8=0,"",('01 Control'!$C$29/(1+'01 Control'!$C$6)-$J8)/('01 Control'!$C$29/(1+'01 Control'!$C$6)))</f>
        <v/>
      </c>
      <c r="W8" s="153">
        <f>IF($J8=0,"",('01 Control'!$C$30/(1+'01 Control'!$C$6)-$J8)/('01 Control'!$C$30/(1+'01 Control'!$C$6)))</f>
        <v/>
      </c>
      <c r="X8" s="153">
        <f>IF($J8=0,"",('01 Control'!$C$31/(1+'01 Control'!$C$6)-$J8)/('01 Control'!$C$31/(1+'01 Control'!$C$6)))</f>
        <v/>
      </c>
      <c r="Y8" s="183">
        <f>IF(ISNUMBER($Q8),$Q8,0)*N($U8)</f>
        <v/>
      </c>
      <c r="Z8" s="183">
        <f>IF(ISNUMBER($H8),$H8,0)*N($U8)</f>
        <v/>
      </c>
      <c r="AA8" s="183">
        <f>IF(ISNUMBER($I8),$I8,0)*N($U8)</f>
        <v/>
      </c>
      <c r="AB8" s="184" t="inlineStr">
        <is>
          <t>Set B - Menu Concepts</t>
        </is>
      </c>
    </row>
    <row r="9" ht="15" customHeight="1" s="106">
      <c r="A9" s="134" t="inlineStr">
        <is>
          <t>PP-PASTA-FUS-ALF</t>
        </is>
      </c>
      <c r="B9" s="113" t="inlineStr">
        <is>
          <t>Creamy Garlic Alfredo</t>
        </is>
      </c>
      <c r="C9" s="138" t="inlineStr">
        <is>
          <t>Core - Signature</t>
        </is>
      </c>
      <c r="D9" s="138" t="inlineStr">
        <is>
          <t>Permanent</t>
        </is>
      </c>
      <c r="E9" s="180" t="inlineStr">
        <is>
          <t>Fusilli</t>
        </is>
      </c>
      <c r="F9" s="138" t="inlineStr">
        <is>
          <t>Bokgat Base</t>
        </is>
      </c>
      <c r="G9" s="138" t="inlineStr">
        <is>
          <t>Creamy Alfredo</t>
        </is>
      </c>
      <c r="H9" s="150">
        <f>SUMIFS('10 Core Menu BOM'!$K$5:$K$300,'10 Core Menu BOM'!$A$5:$A$300,$A9)-$I9</f>
        <v/>
      </c>
      <c r="I9" s="150">
        <f>SUMIFS('10 Core Menu BOM'!$K$5:$K$300,'10 Core Menu BOM'!$A$5:$A$300,$A9,'10 Core Menu BOM'!$D$5:$D$300,"Packaging")</f>
        <v/>
      </c>
      <c r="J9" s="181">
        <f>$H9+$I9</f>
        <v/>
      </c>
      <c r="K9" s="150">
        <f>$H9*'01 Control'!$C$16</f>
        <v/>
      </c>
      <c r="L9" s="150">
        <f>$J9+$K9</f>
        <v/>
      </c>
      <c r="M9" s="153">
        <f>'01 Control'!$C$17</f>
        <v/>
      </c>
      <c r="N9" s="150">
        <f>IF($J9=0,"",$J9/(1-$M9))</f>
        <v/>
      </c>
      <c r="O9" s="150">
        <f>IF($N9="","",$N9*(1+'01 Control'!$C$6))</f>
        <v/>
      </c>
      <c r="P9" s="148" t="n">
        <v>89</v>
      </c>
      <c r="Q9" s="151">
        <f>IF(N($P9)&gt;0,$P9,IF($O9="","",$O9))</f>
        <v/>
      </c>
      <c r="R9" s="182">
        <f>IF(OR($Q9="",$Q9=0),"",($Q9/(1+'01 Control'!$C$6)-$J9)/($Q9/(1+'01 Control'!$C$6)))</f>
        <v/>
      </c>
      <c r="S9" s="152">
        <f>COUNTIFS('10 Core Menu BOM'!$A$5:$A$300,$A9)-COUNTIFS('10 Core Menu BOM'!$A$5:$A$300,$A9,'10 Core Menu BOM'!$I$5:$I$300,"&gt;=0")</f>
        <v/>
      </c>
      <c r="T9" s="162">
        <f>IF($S9&gt;0,"INCOMPLETE - "&amp;$S9&amp;" line(s) unpriced",IF($J9=0,"BOM COST MISSING",IF($R9&lt;$M9-0.02,"BELOW GP TARGET","READY")))</f>
        <v/>
      </c>
      <c r="U9" s="146" t="n">
        <v>0.11</v>
      </c>
      <c r="V9" s="153">
        <f>IF($J9=0,"",('01 Control'!$C$29/(1+'01 Control'!$C$6)-$J9)/('01 Control'!$C$29/(1+'01 Control'!$C$6)))</f>
        <v/>
      </c>
      <c r="W9" s="153">
        <f>IF($J9=0,"",('01 Control'!$C$30/(1+'01 Control'!$C$6)-$J9)/('01 Control'!$C$30/(1+'01 Control'!$C$6)))</f>
        <v/>
      </c>
      <c r="X9" s="153">
        <f>IF($J9=0,"",('01 Control'!$C$31/(1+'01 Control'!$C$6)-$J9)/('01 Control'!$C$31/(1+'01 Control'!$C$6)))</f>
        <v/>
      </c>
      <c r="Y9" s="183">
        <f>IF(ISNUMBER($Q9),$Q9,0)*N($U9)</f>
        <v/>
      </c>
      <c r="Z9" s="183">
        <f>IF(ISNUMBER($H9),$H9,0)*N($U9)</f>
        <v/>
      </c>
      <c r="AA9" s="183">
        <f>IF(ISNUMBER($I9),$I9,0)*N($U9)</f>
        <v/>
      </c>
      <c r="AB9" s="184" t="inlineStr">
        <is>
          <t>Set B - Menu Concepts</t>
        </is>
      </c>
    </row>
    <row r="10" ht="15" customHeight="1" s="106">
      <c r="A10" s="134" t="inlineStr">
        <is>
          <t>PP-PASTA-CAS-ARR</t>
        </is>
      </c>
      <c r="B10" s="113" t="inlineStr">
        <is>
          <t>Arrabbiata</t>
        </is>
      </c>
      <c r="C10" s="138" t="inlineStr">
        <is>
          <t>Core - Signature</t>
        </is>
      </c>
      <c r="D10" s="138" t="inlineStr">
        <is>
          <t>Permanent</t>
        </is>
      </c>
      <c r="E10" s="180" t="inlineStr">
        <is>
          <t>Casarecce</t>
        </is>
      </c>
      <c r="F10" s="138" t="inlineStr">
        <is>
          <t>Bokgat Base</t>
        </is>
      </c>
      <c r="G10" s="138" t="inlineStr">
        <is>
          <t>Arrabbiata</t>
        </is>
      </c>
      <c r="H10" s="150">
        <f>SUMIFS('10 Core Menu BOM'!$K$5:$K$300,'10 Core Menu BOM'!$A$5:$A$300,$A10)-$I10</f>
        <v/>
      </c>
      <c r="I10" s="150">
        <f>SUMIFS('10 Core Menu BOM'!$K$5:$K$300,'10 Core Menu BOM'!$A$5:$A$300,$A10,'10 Core Menu BOM'!$D$5:$D$300,"Packaging")</f>
        <v/>
      </c>
      <c r="J10" s="181">
        <f>$H10+$I10</f>
        <v/>
      </c>
      <c r="K10" s="150">
        <f>$H10*'01 Control'!$C$16</f>
        <v/>
      </c>
      <c r="L10" s="150">
        <f>$J10+$K10</f>
        <v/>
      </c>
      <c r="M10" s="153">
        <f>'01 Control'!$C$17</f>
        <v/>
      </c>
      <c r="N10" s="150">
        <f>IF($J10=0,"",$J10/(1-$M10))</f>
        <v/>
      </c>
      <c r="O10" s="150">
        <f>IF($N10="","",$N10*(1+'01 Control'!$C$6))</f>
        <v/>
      </c>
      <c r="P10" s="148" t="n">
        <v>72</v>
      </c>
      <c r="Q10" s="151">
        <f>IF(N($P10)&gt;0,$P10,IF($O10="","",$O10))</f>
        <v/>
      </c>
      <c r="R10" s="182">
        <f>IF(OR($Q10="",$Q10=0),"",($Q10/(1+'01 Control'!$C$6)-$J10)/($Q10/(1+'01 Control'!$C$6)))</f>
        <v/>
      </c>
      <c r="S10" s="152">
        <f>COUNTIFS('10 Core Menu BOM'!$A$5:$A$300,$A10)-COUNTIFS('10 Core Menu BOM'!$A$5:$A$300,$A10,'10 Core Menu BOM'!$I$5:$I$300,"&gt;=0")</f>
        <v/>
      </c>
      <c r="T10" s="162">
        <f>IF($S10&gt;0,"INCOMPLETE - "&amp;$S10&amp;" line(s) unpriced",IF($J10=0,"BOM COST MISSING",IF($R10&lt;$M10-0.02,"BELOW GP TARGET","READY")))</f>
        <v/>
      </c>
      <c r="U10" s="146" t="n">
        <v>0.07000000000000001</v>
      </c>
      <c r="V10" s="153">
        <f>IF($J10=0,"",('01 Control'!$C$29/(1+'01 Control'!$C$6)-$J10)/('01 Control'!$C$29/(1+'01 Control'!$C$6)))</f>
        <v/>
      </c>
      <c r="W10" s="153">
        <f>IF($J10=0,"",('01 Control'!$C$30/(1+'01 Control'!$C$6)-$J10)/('01 Control'!$C$30/(1+'01 Control'!$C$6)))</f>
        <v/>
      </c>
      <c r="X10" s="153">
        <f>IF($J10=0,"",('01 Control'!$C$31/(1+'01 Control'!$C$6)-$J10)/('01 Control'!$C$31/(1+'01 Control'!$C$6)))</f>
        <v/>
      </c>
      <c r="Y10" s="183">
        <f>IF(ISNUMBER($Q10),$Q10,0)*N($U10)</f>
        <v/>
      </c>
      <c r="Z10" s="183">
        <f>IF(ISNUMBER($H10),$H10,0)*N($U10)</f>
        <v/>
      </c>
      <c r="AA10" s="183">
        <f>IF(ISNUMBER($I10),$I10,0)*N($U10)</f>
        <v/>
      </c>
      <c r="AB10" s="184" t="inlineStr">
        <is>
          <t>Set B - Menu Concepts</t>
        </is>
      </c>
    </row>
    <row r="11" ht="15" customHeight="1" s="106">
      <c r="A11" s="134" t="inlineStr">
        <is>
          <t>PP-PASTA-CAS-PES</t>
        </is>
      </c>
      <c r="B11" s="113" t="inlineStr">
        <is>
          <t>Basil Pesto</t>
        </is>
      </c>
      <c r="C11" s="138" t="inlineStr">
        <is>
          <t>Core - Signature</t>
        </is>
      </c>
      <c r="D11" s="138" t="inlineStr">
        <is>
          <t>Permanent</t>
        </is>
      </c>
      <c r="E11" s="180" t="inlineStr">
        <is>
          <t>Casarecce</t>
        </is>
      </c>
      <c r="F11" s="138" t="inlineStr">
        <is>
          <t>Protein+ Pro</t>
        </is>
      </c>
      <c r="G11" s="138" t="inlineStr">
        <is>
          <t>Basil Pesto</t>
        </is>
      </c>
      <c r="H11" s="150">
        <f>SUMIFS('10 Core Menu BOM'!$K$5:$K$300,'10 Core Menu BOM'!$A$5:$A$300,$A11)-$I11</f>
        <v/>
      </c>
      <c r="I11" s="150">
        <f>SUMIFS('10 Core Menu BOM'!$K$5:$K$300,'10 Core Menu BOM'!$A$5:$A$300,$A11,'10 Core Menu BOM'!$D$5:$D$300,"Packaging")</f>
        <v/>
      </c>
      <c r="J11" s="181">
        <f>$H11+$I11</f>
        <v/>
      </c>
      <c r="K11" s="150">
        <f>$H11*'01 Control'!$C$16</f>
        <v/>
      </c>
      <c r="L11" s="150">
        <f>$J11+$K11</f>
        <v/>
      </c>
      <c r="M11" s="153">
        <f>'01 Control'!$C$17</f>
        <v/>
      </c>
      <c r="N11" s="150">
        <f>IF($J11=0,"",$J11/(1-$M11))</f>
        <v/>
      </c>
      <c r="O11" s="150">
        <f>IF($N11="","",$N11*(1+'01 Control'!$C$6))</f>
        <v/>
      </c>
      <c r="P11" s="148" t="n">
        <v>95</v>
      </c>
      <c r="Q11" s="151">
        <f>IF(N($P11)&gt;0,$P11,IF($O11="","",$O11))</f>
        <v/>
      </c>
      <c r="R11" s="182">
        <f>IF(OR($Q11="",$Q11=0),"",($Q11/(1+'01 Control'!$C$6)-$J11)/($Q11/(1+'01 Control'!$C$6)))</f>
        <v/>
      </c>
      <c r="S11" s="152">
        <f>COUNTIFS('10 Core Menu BOM'!$A$5:$A$300,$A11)-COUNTIFS('10 Core Menu BOM'!$A$5:$A$300,$A11,'10 Core Menu BOM'!$I$5:$I$300,"&gt;=0")</f>
        <v/>
      </c>
      <c r="T11" s="162">
        <f>IF($S11&gt;0,"INCOMPLETE - "&amp;$S11&amp;" line(s) unpriced",IF($J11=0,"BOM COST MISSING",IF($R11&lt;$M11-0.02,"BELOW GP TARGET","READY")))</f>
        <v/>
      </c>
      <c r="U11" s="146" t="n">
        <v>0.04</v>
      </c>
      <c r="V11" s="153">
        <f>IF($J11=0,"",('01 Control'!$C$29/(1+'01 Control'!$C$6)-$J11)/('01 Control'!$C$29/(1+'01 Control'!$C$6)))</f>
        <v/>
      </c>
      <c r="W11" s="153">
        <f>IF($J11=0,"",('01 Control'!$C$30/(1+'01 Control'!$C$6)-$J11)/('01 Control'!$C$30/(1+'01 Control'!$C$6)))</f>
        <v/>
      </c>
      <c r="X11" s="153">
        <f>IF($J11=0,"",('01 Control'!$C$31/(1+'01 Control'!$C$6)-$J11)/('01 Control'!$C$31/(1+'01 Control'!$C$6)))</f>
        <v/>
      </c>
      <c r="Y11" s="183">
        <f>IF(ISNUMBER($Q11),$Q11,0)*N($U11)</f>
        <v/>
      </c>
      <c r="Z11" s="183">
        <f>IF(ISNUMBER($H11),$H11,0)*N($U11)</f>
        <v/>
      </c>
      <c r="AA11" s="183">
        <f>IF(ISNUMBER($I11),$I11,0)*N($U11)</f>
        <v/>
      </c>
      <c r="AB11" s="184" t="inlineStr">
        <is>
          <t>Set B - Menu Concepts</t>
        </is>
      </c>
    </row>
    <row r="12" ht="15" customHeight="1" s="106">
      <c r="A12" s="134" t="inlineStr">
        <is>
          <t>PP-PASTA-FUS-BOSC</t>
        </is>
      </c>
      <c r="B12" s="113" t="inlineStr">
        <is>
          <t>Boscaiola</t>
        </is>
      </c>
      <c r="C12" s="138" t="inlineStr">
        <is>
          <t>Core - Signature</t>
        </is>
      </c>
      <c r="D12" s="138" t="inlineStr">
        <is>
          <t>Permanent</t>
        </is>
      </c>
      <c r="E12" s="180" t="inlineStr">
        <is>
          <t>Fusilli</t>
        </is>
      </c>
      <c r="F12" s="138" t="inlineStr">
        <is>
          <t>Farmhouse</t>
        </is>
      </c>
      <c r="G12" s="138" t="inlineStr">
        <is>
          <t>Boscaiola</t>
        </is>
      </c>
      <c r="H12" s="150">
        <f>SUMIFS('10 Core Menu BOM'!$K$5:$K$300,'10 Core Menu BOM'!$A$5:$A$300,$A12)-$I12</f>
        <v/>
      </c>
      <c r="I12" s="150">
        <f>SUMIFS('10 Core Menu BOM'!$K$5:$K$300,'10 Core Menu BOM'!$A$5:$A$300,$A12,'10 Core Menu BOM'!$D$5:$D$300,"Packaging")</f>
        <v/>
      </c>
      <c r="J12" s="181">
        <f>$H12+$I12</f>
        <v/>
      </c>
      <c r="K12" s="150">
        <f>$H12*'01 Control'!$C$16</f>
        <v/>
      </c>
      <c r="L12" s="150">
        <f>$J12+$K12</f>
        <v/>
      </c>
      <c r="M12" s="153">
        <f>'01 Control'!$C$17</f>
        <v/>
      </c>
      <c r="N12" s="150">
        <f>IF($J12=0,"",$J12/(1-$M12))</f>
        <v/>
      </c>
      <c r="O12" s="150">
        <f>IF($N12="","",$N12*(1+'01 Control'!$C$6))</f>
        <v/>
      </c>
      <c r="P12" s="148" t="n">
        <v>92</v>
      </c>
      <c r="Q12" s="151">
        <f>IF(N($P12)&gt;0,$P12,IF($O12="","",$O12))</f>
        <v/>
      </c>
      <c r="R12" s="182">
        <f>IF(OR($Q12="",$Q12=0),"",($Q12/(1+'01 Control'!$C$6)-$J12)/($Q12/(1+'01 Control'!$C$6)))</f>
        <v/>
      </c>
      <c r="S12" s="152">
        <f>COUNTIFS('10 Core Menu BOM'!$A$5:$A$300,$A12)-COUNTIFS('10 Core Menu BOM'!$A$5:$A$300,$A12,'10 Core Menu BOM'!$I$5:$I$300,"&gt;=0")</f>
        <v/>
      </c>
      <c r="T12" s="162">
        <f>IF($S12&gt;0,"INCOMPLETE - "&amp;$S12&amp;" line(s) unpriced",IF($J12=0,"BOM COST MISSING",IF($R12&lt;$M12-0.02,"BELOW GP TARGET","READY")))</f>
        <v/>
      </c>
      <c r="U12" s="146" t="n">
        <v>0.06</v>
      </c>
      <c r="V12" s="153">
        <f>IF($J12=0,"",('01 Control'!$C$29/(1+'01 Control'!$C$6)-$J12)/('01 Control'!$C$29/(1+'01 Control'!$C$6)))</f>
        <v/>
      </c>
      <c r="W12" s="153">
        <f>IF($J12=0,"",('01 Control'!$C$30/(1+'01 Control'!$C$6)-$J12)/('01 Control'!$C$30/(1+'01 Control'!$C$6)))</f>
        <v/>
      </c>
      <c r="X12" s="153">
        <f>IF($J12=0,"",('01 Control'!$C$31/(1+'01 Control'!$C$6)-$J12)/('01 Control'!$C$31/(1+'01 Control'!$C$6)))</f>
        <v/>
      </c>
      <c r="Y12" s="183">
        <f>IF(ISNUMBER($Q12),$Q12,0)*N($U12)</f>
        <v/>
      </c>
      <c r="Z12" s="183">
        <f>IF(ISNUMBER($H12),$H12,0)*N($U12)</f>
        <v/>
      </c>
      <c r="AA12" s="183">
        <f>IF(ISNUMBER($I12),$I12,0)*N($U12)</f>
        <v/>
      </c>
      <c r="AB12" s="184" t="inlineStr">
        <is>
          <t>Set B - Menu Concepts</t>
        </is>
      </c>
    </row>
    <row r="13" ht="15" customHeight="1" s="106">
      <c r="A13" s="134" t="inlineStr">
        <is>
          <t>PP-PASTA-RIG-QF</t>
        </is>
      </c>
      <c r="B13" s="113" t="inlineStr">
        <is>
          <t>Quattro Formaggi Bake</t>
        </is>
      </c>
      <c r="C13" s="138" t="inlineStr">
        <is>
          <t>Core - Signature</t>
        </is>
      </c>
      <c r="D13" s="138" t="inlineStr">
        <is>
          <t>Permanent</t>
        </is>
      </c>
      <c r="E13" s="180" t="inlineStr">
        <is>
          <t>Rigatoni</t>
        </is>
      </c>
      <c r="F13" s="138" t="inlineStr">
        <is>
          <t>Bokgat Base</t>
        </is>
      </c>
      <c r="G13" s="138" t="inlineStr">
        <is>
          <t>Quattro Formaggi</t>
        </is>
      </c>
      <c r="H13" s="150">
        <f>SUMIFS('10 Core Menu BOM'!$K$5:$K$300,'10 Core Menu BOM'!$A$5:$A$300,$A13)-$I13</f>
        <v/>
      </c>
      <c r="I13" s="150">
        <f>SUMIFS('10 Core Menu BOM'!$K$5:$K$300,'10 Core Menu BOM'!$A$5:$A$300,$A13,'10 Core Menu BOM'!$D$5:$D$300,"Packaging")</f>
        <v/>
      </c>
      <c r="J13" s="181">
        <f>$H13+$I13</f>
        <v/>
      </c>
      <c r="K13" s="150">
        <f>$H13*'01 Control'!$C$16</f>
        <v/>
      </c>
      <c r="L13" s="150">
        <f>$J13+$K13</f>
        <v/>
      </c>
      <c r="M13" s="153">
        <f>'01 Control'!$C$17</f>
        <v/>
      </c>
      <c r="N13" s="150">
        <f>IF($J13=0,"",$J13/(1-$M13))</f>
        <v/>
      </c>
      <c r="O13" s="150">
        <f>IF($N13="","",$N13*(1+'01 Control'!$C$6))</f>
        <v/>
      </c>
      <c r="P13" s="148" t="n">
        <v>95</v>
      </c>
      <c r="Q13" s="151">
        <f>IF(N($P13)&gt;0,$P13,IF($O13="","",$O13))</f>
        <v/>
      </c>
      <c r="R13" s="182">
        <f>IF(OR($Q13="",$Q13=0),"",($Q13/(1+'01 Control'!$C$6)-$J13)/($Q13/(1+'01 Control'!$C$6)))</f>
        <v/>
      </c>
      <c r="S13" s="152">
        <f>COUNTIFS('10 Core Menu BOM'!$A$5:$A$300,$A13)-COUNTIFS('10 Core Menu BOM'!$A$5:$A$300,$A13,'10 Core Menu BOM'!$I$5:$I$300,"&gt;=0")</f>
        <v/>
      </c>
      <c r="T13" s="162">
        <f>IF($S13&gt;0,"INCOMPLETE - "&amp;$S13&amp;" line(s) unpriced",IF($J13=0,"BOM COST MISSING",IF($R13&lt;$M13-0.02,"BELOW GP TARGET","READY")))</f>
        <v/>
      </c>
      <c r="U13" s="146" t="n">
        <v>0.08</v>
      </c>
      <c r="V13" s="153">
        <f>IF($J13=0,"",('01 Control'!$C$29/(1+'01 Control'!$C$6)-$J13)/('01 Control'!$C$29/(1+'01 Control'!$C$6)))</f>
        <v/>
      </c>
      <c r="W13" s="153">
        <f>IF($J13=0,"",('01 Control'!$C$30/(1+'01 Control'!$C$6)-$J13)/('01 Control'!$C$30/(1+'01 Control'!$C$6)))</f>
        <v/>
      </c>
      <c r="X13" s="153">
        <f>IF($J13=0,"",('01 Control'!$C$31/(1+'01 Control'!$C$6)-$J13)/('01 Control'!$C$31/(1+'01 Control'!$C$6)))</f>
        <v/>
      </c>
      <c r="Y13" s="183">
        <f>IF(ISNUMBER($Q13),$Q13,0)*N($U13)</f>
        <v/>
      </c>
      <c r="Z13" s="183">
        <f>IF(ISNUMBER($H13),$H13,0)*N($U13)</f>
        <v/>
      </c>
      <c r="AA13" s="183">
        <f>IF(ISNUMBER($I13),$I13,0)*N($U13)</f>
        <v/>
      </c>
      <c r="AB13" s="184" t="inlineStr">
        <is>
          <t>Set B - Menu Concepts</t>
        </is>
      </c>
    </row>
    <row r="14" ht="15" customHeight="1" s="106">
      <c r="A14" s="134" t="inlineStr">
        <is>
          <t>PP-PASTA-SPA-ALO</t>
        </is>
      </c>
      <c r="B14" s="113" t="inlineStr">
        <is>
          <t>Aglio, Olio e Peperoncino</t>
        </is>
      </c>
      <c r="C14" s="138" t="inlineStr">
        <is>
          <t>Core - Signature</t>
        </is>
      </c>
      <c r="D14" s="138" t="inlineStr">
        <is>
          <t>Permanent</t>
        </is>
      </c>
      <c r="E14" s="180" t="inlineStr">
        <is>
          <t>Spaghetti</t>
        </is>
      </c>
      <c r="F14" s="138" t="inlineStr">
        <is>
          <t>Chickpea Power Pro</t>
        </is>
      </c>
      <c r="G14" s="138" t="inlineStr">
        <is>
          <t>Aglio e Olio Kit</t>
        </is>
      </c>
      <c r="H14" s="150">
        <f>SUMIFS('10 Core Menu BOM'!$K$5:$K$300,'10 Core Menu BOM'!$A$5:$A$300,$A14)-$I14</f>
        <v/>
      </c>
      <c r="I14" s="150">
        <f>SUMIFS('10 Core Menu BOM'!$K$5:$K$300,'10 Core Menu BOM'!$A$5:$A$300,$A14,'10 Core Menu BOM'!$D$5:$D$300,"Packaging")</f>
        <v/>
      </c>
      <c r="J14" s="181">
        <f>$H14+$I14</f>
        <v/>
      </c>
      <c r="K14" s="150">
        <f>$H14*'01 Control'!$C$16</f>
        <v/>
      </c>
      <c r="L14" s="150">
        <f>$J14+$K14</f>
        <v/>
      </c>
      <c r="M14" s="153">
        <f>'01 Control'!$C$17</f>
        <v/>
      </c>
      <c r="N14" s="150">
        <f>IF($J14=0,"",$J14/(1-$M14))</f>
        <v/>
      </c>
      <c r="O14" s="150">
        <f>IF($N14="","",$N14*(1+'01 Control'!$C$6))</f>
        <v/>
      </c>
      <c r="P14" s="148" t="n">
        <v>69</v>
      </c>
      <c r="Q14" s="151">
        <f>IF(N($P14)&gt;0,$P14,IF($O14="","",$O14))</f>
        <v/>
      </c>
      <c r="R14" s="182">
        <f>IF(OR($Q14="",$Q14=0),"",($Q14/(1+'01 Control'!$C$6)-$J14)/($Q14/(1+'01 Control'!$C$6)))</f>
        <v/>
      </c>
      <c r="S14" s="152">
        <f>COUNTIFS('10 Core Menu BOM'!$A$5:$A$300,$A14)-COUNTIFS('10 Core Menu BOM'!$A$5:$A$300,$A14,'10 Core Menu BOM'!$I$5:$I$300,"&gt;=0")</f>
        <v/>
      </c>
      <c r="T14" s="162">
        <f>IF($S14&gt;0,"INCOMPLETE - "&amp;$S14&amp;" line(s) unpriced",IF($J14=0,"BOM COST MISSING",IF($R14&lt;$M14-0.02,"BELOW GP TARGET","READY")))</f>
        <v/>
      </c>
      <c r="U14" s="146" t="n">
        <v>0.03</v>
      </c>
      <c r="V14" s="153">
        <f>IF($J14=0,"",('01 Control'!$C$29/(1+'01 Control'!$C$6)-$J14)/('01 Control'!$C$29/(1+'01 Control'!$C$6)))</f>
        <v/>
      </c>
      <c r="W14" s="153">
        <f>IF($J14=0,"",('01 Control'!$C$30/(1+'01 Control'!$C$6)-$J14)/('01 Control'!$C$30/(1+'01 Control'!$C$6)))</f>
        <v/>
      </c>
      <c r="X14" s="153">
        <f>IF($J14=0,"",('01 Control'!$C$31/(1+'01 Control'!$C$6)-$J14)/('01 Control'!$C$31/(1+'01 Control'!$C$6)))</f>
        <v/>
      </c>
      <c r="Y14" s="183">
        <f>IF(ISNUMBER($Q14),$Q14,0)*N($U14)</f>
        <v/>
      </c>
      <c r="Z14" s="183">
        <f>IF(ISNUMBER($H14),$H14,0)*N($U14)</f>
        <v/>
      </c>
      <c r="AA14" s="183">
        <f>IF(ISNUMBER($I14),$I14,0)*N($U14)</f>
        <v/>
      </c>
      <c r="AB14" s="184" t="inlineStr">
        <is>
          <t>Set B - Menu Concepts</t>
        </is>
      </c>
    </row>
    <row r="16" ht="15" customHeight="1" s="106">
      <c r="A16" s="128" t="inlineStr">
        <is>
          <t>SALADS  -  THE ONLY SIDE</t>
        </is>
      </c>
      <c r="B16" s="110" t="n"/>
      <c r="C16" s="110" t="n"/>
      <c r="D16" s="110" t="n"/>
      <c r="E16" s="110" t="n"/>
      <c r="F16" s="110" t="n"/>
      <c r="G16" s="110" t="n"/>
      <c r="H16" s="110" t="n"/>
      <c r="I16" s="110" t="n"/>
      <c r="J16" s="110" t="n"/>
      <c r="K16" s="110" t="n"/>
      <c r="L16" s="110" t="n"/>
      <c r="M16" s="110" t="n"/>
      <c r="N16" s="110" t="n"/>
      <c r="O16" s="110" t="n"/>
      <c r="P16" s="110" t="n"/>
      <c r="Q16" s="110" t="n"/>
      <c r="R16" s="110" t="n"/>
      <c r="S16" s="110" t="n"/>
      <c r="T16" s="110" t="n"/>
      <c r="U16" s="110" t="n"/>
      <c r="V16" s="110" t="n"/>
      <c r="W16" s="110" t="n"/>
      <c r="X16" s="110" t="n"/>
      <c r="Y16" s="110" t="n"/>
      <c r="Z16" s="110" t="n"/>
      <c r="AA16" s="110" t="n"/>
      <c r="AB16" s="111" t="n"/>
    </row>
    <row r="17" ht="43.5" customHeight="1" s="106">
      <c r="A17" s="112" t="inlineStr">
        <is>
          <t>Menu SKU</t>
        </is>
      </c>
      <c r="B17" s="112" t="inlineStr">
        <is>
          <t>Menu Item</t>
        </is>
      </c>
      <c r="C17" s="112" t="inlineStr">
        <is>
          <t>Tier / Group</t>
        </is>
      </c>
      <c r="D17" s="112" t="inlineStr">
        <is>
          <t>Season / Drop</t>
        </is>
      </c>
      <c r="E17" s="112" t="inlineStr">
        <is>
          <t>Shape</t>
        </is>
      </c>
      <c r="F17" s="112" t="inlineStr">
        <is>
          <t>Pasta Formula</t>
        </is>
      </c>
      <c r="G17" s="112" t="inlineStr">
        <is>
          <t>Base Sauce</t>
        </is>
      </c>
      <c r="H17" s="112" t="inlineStr">
        <is>
          <t>Food Cost</t>
        </is>
      </c>
      <c r="I17" s="112" t="inlineStr">
        <is>
          <t>Packaging
Cost</t>
        </is>
      </c>
      <c r="J17" s="112" t="inlineStr">
        <is>
          <t>Total Direct
Cost</t>
        </is>
      </c>
      <c r="K17" s="112" t="inlineStr">
        <is>
          <t>Store Labour
Allowance</t>
        </is>
      </c>
      <c r="L17" s="112" t="inlineStr">
        <is>
          <t>Fully Loaded
Cost</t>
        </is>
      </c>
      <c r="M17" s="112" t="inlineStr">
        <is>
          <t>Target
GP%</t>
        </is>
      </c>
      <c r="N17" s="112" t="inlineStr">
        <is>
          <t>Recommended
Sell (excl VAT)</t>
        </is>
      </c>
      <c r="O17" s="112" t="inlineStr">
        <is>
          <t>Recommended
Sell (incl VAT)</t>
        </is>
      </c>
      <c r="P17" s="112" t="inlineStr">
        <is>
          <t>Approved Sell
(incl VAT)</t>
        </is>
      </c>
      <c r="Q17" s="112" t="inlineStr">
        <is>
          <t>FINAL SELL
(incl VAT)</t>
        </is>
      </c>
      <c r="R17" s="112" t="inlineStr">
        <is>
          <t>Actual
GP%</t>
        </is>
      </c>
      <c r="S17" s="112" t="inlineStr">
        <is>
          <t>Lines
Unpriced</t>
        </is>
      </c>
      <c r="T17" s="112" t="inlineStr">
        <is>
          <t>Cost Status</t>
        </is>
      </c>
      <c r="U17" s="112" t="inlineStr">
        <is>
          <t>MENU
MIX %</t>
        </is>
      </c>
      <c r="V17" s="112" t="inlineStr">
        <is>
          <t>GP% at
Price A</t>
        </is>
      </c>
      <c r="W17" s="112" t="inlineStr">
        <is>
          <t>GP% at
Price B</t>
        </is>
      </c>
      <c r="X17" s="112" t="inlineStr">
        <is>
          <t>GP% at
Price C</t>
        </is>
      </c>
      <c r="Y17" s="112" t="inlineStr">
        <is>
          <t>Weighted
Revenue</t>
        </is>
      </c>
      <c r="Z17" s="112" t="inlineStr">
        <is>
          <t>Weighted
Food Cost</t>
        </is>
      </c>
      <c r="AA17" s="112" t="inlineStr">
        <is>
          <t>Weighted
Packaging</t>
        </is>
      </c>
      <c r="AB17" s="112" t="inlineStr">
        <is>
          <t>Approved Price
Source</t>
        </is>
      </c>
    </row>
    <row r="18" ht="15" customHeight="1" s="106">
      <c r="A18" s="134" t="inlineStr">
        <is>
          <t>PP-SAL-MICRO-PASTA</t>
        </is>
      </c>
      <c r="B18" s="113" t="inlineStr">
        <is>
          <t>Microgreen &amp; Pasta Salad</t>
        </is>
      </c>
      <c r="C18" s="138" t="inlineStr">
        <is>
          <t>Core - Salad</t>
        </is>
      </c>
      <c r="D18" s="138" t="inlineStr">
        <is>
          <t>Permanent</t>
        </is>
      </c>
      <c r="E18" s="180" t="inlineStr">
        <is>
          <t>Fusilli</t>
        </is>
      </c>
      <c r="F18" s="138" t="inlineStr">
        <is>
          <t>Bokgat Base</t>
        </is>
      </c>
      <c r="G18" s="138" t="inlineStr">
        <is>
          <t>-</t>
        </is>
      </c>
      <c r="H18" s="150">
        <f>SUMIFS('10 Core Menu BOM'!$K$5:$K$300,'10 Core Menu BOM'!$A$5:$A$300,$A18)-$I18</f>
        <v/>
      </c>
      <c r="I18" s="150">
        <f>SUMIFS('10 Core Menu BOM'!$K$5:$K$300,'10 Core Menu BOM'!$A$5:$A$300,$A18,'10 Core Menu BOM'!$D$5:$D$300,"Packaging")</f>
        <v/>
      </c>
      <c r="J18" s="181">
        <f>$H18+$I18</f>
        <v/>
      </c>
      <c r="K18" s="150">
        <f>$H18*'01 Control'!$C$16</f>
        <v/>
      </c>
      <c r="L18" s="150">
        <f>$J18+$K18</f>
        <v/>
      </c>
      <c r="M18" s="153">
        <f>'01 Control'!$C$19</f>
        <v/>
      </c>
      <c r="N18" s="150">
        <f>IF($J18=0,"",$J18/(1-$M18))</f>
        <v/>
      </c>
      <c r="O18" s="150">
        <f>IF($N18="","",$N18*(1+'01 Control'!$C$6))</f>
        <v/>
      </c>
      <c r="P18" s="148" t="n">
        <v>32</v>
      </c>
      <c r="Q18" s="151">
        <f>IF(N($P18)&gt;0,$P18,IF($O18="","",$O18))</f>
        <v/>
      </c>
      <c r="R18" s="182">
        <f>IF(OR($Q18="",$Q18=0),"",($Q18/(1+'01 Control'!$C$6)-$J18)/($Q18/(1+'01 Control'!$C$6)))</f>
        <v/>
      </c>
      <c r="S18" s="152">
        <f>COUNTIFS('10 Core Menu BOM'!$A$5:$A$300,$A18)-COUNTIFS('10 Core Menu BOM'!$A$5:$A$300,$A18,'10 Core Menu BOM'!$I$5:$I$300,"&gt;=0")</f>
        <v/>
      </c>
      <c r="T18" s="162">
        <f>IF($S18&gt;0,"INCOMPLETE - "&amp;$S18&amp;" line(s) unpriced",IF($J18=0,"BOM COST MISSING",IF($R18&lt;$M18-0.02,"BELOW GP TARGET","READY")))</f>
        <v/>
      </c>
      <c r="U18" s="146" t="n">
        <v>0.03</v>
      </c>
      <c r="V18" s="153">
        <f>IF($J18=0,"",('01 Control'!$C$29/(1+'01 Control'!$C$6)-$J18)/('01 Control'!$C$29/(1+'01 Control'!$C$6)))</f>
        <v/>
      </c>
      <c r="W18" s="153">
        <f>IF($J18=0,"",('01 Control'!$C$30/(1+'01 Control'!$C$6)-$J18)/('01 Control'!$C$30/(1+'01 Control'!$C$6)))</f>
        <v/>
      </c>
      <c r="X18" s="153">
        <f>IF($J18=0,"",('01 Control'!$C$31/(1+'01 Control'!$C$6)-$J18)/('01 Control'!$C$31/(1+'01 Control'!$C$6)))</f>
        <v/>
      </c>
      <c r="Y18" s="183">
        <f>IF(ISNUMBER($Q18),$Q18,0)*N($U18)</f>
        <v/>
      </c>
      <c r="Z18" s="183">
        <f>IF(ISNUMBER($H18),$H18,0)*N($U18)</f>
        <v/>
      </c>
      <c r="AA18" s="183">
        <f>IF(ISNUMBER($I18),$I18,0)*N($U18)</f>
        <v/>
      </c>
      <c r="AB18" s="184" t="inlineStr">
        <is>
          <t>Set B - Menu Concepts</t>
        </is>
      </c>
    </row>
    <row r="19" ht="15" customHeight="1" s="106">
      <c r="A19" s="134" t="inlineStr">
        <is>
          <t>PP-SAL-RAINBOW</t>
        </is>
      </c>
      <c r="B19" s="113" t="inlineStr">
        <is>
          <t>Rainbow Pasta Salad</t>
        </is>
      </c>
      <c r="C19" s="138" t="inlineStr">
        <is>
          <t>Core - Salad</t>
        </is>
      </c>
      <c r="D19" s="138" t="inlineStr">
        <is>
          <t>Permanent</t>
        </is>
      </c>
      <c r="E19" s="180" t="inlineStr">
        <is>
          <t>Fusilli</t>
        </is>
      </c>
      <c r="F19" s="138" t="inlineStr">
        <is>
          <t>Bokgat Base</t>
        </is>
      </c>
      <c r="G19" s="138" t="inlineStr">
        <is>
          <t>-</t>
        </is>
      </c>
      <c r="H19" s="150">
        <f>SUMIFS('10 Core Menu BOM'!$K$5:$K$300,'10 Core Menu BOM'!$A$5:$A$300,$A19)-$I19</f>
        <v/>
      </c>
      <c r="I19" s="150">
        <f>SUMIFS('10 Core Menu BOM'!$K$5:$K$300,'10 Core Menu BOM'!$A$5:$A$300,$A19,'10 Core Menu BOM'!$D$5:$D$300,"Packaging")</f>
        <v/>
      </c>
      <c r="J19" s="181">
        <f>$H19+$I19</f>
        <v/>
      </c>
      <c r="K19" s="150">
        <f>$H19*'01 Control'!$C$16</f>
        <v/>
      </c>
      <c r="L19" s="150">
        <f>$J19+$K19</f>
        <v/>
      </c>
      <c r="M19" s="153">
        <f>'01 Control'!$C$19</f>
        <v/>
      </c>
      <c r="N19" s="150">
        <f>IF($J19=0,"",$J19/(1-$M19))</f>
        <v/>
      </c>
      <c r="O19" s="150">
        <f>IF($N19="","",$N19*(1+'01 Control'!$C$6))</f>
        <v/>
      </c>
      <c r="P19" s="148" t="n">
        <v>36</v>
      </c>
      <c r="Q19" s="151">
        <f>IF(N($P19)&gt;0,$P19,IF($O19="","",$O19))</f>
        <v/>
      </c>
      <c r="R19" s="182">
        <f>IF(OR($Q19="",$Q19=0),"",($Q19/(1+'01 Control'!$C$6)-$J19)/($Q19/(1+'01 Control'!$C$6)))</f>
        <v/>
      </c>
      <c r="S19" s="152">
        <f>COUNTIFS('10 Core Menu BOM'!$A$5:$A$300,$A19)-COUNTIFS('10 Core Menu BOM'!$A$5:$A$300,$A19,'10 Core Menu BOM'!$I$5:$I$300,"&gt;=0")</f>
        <v/>
      </c>
      <c r="T19" s="162">
        <f>IF($S19&gt;0,"INCOMPLETE - "&amp;$S19&amp;" line(s) unpriced",IF($J19=0,"BOM COST MISSING",IF($R19&lt;$M19-0.02,"BELOW GP TARGET","READY")))</f>
        <v/>
      </c>
      <c r="U19" s="146" t="n">
        <v>0.03</v>
      </c>
      <c r="V19" s="153">
        <f>IF($J19=0,"",('01 Control'!$C$29/(1+'01 Control'!$C$6)-$J19)/('01 Control'!$C$29/(1+'01 Control'!$C$6)))</f>
        <v/>
      </c>
      <c r="W19" s="153">
        <f>IF($J19=0,"",('01 Control'!$C$30/(1+'01 Control'!$C$6)-$J19)/('01 Control'!$C$30/(1+'01 Control'!$C$6)))</f>
        <v/>
      </c>
      <c r="X19" s="153">
        <f>IF($J19=0,"",('01 Control'!$C$31/(1+'01 Control'!$C$6)-$J19)/('01 Control'!$C$31/(1+'01 Control'!$C$6)))</f>
        <v/>
      </c>
      <c r="Y19" s="183">
        <f>IF(ISNUMBER($Q19),$Q19,0)*N($U19)</f>
        <v/>
      </c>
      <c r="Z19" s="183">
        <f>IF(ISNUMBER($H19),$H19,0)*N($U19)</f>
        <v/>
      </c>
      <c r="AA19" s="183">
        <f>IF(ISNUMBER($I19),$I19,0)*N($U19)</f>
        <v/>
      </c>
      <c r="AB19" s="184" t="inlineStr">
        <is>
          <t>Set B - Menu Concepts</t>
        </is>
      </c>
    </row>
    <row r="20" ht="15" customHeight="1" s="106">
      <c r="A20" s="134" t="inlineStr">
        <is>
          <t>PP-SAL-GARDEN</t>
        </is>
      </c>
      <c r="B20" s="113" t="inlineStr">
        <is>
          <t>Microgreen Garden Salad</t>
        </is>
      </c>
      <c r="C20" s="138" t="inlineStr">
        <is>
          <t>Core - Salad</t>
        </is>
      </c>
      <c r="D20" s="138" t="inlineStr">
        <is>
          <t>Permanent</t>
        </is>
      </c>
      <c r="E20" s="180" t="inlineStr">
        <is>
          <t>-</t>
        </is>
      </c>
      <c r="F20" s="138" t="inlineStr">
        <is>
          <t>-</t>
        </is>
      </c>
      <c r="G20" s="138" t="inlineStr">
        <is>
          <t>-</t>
        </is>
      </c>
      <c r="H20" s="150">
        <f>SUMIFS('10 Core Menu BOM'!$K$5:$K$300,'10 Core Menu BOM'!$A$5:$A$300,$A20)-$I20</f>
        <v/>
      </c>
      <c r="I20" s="150">
        <f>SUMIFS('10 Core Menu BOM'!$K$5:$K$300,'10 Core Menu BOM'!$A$5:$A$300,$A20,'10 Core Menu BOM'!$D$5:$D$300,"Packaging")</f>
        <v/>
      </c>
      <c r="J20" s="181">
        <f>$H20+$I20</f>
        <v/>
      </c>
      <c r="K20" s="150">
        <f>$H20*'01 Control'!$C$16</f>
        <v/>
      </c>
      <c r="L20" s="150">
        <f>$J20+$K20</f>
        <v/>
      </c>
      <c r="M20" s="153">
        <f>'01 Control'!$C$19</f>
        <v/>
      </c>
      <c r="N20" s="150">
        <f>IF($J20=0,"",$J20/(1-$M20))</f>
        <v/>
      </c>
      <c r="O20" s="150">
        <f>IF($N20="","",$N20*(1+'01 Control'!$C$6))</f>
        <v/>
      </c>
      <c r="P20" s="148" t="n">
        <v>28</v>
      </c>
      <c r="Q20" s="151">
        <f>IF(N($P20)&gt;0,$P20,IF($O20="","",$O20))</f>
        <v/>
      </c>
      <c r="R20" s="182">
        <f>IF(OR($Q20="",$Q20=0),"",($Q20/(1+'01 Control'!$C$6)-$J20)/($Q20/(1+'01 Control'!$C$6)))</f>
        <v/>
      </c>
      <c r="S20" s="152">
        <f>COUNTIFS('10 Core Menu BOM'!$A$5:$A$300,$A20)-COUNTIFS('10 Core Menu BOM'!$A$5:$A$300,$A20,'10 Core Menu BOM'!$I$5:$I$300,"&gt;=0")</f>
        <v/>
      </c>
      <c r="T20" s="162">
        <f>IF($S20&gt;0,"INCOMPLETE - "&amp;$S20&amp;" line(s) unpriced",IF($J20=0,"BOM COST MISSING",IF($R20&lt;$M20-0.02,"BELOW GP TARGET","READY")))</f>
        <v/>
      </c>
      <c r="U20" s="146" t="n">
        <v>0.02</v>
      </c>
      <c r="V20" s="153">
        <f>IF($J20=0,"",('01 Control'!$C$29/(1+'01 Control'!$C$6)-$J20)/('01 Control'!$C$29/(1+'01 Control'!$C$6)))</f>
        <v/>
      </c>
      <c r="W20" s="153">
        <f>IF($J20=0,"",('01 Control'!$C$30/(1+'01 Control'!$C$6)-$J20)/('01 Control'!$C$30/(1+'01 Control'!$C$6)))</f>
        <v/>
      </c>
      <c r="X20" s="153">
        <f>IF($J20=0,"",('01 Control'!$C$31/(1+'01 Control'!$C$6)-$J20)/('01 Control'!$C$31/(1+'01 Control'!$C$6)))</f>
        <v/>
      </c>
      <c r="Y20" s="183">
        <f>IF(ISNUMBER($Q20),$Q20,0)*N($U20)</f>
        <v/>
      </c>
      <c r="Z20" s="183">
        <f>IF(ISNUMBER($H20),$H20,0)*N($U20)</f>
        <v/>
      </c>
      <c r="AA20" s="183">
        <f>IF(ISNUMBER($I20),$I20,0)*N($U20)</f>
        <v/>
      </c>
      <c r="AB20" s="184" t="inlineStr">
        <is>
          <t>Set B - Menu Concepts</t>
        </is>
      </c>
    </row>
    <row r="22" ht="15" customHeight="1" s="106">
      <c r="A22" s="179" t="inlineStr">
        <is>
          <t>ADD-ONS</t>
        </is>
      </c>
      <c r="B22" s="110" t="n"/>
      <c r="C22" s="110" t="n"/>
      <c r="D22" s="110" t="n"/>
      <c r="E22" s="110" t="n"/>
      <c r="F22" s="110" t="n"/>
      <c r="G22" s="110" t="n"/>
      <c r="H22" s="110" t="n"/>
      <c r="I22" s="110" t="n"/>
      <c r="J22" s="110" t="n"/>
      <c r="K22" s="110" t="n"/>
      <c r="L22" s="110" t="n"/>
      <c r="M22" s="110" t="n"/>
      <c r="N22" s="110" t="n"/>
      <c r="O22" s="110" t="n"/>
      <c r="P22" s="110" t="n"/>
      <c r="Q22" s="110" t="n"/>
      <c r="R22" s="110" t="n"/>
      <c r="S22" s="110" t="n"/>
      <c r="T22" s="110" t="n"/>
      <c r="U22" s="110" t="n"/>
      <c r="V22" s="110" t="n"/>
      <c r="W22" s="110" t="n"/>
      <c r="X22" s="110" t="n"/>
      <c r="Y22" s="110" t="n"/>
      <c r="Z22" s="110" t="n"/>
      <c r="AA22" s="110" t="n"/>
      <c r="AB22" s="111" t="n"/>
    </row>
    <row r="23" ht="43.5" customHeight="1" s="106">
      <c r="A23" s="112" t="inlineStr">
        <is>
          <t>Menu SKU</t>
        </is>
      </c>
      <c r="B23" s="112" t="inlineStr">
        <is>
          <t>Menu Item</t>
        </is>
      </c>
      <c r="C23" s="112" t="inlineStr">
        <is>
          <t>Tier / Group</t>
        </is>
      </c>
      <c r="D23" s="112" t="inlineStr">
        <is>
          <t>Season / Drop</t>
        </is>
      </c>
      <c r="E23" s="112" t="inlineStr">
        <is>
          <t>Shape</t>
        </is>
      </c>
      <c r="F23" s="112" t="inlineStr">
        <is>
          <t>Pasta Formula</t>
        </is>
      </c>
      <c r="G23" s="112" t="inlineStr">
        <is>
          <t>Base Sauce</t>
        </is>
      </c>
      <c r="H23" s="112" t="inlineStr">
        <is>
          <t>Food Cost</t>
        </is>
      </c>
      <c r="I23" s="112" t="inlineStr">
        <is>
          <t>Packaging
Cost</t>
        </is>
      </c>
      <c r="J23" s="112" t="inlineStr">
        <is>
          <t>Total Direct
Cost</t>
        </is>
      </c>
      <c r="K23" s="112" t="inlineStr">
        <is>
          <t>Store Labour
Allowance</t>
        </is>
      </c>
      <c r="L23" s="112" t="inlineStr">
        <is>
          <t>Fully Loaded
Cost</t>
        </is>
      </c>
      <c r="M23" s="112" t="inlineStr">
        <is>
          <t>Target
GP%</t>
        </is>
      </c>
      <c r="N23" s="112" t="inlineStr">
        <is>
          <t>Recommended
Sell (excl VAT)</t>
        </is>
      </c>
      <c r="O23" s="112" t="inlineStr">
        <is>
          <t>Recommended
Sell (incl VAT)</t>
        </is>
      </c>
      <c r="P23" s="112" t="inlineStr">
        <is>
          <t>Approved Sell
(incl VAT)</t>
        </is>
      </c>
      <c r="Q23" s="112" t="inlineStr">
        <is>
          <t>FINAL SELL
(incl VAT)</t>
        </is>
      </c>
      <c r="R23" s="112" t="inlineStr">
        <is>
          <t>Actual
GP%</t>
        </is>
      </c>
      <c r="S23" s="112" t="inlineStr">
        <is>
          <t>Lines
Unpriced</t>
        </is>
      </c>
      <c r="T23" s="112" t="inlineStr">
        <is>
          <t>Cost Status</t>
        </is>
      </c>
      <c r="U23" s="112" t="inlineStr">
        <is>
          <t>MENU
MIX %</t>
        </is>
      </c>
      <c r="V23" s="112" t="inlineStr">
        <is>
          <t>GP% at
Price A</t>
        </is>
      </c>
      <c r="W23" s="112" t="inlineStr">
        <is>
          <t>GP% at
Price B</t>
        </is>
      </c>
      <c r="X23" s="112" t="inlineStr">
        <is>
          <t>GP% at
Price C</t>
        </is>
      </c>
      <c r="Y23" s="112" t="inlineStr">
        <is>
          <t>Weighted
Revenue</t>
        </is>
      </c>
      <c r="Z23" s="112" t="inlineStr">
        <is>
          <t>Weighted
Food Cost</t>
        </is>
      </c>
      <c r="AA23" s="112" t="inlineStr">
        <is>
          <t>Weighted
Packaging</t>
        </is>
      </c>
      <c r="AB23" s="112" t="inlineStr">
        <is>
          <t>Approved Price
Source</t>
        </is>
      </c>
    </row>
    <row r="24" ht="15" customHeight="1" s="106">
      <c r="A24" s="134" t="inlineStr">
        <is>
          <t>PP-ADD-BEEF</t>
        </is>
      </c>
      <c r="B24" s="113" t="inlineStr">
        <is>
          <t>Add Seasoned Beef (100 g)</t>
        </is>
      </c>
      <c r="C24" s="138" t="inlineStr">
        <is>
          <t>Core - Add-on</t>
        </is>
      </c>
      <c r="D24" s="138" t="inlineStr">
        <is>
          <t>Permanent</t>
        </is>
      </c>
      <c r="E24" s="180" t="inlineStr">
        <is>
          <t>-</t>
        </is>
      </c>
      <c r="F24" s="138" t="inlineStr">
        <is>
          <t>-</t>
        </is>
      </c>
      <c r="G24" s="138" t="inlineStr">
        <is>
          <t>-</t>
        </is>
      </c>
      <c r="H24" s="150">
        <f>SUMIFS('10 Core Menu BOM'!$K$5:$K$300,'10 Core Menu BOM'!$A$5:$A$300,$A24)-$I24</f>
        <v/>
      </c>
      <c r="I24" s="150">
        <f>SUMIFS('10 Core Menu BOM'!$K$5:$K$300,'10 Core Menu BOM'!$A$5:$A$300,$A24,'10 Core Menu BOM'!$D$5:$D$300,"Packaging")</f>
        <v/>
      </c>
      <c r="J24" s="181">
        <f>$H24+$I24</f>
        <v/>
      </c>
      <c r="K24" s="150">
        <f>$H24*'01 Control'!$C$16</f>
        <v/>
      </c>
      <c r="L24" s="150">
        <f>$J24+$K24</f>
        <v/>
      </c>
      <c r="M24" s="153">
        <f>'01 Control'!$C$20</f>
        <v/>
      </c>
      <c r="N24" s="150">
        <f>IF($J24=0,"",$J24/(1-$M24))</f>
        <v/>
      </c>
      <c r="O24" s="150">
        <f>IF($N24="","",$N24*(1+'01 Control'!$C$6))</f>
        <v/>
      </c>
      <c r="P24" s="148" t="n">
        <v>45</v>
      </c>
      <c r="Q24" s="151">
        <f>IF(N($P24)&gt;0,$P24,IF($O24="","",$O24))</f>
        <v/>
      </c>
      <c r="R24" s="182">
        <f>IF(OR($Q24="",$Q24=0),"",($Q24/(1+'01 Control'!$C$6)-$J24)/($Q24/(1+'01 Control'!$C$6)))</f>
        <v/>
      </c>
      <c r="S24" s="152">
        <f>COUNTIFS('10 Core Menu BOM'!$A$5:$A$300,$A24)-COUNTIFS('10 Core Menu BOM'!$A$5:$A$300,$A24,'10 Core Menu BOM'!$I$5:$I$300,"&gt;=0")</f>
        <v/>
      </c>
      <c r="T24" s="162">
        <f>IF($S24&gt;0,"INCOMPLETE - "&amp;$S24&amp;" line(s) unpriced",IF($J24=0,"BOM COST MISSING",IF($R24&lt;$M24-0.02,"BELOW GP TARGET","READY")))</f>
        <v/>
      </c>
      <c r="U24" s="146" t="n">
        <v>0</v>
      </c>
      <c r="V24" s="153">
        <f>IF($J24=0,"",('01 Control'!$C$29/(1+'01 Control'!$C$6)-$J24)/('01 Control'!$C$29/(1+'01 Control'!$C$6)))</f>
        <v/>
      </c>
      <c r="W24" s="153">
        <f>IF($J24=0,"",('01 Control'!$C$30/(1+'01 Control'!$C$6)-$J24)/('01 Control'!$C$30/(1+'01 Control'!$C$6)))</f>
        <v/>
      </c>
      <c r="X24" s="153">
        <f>IF($J24=0,"",('01 Control'!$C$31/(1+'01 Control'!$C$6)-$J24)/('01 Control'!$C$31/(1+'01 Control'!$C$6)))</f>
        <v/>
      </c>
      <c r="Y24" s="183">
        <f>IF(ISNUMBER($Q24),$Q24,0)*N($U24)</f>
        <v/>
      </c>
      <c r="Z24" s="183">
        <f>IF(ISNUMBER($H24),$H24,0)*N($U24)</f>
        <v/>
      </c>
      <c r="AA24" s="183">
        <f>IF(ISNUMBER($I24),$I24,0)*N($U24)</f>
        <v/>
      </c>
      <c r="AB24" s="184" t="inlineStr">
        <is>
          <t>Set B - Menu Concepts</t>
        </is>
      </c>
    </row>
    <row r="25" ht="15" customHeight="1" s="106">
      <c r="A25" s="134" t="inlineStr">
        <is>
          <t>PP-ADD-MEATBALL</t>
        </is>
      </c>
      <c r="B25" s="113" t="inlineStr">
        <is>
          <t>Add Beef Meatballs (3)</t>
        </is>
      </c>
      <c r="C25" s="138" t="inlineStr">
        <is>
          <t>Core - Add-on</t>
        </is>
      </c>
      <c r="D25" s="138" t="inlineStr">
        <is>
          <t>Permanent</t>
        </is>
      </c>
      <c r="E25" s="180" t="inlineStr">
        <is>
          <t>-</t>
        </is>
      </c>
      <c r="F25" s="138" t="inlineStr">
        <is>
          <t>-</t>
        </is>
      </c>
      <c r="G25" s="138" t="inlineStr">
        <is>
          <t>-</t>
        </is>
      </c>
      <c r="H25" s="150">
        <f>SUMIFS('10 Core Menu BOM'!$K$5:$K$300,'10 Core Menu BOM'!$A$5:$A$300,$A25)-$I25</f>
        <v/>
      </c>
      <c r="I25" s="150">
        <f>SUMIFS('10 Core Menu BOM'!$K$5:$K$300,'10 Core Menu BOM'!$A$5:$A$300,$A25,'10 Core Menu BOM'!$D$5:$D$300,"Packaging")</f>
        <v/>
      </c>
      <c r="J25" s="181">
        <f>$H25+$I25</f>
        <v/>
      </c>
      <c r="K25" s="150">
        <f>$H25*'01 Control'!$C$16</f>
        <v/>
      </c>
      <c r="L25" s="150">
        <f>$J25+$K25</f>
        <v/>
      </c>
      <c r="M25" s="153">
        <f>'01 Control'!$C$20</f>
        <v/>
      </c>
      <c r="N25" s="150">
        <f>IF($J25=0,"",$J25/(1-$M25))</f>
        <v/>
      </c>
      <c r="O25" s="150">
        <f>IF($N25="","",$N25*(1+'01 Control'!$C$6))</f>
        <v/>
      </c>
      <c r="P25" s="148" t="n">
        <v>50</v>
      </c>
      <c r="Q25" s="151">
        <f>IF(N($P25)&gt;0,$P25,IF($O25="","",$O25))</f>
        <v/>
      </c>
      <c r="R25" s="182">
        <f>IF(OR($Q25="",$Q25=0),"",($Q25/(1+'01 Control'!$C$6)-$J25)/($Q25/(1+'01 Control'!$C$6)))</f>
        <v/>
      </c>
      <c r="S25" s="152">
        <f>COUNTIFS('10 Core Menu BOM'!$A$5:$A$300,$A25)-COUNTIFS('10 Core Menu BOM'!$A$5:$A$300,$A25,'10 Core Menu BOM'!$I$5:$I$300,"&gt;=0")</f>
        <v/>
      </c>
      <c r="T25" s="162">
        <f>IF($S25&gt;0,"INCOMPLETE - "&amp;$S25&amp;" line(s) unpriced",IF($J25=0,"BOM COST MISSING",IF($R25&lt;$M25-0.02,"BELOW GP TARGET","READY")))</f>
        <v/>
      </c>
      <c r="U25" s="146" t="n">
        <v>0</v>
      </c>
      <c r="V25" s="153">
        <f>IF($J25=0,"",('01 Control'!$C$29/(1+'01 Control'!$C$6)-$J25)/('01 Control'!$C$29/(1+'01 Control'!$C$6)))</f>
        <v/>
      </c>
      <c r="W25" s="153">
        <f>IF($J25=0,"",('01 Control'!$C$30/(1+'01 Control'!$C$6)-$J25)/('01 Control'!$C$30/(1+'01 Control'!$C$6)))</f>
        <v/>
      </c>
      <c r="X25" s="153">
        <f>IF($J25=0,"",('01 Control'!$C$31/(1+'01 Control'!$C$6)-$J25)/('01 Control'!$C$31/(1+'01 Control'!$C$6)))</f>
        <v/>
      </c>
      <c r="Y25" s="183">
        <f>IF(ISNUMBER($Q25),$Q25,0)*N($U25)</f>
        <v/>
      </c>
      <c r="Z25" s="183">
        <f>IF(ISNUMBER($H25),$H25,0)*N($U25)</f>
        <v/>
      </c>
      <c r="AA25" s="183">
        <f>IF(ISNUMBER($I25),$I25,0)*N($U25)</f>
        <v/>
      </c>
      <c r="AB25" s="184" t="inlineStr">
        <is>
          <t>Set A - TV kiosk board</t>
        </is>
      </c>
    </row>
    <row r="26" ht="15" customHeight="1" s="106">
      <c r="A26" s="134" t="inlineStr">
        <is>
          <t>PP-ADD-BACON</t>
        </is>
      </c>
      <c r="B26" s="113" t="inlineStr">
        <is>
          <t>Add Beef Bacon (45 g)</t>
        </is>
      </c>
      <c r="C26" s="138" t="inlineStr">
        <is>
          <t>Core - Add-on</t>
        </is>
      </c>
      <c r="D26" s="138" t="inlineStr">
        <is>
          <t>Permanent</t>
        </is>
      </c>
      <c r="E26" s="180" t="inlineStr">
        <is>
          <t>-</t>
        </is>
      </c>
      <c r="F26" s="138" t="inlineStr">
        <is>
          <t>-</t>
        </is>
      </c>
      <c r="G26" s="138" t="inlineStr">
        <is>
          <t>-</t>
        </is>
      </c>
      <c r="H26" s="150">
        <f>SUMIFS('10 Core Menu BOM'!$K$5:$K$300,'10 Core Menu BOM'!$A$5:$A$300,$A26)-$I26</f>
        <v/>
      </c>
      <c r="I26" s="150">
        <f>SUMIFS('10 Core Menu BOM'!$K$5:$K$300,'10 Core Menu BOM'!$A$5:$A$300,$A26,'10 Core Menu BOM'!$D$5:$D$300,"Packaging")</f>
        <v/>
      </c>
      <c r="J26" s="181">
        <f>$H26+$I26</f>
        <v/>
      </c>
      <c r="K26" s="150">
        <f>$H26*'01 Control'!$C$16</f>
        <v/>
      </c>
      <c r="L26" s="150">
        <f>$J26+$K26</f>
        <v/>
      </c>
      <c r="M26" s="153">
        <f>'01 Control'!$C$20</f>
        <v/>
      </c>
      <c r="N26" s="150">
        <f>IF($J26=0,"",$J26/(1-$M26))</f>
        <v/>
      </c>
      <c r="O26" s="150">
        <f>IF($N26="","",$N26*(1+'01 Control'!$C$6))</f>
        <v/>
      </c>
      <c r="P26" s="148" t="n">
        <v>40</v>
      </c>
      <c r="Q26" s="151">
        <f>IF(N($P26)&gt;0,$P26,IF($O26="","",$O26))</f>
        <v/>
      </c>
      <c r="R26" s="182">
        <f>IF(OR($Q26="",$Q26=0),"",($Q26/(1+'01 Control'!$C$6)-$J26)/($Q26/(1+'01 Control'!$C$6)))</f>
        <v/>
      </c>
      <c r="S26" s="152">
        <f>COUNTIFS('10 Core Menu BOM'!$A$5:$A$300,$A26)-COUNTIFS('10 Core Menu BOM'!$A$5:$A$300,$A26,'10 Core Menu BOM'!$I$5:$I$300,"&gt;=0")</f>
        <v/>
      </c>
      <c r="T26" s="162">
        <f>IF($S26&gt;0,"INCOMPLETE - "&amp;$S26&amp;" line(s) unpriced",IF($J26=0,"BOM COST MISSING",IF($R26&lt;$M26-0.02,"BELOW GP TARGET","READY")))</f>
        <v/>
      </c>
      <c r="U26" s="146" t="n">
        <v>0</v>
      </c>
      <c r="V26" s="153">
        <f>IF($J26=0,"",('01 Control'!$C$29/(1+'01 Control'!$C$6)-$J26)/('01 Control'!$C$29/(1+'01 Control'!$C$6)))</f>
        <v/>
      </c>
      <c r="W26" s="153">
        <f>IF($J26=0,"",('01 Control'!$C$30/(1+'01 Control'!$C$6)-$J26)/('01 Control'!$C$30/(1+'01 Control'!$C$6)))</f>
        <v/>
      </c>
      <c r="X26" s="153">
        <f>IF($J26=0,"",('01 Control'!$C$31/(1+'01 Control'!$C$6)-$J26)/('01 Control'!$C$31/(1+'01 Control'!$C$6)))</f>
        <v/>
      </c>
      <c r="Y26" s="183">
        <f>IF(ISNUMBER($Q26),$Q26,0)*N($U26)</f>
        <v/>
      </c>
      <c r="Z26" s="183">
        <f>IF(ISNUMBER($H26),$H26,0)*N($U26)</f>
        <v/>
      </c>
      <c r="AA26" s="183">
        <f>IF(ISNUMBER($I26),$I26,0)*N($U26)</f>
        <v/>
      </c>
      <c r="AB26" s="184" t="inlineStr">
        <is>
          <t>Set B - Menu Concepts</t>
        </is>
      </c>
    </row>
    <row r="27" ht="15" customHeight="1" s="106">
      <c r="A27" s="134" t="inlineStr">
        <is>
          <t>PP-ADD-CHEESE</t>
        </is>
      </c>
      <c r="B27" s="113" t="inlineStr">
        <is>
          <t>Add Extra Parmesan</t>
        </is>
      </c>
      <c r="C27" s="138" t="inlineStr">
        <is>
          <t>Core - Add-on</t>
        </is>
      </c>
      <c r="D27" s="138" t="inlineStr">
        <is>
          <t>Permanent</t>
        </is>
      </c>
      <c r="E27" s="180" t="inlineStr">
        <is>
          <t>-</t>
        </is>
      </c>
      <c r="F27" s="138" t="inlineStr">
        <is>
          <t>-</t>
        </is>
      </c>
      <c r="G27" s="138" t="inlineStr">
        <is>
          <t>-</t>
        </is>
      </c>
      <c r="H27" s="150">
        <f>SUMIFS('10 Core Menu BOM'!$K$5:$K$300,'10 Core Menu BOM'!$A$5:$A$300,$A27)-$I27</f>
        <v/>
      </c>
      <c r="I27" s="150">
        <f>SUMIFS('10 Core Menu BOM'!$K$5:$K$300,'10 Core Menu BOM'!$A$5:$A$300,$A27,'10 Core Menu BOM'!$D$5:$D$300,"Packaging")</f>
        <v/>
      </c>
      <c r="J27" s="181">
        <f>$H27+$I27</f>
        <v/>
      </c>
      <c r="K27" s="150">
        <f>$H27*'01 Control'!$C$16</f>
        <v/>
      </c>
      <c r="L27" s="150">
        <f>$J27+$K27</f>
        <v/>
      </c>
      <c r="M27" s="153">
        <f>'01 Control'!$C$20</f>
        <v/>
      </c>
      <c r="N27" s="150">
        <f>IF($J27=0,"",$J27/(1-$M27))</f>
        <v/>
      </c>
      <c r="O27" s="150">
        <f>IF($N27="","",$N27*(1+'01 Control'!$C$6))</f>
        <v/>
      </c>
      <c r="P27" s="148" t="n">
        <v>20</v>
      </c>
      <c r="Q27" s="151">
        <f>IF(N($P27)&gt;0,$P27,IF($O27="","",$O27))</f>
        <v/>
      </c>
      <c r="R27" s="182">
        <f>IF(OR($Q27="",$Q27=0),"",($Q27/(1+'01 Control'!$C$6)-$J27)/($Q27/(1+'01 Control'!$C$6)))</f>
        <v/>
      </c>
      <c r="S27" s="152">
        <f>COUNTIFS('10 Core Menu BOM'!$A$5:$A$300,$A27)-COUNTIFS('10 Core Menu BOM'!$A$5:$A$300,$A27,'10 Core Menu BOM'!$I$5:$I$300,"&gt;=0")</f>
        <v/>
      </c>
      <c r="T27" s="162">
        <f>IF($S27&gt;0,"INCOMPLETE - "&amp;$S27&amp;" line(s) unpriced",IF($J27=0,"BOM COST MISSING",IF($R27&lt;$M27-0.02,"BELOW GP TARGET","READY")))</f>
        <v/>
      </c>
      <c r="U27" s="146" t="n">
        <v>0</v>
      </c>
      <c r="V27" s="153">
        <f>IF($J27=0,"",('01 Control'!$C$29/(1+'01 Control'!$C$6)-$J27)/('01 Control'!$C$29/(1+'01 Control'!$C$6)))</f>
        <v/>
      </c>
      <c r="W27" s="153">
        <f>IF($J27=0,"",('01 Control'!$C$30/(1+'01 Control'!$C$6)-$J27)/('01 Control'!$C$30/(1+'01 Control'!$C$6)))</f>
        <v/>
      </c>
      <c r="X27" s="153">
        <f>IF($J27=0,"",('01 Control'!$C$31/(1+'01 Control'!$C$6)-$J27)/('01 Control'!$C$31/(1+'01 Control'!$C$6)))</f>
        <v/>
      </c>
      <c r="Y27" s="183">
        <f>IF(ISNUMBER($Q27),$Q27,0)*N($U27)</f>
        <v/>
      </c>
      <c r="Z27" s="183">
        <f>IF(ISNUMBER($H27),$H27,0)*N($U27)</f>
        <v/>
      </c>
      <c r="AA27" s="183">
        <f>IF(ISNUMBER($I27),$I27,0)*N($U27)</f>
        <v/>
      </c>
      <c r="AB27" s="184" t="inlineStr">
        <is>
          <t>Set A - TV kiosk board</t>
        </is>
      </c>
    </row>
    <row r="28" ht="15" customHeight="1" s="106">
      <c r="A28" s="134" t="inlineStr">
        <is>
          <t>PP-ADD-CRUMB</t>
        </is>
      </c>
      <c r="B28" s="113" t="inlineStr">
        <is>
          <t>Add Garlic Crumb</t>
        </is>
      </c>
      <c r="C28" s="138" t="inlineStr">
        <is>
          <t>Core - Add-on</t>
        </is>
      </c>
      <c r="D28" s="138" t="inlineStr">
        <is>
          <t>Permanent</t>
        </is>
      </c>
      <c r="E28" s="180" t="inlineStr">
        <is>
          <t>-</t>
        </is>
      </c>
      <c r="F28" s="138" t="inlineStr">
        <is>
          <t>-</t>
        </is>
      </c>
      <c r="G28" s="138" t="inlineStr">
        <is>
          <t>-</t>
        </is>
      </c>
      <c r="H28" s="150">
        <f>SUMIFS('10 Core Menu BOM'!$K$5:$K$300,'10 Core Menu BOM'!$A$5:$A$300,$A28)-$I28</f>
        <v/>
      </c>
      <c r="I28" s="150">
        <f>SUMIFS('10 Core Menu BOM'!$K$5:$K$300,'10 Core Menu BOM'!$A$5:$A$300,$A28,'10 Core Menu BOM'!$D$5:$D$300,"Packaging")</f>
        <v/>
      </c>
      <c r="J28" s="181">
        <f>$H28+$I28</f>
        <v/>
      </c>
      <c r="K28" s="150">
        <f>$H28*'01 Control'!$C$16</f>
        <v/>
      </c>
      <c r="L28" s="150">
        <f>$J28+$K28</f>
        <v/>
      </c>
      <c r="M28" s="153">
        <f>'01 Control'!$C$20</f>
        <v/>
      </c>
      <c r="N28" s="150">
        <f>IF($J28=0,"",$J28/(1-$M28))</f>
        <v/>
      </c>
      <c r="O28" s="150">
        <f>IF($N28="","",$N28*(1+'01 Control'!$C$6))</f>
        <v/>
      </c>
      <c r="P28" s="148" t="n">
        <v>15</v>
      </c>
      <c r="Q28" s="151">
        <f>IF(N($P28)&gt;0,$P28,IF($O28="","",$O28))</f>
        <v/>
      </c>
      <c r="R28" s="182">
        <f>IF(OR($Q28="",$Q28=0),"",($Q28/(1+'01 Control'!$C$6)-$J28)/($Q28/(1+'01 Control'!$C$6)))</f>
        <v/>
      </c>
      <c r="S28" s="152">
        <f>COUNTIFS('10 Core Menu BOM'!$A$5:$A$300,$A28)-COUNTIFS('10 Core Menu BOM'!$A$5:$A$300,$A28,'10 Core Menu BOM'!$I$5:$I$300,"&gt;=0")</f>
        <v/>
      </c>
      <c r="T28" s="162">
        <f>IF($S28&gt;0,"INCOMPLETE - "&amp;$S28&amp;" line(s) unpriced",IF($J28=0,"BOM COST MISSING",IF($R28&lt;$M28-0.02,"BELOW GP TARGET","READY")))</f>
        <v/>
      </c>
      <c r="U28" s="146" t="n">
        <v>0</v>
      </c>
      <c r="V28" s="153">
        <f>IF($J28=0,"",('01 Control'!$C$29/(1+'01 Control'!$C$6)-$J28)/('01 Control'!$C$29/(1+'01 Control'!$C$6)))</f>
        <v/>
      </c>
      <c r="W28" s="153">
        <f>IF($J28=0,"",('01 Control'!$C$30/(1+'01 Control'!$C$6)-$J28)/('01 Control'!$C$30/(1+'01 Control'!$C$6)))</f>
        <v/>
      </c>
      <c r="X28" s="153">
        <f>IF($J28=0,"",('01 Control'!$C$31/(1+'01 Control'!$C$6)-$J28)/('01 Control'!$C$31/(1+'01 Control'!$C$6)))</f>
        <v/>
      </c>
      <c r="Y28" s="183">
        <f>IF(ISNUMBER($Q28),$Q28,0)*N($U28)</f>
        <v/>
      </c>
      <c r="Z28" s="183">
        <f>IF(ISNUMBER($H28),$H28,0)*N($U28)</f>
        <v/>
      </c>
      <c r="AA28" s="183">
        <f>IF(ISNUMBER($I28),$I28,0)*N($U28)</f>
        <v/>
      </c>
      <c r="AB28" s="184" t="inlineStr">
        <is>
          <t>Set A - TV kiosk board</t>
        </is>
      </c>
    </row>
    <row r="29" ht="15" customHeight="1" s="106">
      <c r="A29" s="134" t="inlineStr">
        <is>
          <t>PP-ADD-CHILLI</t>
        </is>
      </c>
      <c r="B29" s="113" t="inlineStr">
        <is>
          <t>Add Chilli Hit</t>
        </is>
      </c>
      <c r="C29" s="138" t="inlineStr">
        <is>
          <t>Core - Add-on</t>
        </is>
      </c>
      <c r="D29" s="138" t="inlineStr">
        <is>
          <t>Permanent</t>
        </is>
      </c>
      <c r="E29" s="180" t="inlineStr">
        <is>
          <t>-</t>
        </is>
      </c>
      <c r="F29" s="138" t="inlineStr">
        <is>
          <t>-</t>
        </is>
      </c>
      <c r="G29" s="138" t="inlineStr">
        <is>
          <t>-</t>
        </is>
      </c>
      <c r="H29" s="150">
        <f>SUMIFS('10 Core Menu BOM'!$K$5:$K$300,'10 Core Menu BOM'!$A$5:$A$300,$A29)-$I29</f>
        <v/>
      </c>
      <c r="I29" s="150">
        <f>SUMIFS('10 Core Menu BOM'!$K$5:$K$300,'10 Core Menu BOM'!$A$5:$A$300,$A29,'10 Core Menu BOM'!$D$5:$D$300,"Packaging")</f>
        <v/>
      </c>
      <c r="J29" s="181">
        <f>$H29+$I29</f>
        <v/>
      </c>
      <c r="K29" s="150">
        <f>$H29*'01 Control'!$C$16</f>
        <v/>
      </c>
      <c r="L29" s="150">
        <f>$J29+$K29</f>
        <v/>
      </c>
      <c r="M29" s="153">
        <f>'01 Control'!$C$20</f>
        <v/>
      </c>
      <c r="N29" s="150">
        <f>IF($J29=0,"",$J29/(1-$M29))</f>
        <v/>
      </c>
      <c r="O29" s="150">
        <f>IF($N29="","",$N29*(1+'01 Control'!$C$6))</f>
        <v/>
      </c>
      <c r="P29" s="148" t="n">
        <v>10</v>
      </c>
      <c r="Q29" s="151">
        <f>IF(N($P29)&gt;0,$P29,IF($O29="","",$O29))</f>
        <v/>
      </c>
      <c r="R29" s="182">
        <f>IF(OR($Q29="",$Q29=0),"",($Q29/(1+'01 Control'!$C$6)-$J29)/($Q29/(1+'01 Control'!$C$6)))</f>
        <v/>
      </c>
      <c r="S29" s="152">
        <f>COUNTIFS('10 Core Menu BOM'!$A$5:$A$300,$A29)-COUNTIFS('10 Core Menu BOM'!$A$5:$A$300,$A29,'10 Core Menu BOM'!$I$5:$I$300,"&gt;=0")</f>
        <v/>
      </c>
      <c r="T29" s="162">
        <f>IF($S29&gt;0,"INCOMPLETE - "&amp;$S29&amp;" line(s) unpriced",IF($J29=0,"BOM COST MISSING",IF($R29&lt;$M29-0.02,"BELOW GP TARGET","READY")))</f>
        <v/>
      </c>
      <c r="U29" s="146" t="n">
        <v>0</v>
      </c>
      <c r="V29" s="153">
        <f>IF($J29=0,"",('01 Control'!$C$29/(1+'01 Control'!$C$6)-$J29)/('01 Control'!$C$29/(1+'01 Control'!$C$6)))</f>
        <v/>
      </c>
      <c r="W29" s="153">
        <f>IF($J29=0,"",('01 Control'!$C$30/(1+'01 Control'!$C$6)-$J29)/('01 Control'!$C$30/(1+'01 Control'!$C$6)))</f>
        <v/>
      </c>
      <c r="X29" s="153">
        <f>IF($J29=0,"",('01 Control'!$C$31/(1+'01 Control'!$C$6)-$J29)/('01 Control'!$C$31/(1+'01 Control'!$C$6)))</f>
        <v/>
      </c>
      <c r="Y29" s="183">
        <f>IF(ISNUMBER($Q29),$Q29,0)*N($U29)</f>
        <v/>
      </c>
      <c r="Z29" s="183">
        <f>IF(ISNUMBER($H29),$H29,0)*N($U29)</f>
        <v/>
      </c>
      <c r="AA29" s="183">
        <f>IF(ISNUMBER($I29),$I29,0)*N($U29)</f>
        <v/>
      </c>
      <c r="AB29" s="184" t="inlineStr">
        <is>
          <t>Set A - TV kiosk board</t>
        </is>
      </c>
    </row>
    <row r="30" ht="15" customHeight="1" s="106">
      <c r="A30" s="134" t="inlineStr">
        <is>
          <t>PP-ADD-SALADBEEF</t>
        </is>
      </c>
      <c r="B30" s="113" t="inlineStr">
        <is>
          <t>Add Beef to a Salad</t>
        </is>
      </c>
      <c r="C30" s="138" t="inlineStr">
        <is>
          <t>Core - Add-on</t>
        </is>
      </c>
      <c r="D30" s="138" t="inlineStr">
        <is>
          <t>Permanent</t>
        </is>
      </c>
      <c r="E30" s="180" t="inlineStr">
        <is>
          <t>-</t>
        </is>
      </c>
      <c r="F30" s="138" t="inlineStr">
        <is>
          <t>-</t>
        </is>
      </c>
      <c r="G30" s="138" t="inlineStr">
        <is>
          <t>-</t>
        </is>
      </c>
      <c r="H30" s="150">
        <f>SUMIFS('10 Core Menu BOM'!$K$5:$K$300,'10 Core Menu BOM'!$A$5:$A$300,$A30)-$I30</f>
        <v/>
      </c>
      <c r="I30" s="150">
        <f>SUMIFS('10 Core Menu BOM'!$K$5:$K$300,'10 Core Menu BOM'!$A$5:$A$300,$A30,'10 Core Menu BOM'!$D$5:$D$300,"Packaging")</f>
        <v/>
      </c>
      <c r="J30" s="181">
        <f>$H30+$I30</f>
        <v/>
      </c>
      <c r="K30" s="150">
        <f>$H30*'01 Control'!$C$16</f>
        <v/>
      </c>
      <c r="L30" s="150">
        <f>$J30+$K30</f>
        <v/>
      </c>
      <c r="M30" s="153">
        <f>'01 Control'!$C$20</f>
        <v/>
      </c>
      <c r="N30" s="150">
        <f>IF($J30=0,"",$J30/(1-$M30))</f>
        <v/>
      </c>
      <c r="O30" s="150">
        <f>IF($N30="","",$N30*(1+'01 Control'!$C$6))</f>
        <v/>
      </c>
      <c r="P30" s="148" t="n">
        <v>15</v>
      </c>
      <c r="Q30" s="151">
        <f>IF(N($P30)&gt;0,$P30,IF($O30="","",$O30))</f>
        <v/>
      </c>
      <c r="R30" s="182">
        <f>IF(OR($Q30="",$Q30=0),"",($Q30/(1+'01 Control'!$C$6)-$J30)/($Q30/(1+'01 Control'!$C$6)))</f>
        <v/>
      </c>
      <c r="S30" s="152">
        <f>COUNTIFS('10 Core Menu BOM'!$A$5:$A$300,$A30)-COUNTIFS('10 Core Menu BOM'!$A$5:$A$300,$A30,'10 Core Menu BOM'!$I$5:$I$300,"&gt;=0")</f>
        <v/>
      </c>
      <c r="T30" s="162">
        <f>IF($S30&gt;0,"INCOMPLETE - "&amp;$S30&amp;" line(s) unpriced",IF($J30=0,"BOM COST MISSING",IF($R30&lt;$M30-0.02,"BELOW GP TARGET","READY")))</f>
        <v/>
      </c>
      <c r="U30" s="146" t="n">
        <v>0</v>
      </c>
      <c r="V30" s="153">
        <f>IF($J30=0,"",('01 Control'!$C$29/(1+'01 Control'!$C$6)-$J30)/('01 Control'!$C$29/(1+'01 Control'!$C$6)))</f>
        <v/>
      </c>
      <c r="W30" s="153">
        <f>IF($J30=0,"",('01 Control'!$C$30/(1+'01 Control'!$C$6)-$J30)/('01 Control'!$C$30/(1+'01 Control'!$C$6)))</f>
        <v/>
      </c>
      <c r="X30" s="153">
        <f>IF($J30=0,"",('01 Control'!$C$31/(1+'01 Control'!$C$6)-$J30)/('01 Control'!$C$31/(1+'01 Control'!$C$6)))</f>
        <v/>
      </c>
      <c r="Y30" s="183">
        <f>IF(ISNUMBER($Q30),$Q30,0)*N($U30)</f>
        <v/>
      </c>
      <c r="Z30" s="183">
        <f>IF(ISNUMBER($H30),$H30,0)*N($U30)</f>
        <v/>
      </c>
      <c r="AA30" s="183">
        <f>IF(ISNUMBER($I30),$I30,0)*N($U30)</f>
        <v/>
      </c>
      <c r="AB30" s="184" t="inlineStr">
        <is>
          <t>Set B - Menu Concepts</t>
        </is>
      </c>
    </row>
    <row r="31" ht="15" customHeight="1" s="106">
      <c r="A31" s="134" t="inlineStr">
        <is>
          <t>PP-ADD-SLUSH-LG</t>
        </is>
      </c>
      <c r="B31" s="113" t="inlineStr">
        <is>
          <t>Upsize Slushee to 600 ml</t>
        </is>
      </c>
      <c r="C31" s="138" t="inlineStr">
        <is>
          <t>Core - Add-on</t>
        </is>
      </c>
      <c r="D31" s="138" t="inlineStr">
        <is>
          <t>Permanent</t>
        </is>
      </c>
      <c r="E31" s="180" t="inlineStr">
        <is>
          <t>-</t>
        </is>
      </c>
      <c r="F31" s="138" t="inlineStr">
        <is>
          <t>-</t>
        </is>
      </c>
      <c r="G31" s="138" t="inlineStr">
        <is>
          <t>-</t>
        </is>
      </c>
      <c r="H31" s="150">
        <f>SUMIFS('10 Core Menu BOM'!$K$5:$K$300,'10 Core Menu BOM'!$A$5:$A$300,$A31)-$I31</f>
        <v/>
      </c>
      <c r="I31" s="150">
        <f>SUMIFS('10 Core Menu BOM'!$K$5:$K$300,'10 Core Menu BOM'!$A$5:$A$300,$A31,'10 Core Menu BOM'!$D$5:$D$300,"Packaging")</f>
        <v/>
      </c>
      <c r="J31" s="181">
        <f>$H31+$I31</f>
        <v/>
      </c>
      <c r="K31" s="150">
        <f>$H31*'01 Control'!$C$16</f>
        <v/>
      </c>
      <c r="L31" s="150">
        <f>$J31+$K31</f>
        <v/>
      </c>
      <c r="M31" s="153">
        <f>'01 Control'!$C$20</f>
        <v/>
      </c>
      <c r="N31" s="150">
        <f>IF($J31=0,"",$J31/(1-$M31))</f>
        <v/>
      </c>
      <c r="O31" s="150">
        <f>IF($N31="","",$N31*(1+'01 Control'!$C$6))</f>
        <v/>
      </c>
      <c r="P31" s="148" t="n">
        <v>8</v>
      </c>
      <c r="Q31" s="151">
        <f>IF(N($P31)&gt;0,$P31,IF($O31="","",$O31))</f>
        <v/>
      </c>
      <c r="R31" s="182">
        <f>IF(OR($Q31="",$Q31=0),"",($Q31/(1+'01 Control'!$C$6)-$J31)/($Q31/(1+'01 Control'!$C$6)))</f>
        <v/>
      </c>
      <c r="S31" s="152">
        <f>COUNTIFS('10 Core Menu BOM'!$A$5:$A$300,$A31)-COUNTIFS('10 Core Menu BOM'!$A$5:$A$300,$A31,'10 Core Menu BOM'!$I$5:$I$300,"&gt;=0")</f>
        <v/>
      </c>
      <c r="T31" s="162">
        <f>IF($S31&gt;0,"INCOMPLETE - "&amp;$S31&amp;" line(s) unpriced",IF($J31=0,"BOM COST MISSING",IF($R31&lt;$M31-0.02,"BELOW GP TARGET","READY")))</f>
        <v/>
      </c>
      <c r="U31" s="146" t="n">
        <v>0</v>
      </c>
      <c r="V31" s="153">
        <f>IF($J31=0,"",('01 Control'!$C$29/(1+'01 Control'!$C$6)-$J31)/('01 Control'!$C$29/(1+'01 Control'!$C$6)))</f>
        <v/>
      </c>
      <c r="W31" s="153">
        <f>IF($J31=0,"",('01 Control'!$C$30/(1+'01 Control'!$C$6)-$J31)/('01 Control'!$C$30/(1+'01 Control'!$C$6)))</f>
        <v/>
      </c>
      <c r="X31" s="153">
        <f>IF($J31=0,"",('01 Control'!$C$31/(1+'01 Control'!$C$6)-$J31)/('01 Control'!$C$31/(1+'01 Control'!$C$6)))</f>
        <v/>
      </c>
      <c r="Y31" s="183">
        <f>IF(ISNUMBER($Q31),$Q31,0)*N($U31)</f>
        <v/>
      </c>
      <c r="Z31" s="183">
        <f>IF(ISNUMBER($H31),$H31,0)*N($U31)</f>
        <v/>
      </c>
      <c r="AA31" s="183">
        <f>IF(ISNUMBER($I31),$I31,0)*N($U31)</f>
        <v/>
      </c>
      <c r="AB31" s="184" t="inlineStr">
        <is>
          <t>Set B - Menu Concepts</t>
        </is>
      </c>
    </row>
    <row r="33" ht="15" customHeight="1" s="106">
      <c r="A33" s="109" t="inlineStr">
        <is>
          <t>BUILD YOUR OWN</t>
        </is>
      </c>
      <c r="B33" s="110" t="n"/>
      <c r="C33" s="110" t="n"/>
      <c r="D33" s="110" t="n"/>
      <c r="E33" s="110" t="n"/>
      <c r="F33" s="110" t="n"/>
      <c r="G33" s="110" t="n"/>
      <c r="H33" s="110" t="n"/>
      <c r="I33" s="110" t="n"/>
      <c r="J33" s="110" t="n"/>
      <c r="K33" s="110" t="n"/>
      <c r="L33" s="110" t="n"/>
      <c r="M33" s="110" t="n"/>
      <c r="N33" s="110" t="n"/>
      <c r="O33" s="110" t="n"/>
      <c r="P33" s="110" t="n"/>
      <c r="Q33" s="110" t="n"/>
      <c r="R33" s="110" t="n"/>
      <c r="S33" s="110" t="n"/>
      <c r="T33" s="110" t="n"/>
      <c r="U33" s="110" t="n"/>
      <c r="V33" s="110" t="n"/>
      <c r="W33" s="110" t="n"/>
      <c r="X33" s="110" t="n"/>
      <c r="Y33" s="110" t="n"/>
      <c r="Z33" s="110" t="n"/>
      <c r="AA33" s="110" t="n"/>
      <c r="AB33" s="111" t="n"/>
    </row>
    <row r="34" ht="43.5" customHeight="1" s="106">
      <c r="A34" s="112" t="inlineStr">
        <is>
          <t>Menu SKU</t>
        </is>
      </c>
      <c r="B34" s="112" t="inlineStr">
        <is>
          <t>Menu Item</t>
        </is>
      </c>
      <c r="C34" s="112" t="inlineStr">
        <is>
          <t>Tier / Group</t>
        </is>
      </c>
      <c r="D34" s="112" t="inlineStr">
        <is>
          <t>Season / Drop</t>
        </is>
      </c>
      <c r="E34" s="112" t="inlineStr">
        <is>
          <t>Shape</t>
        </is>
      </c>
      <c r="F34" s="112" t="inlineStr">
        <is>
          <t>Pasta Formula</t>
        </is>
      </c>
      <c r="G34" s="112" t="inlineStr">
        <is>
          <t>Base Sauce</t>
        </is>
      </c>
      <c r="H34" s="112" t="inlineStr">
        <is>
          <t>Food Cost</t>
        </is>
      </c>
      <c r="I34" s="112" t="inlineStr">
        <is>
          <t>Packaging
Cost</t>
        </is>
      </c>
      <c r="J34" s="112" t="inlineStr">
        <is>
          <t>Total Direct
Cost</t>
        </is>
      </c>
      <c r="K34" s="112" t="inlineStr">
        <is>
          <t>Store Labour
Allowance</t>
        </is>
      </c>
      <c r="L34" s="112" t="inlineStr">
        <is>
          <t>Fully Loaded
Cost</t>
        </is>
      </c>
      <c r="M34" s="112" t="inlineStr">
        <is>
          <t>Target
GP%</t>
        </is>
      </c>
      <c r="N34" s="112" t="inlineStr">
        <is>
          <t>Recommended
Sell (excl VAT)</t>
        </is>
      </c>
      <c r="O34" s="112" t="inlineStr">
        <is>
          <t>Recommended
Sell (incl VAT)</t>
        </is>
      </c>
      <c r="P34" s="112" t="inlineStr">
        <is>
          <t>Approved Sell
(incl VAT)</t>
        </is>
      </c>
      <c r="Q34" s="112" t="inlineStr">
        <is>
          <t>FINAL SELL
(incl VAT)</t>
        </is>
      </c>
      <c r="R34" s="112" t="inlineStr">
        <is>
          <t>Actual
GP%</t>
        </is>
      </c>
      <c r="S34" s="112" t="inlineStr">
        <is>
          <t>Lines
Unpriced</t>
        </is>
      </c>
      <c r="T34" s="112" t="inlineStr">
        <is>
          <t>Cost Status</t>
        </is>
      </c>
      <c r="U34" s="112" t="inlineStr">
        <is>
          <t>MENU
MIX %</t>
        </is>
      </c>
      <c r="V34" s="112" t="inlineStr">
        <is>
          <t>GP% at
Price A</t>
        </is>
      </c>
      <c r="W34" s="112" t="inlineStr">
        <is>
          <t>GP% at
Price B</t>
        </is>
      </c>
      <c r="X34" s="112" t="inlineStr">
        <is>
          <t>GP% at
Price C</t>
        </is>
      </c>
      <c r="Y34" s="112" t="inlineStr">
        <is>
          <t>Weighted
Revenue</t>
        </is>
      </c>
      <c r="Z34" s="112" t="inlineStr">
        <is>
          <t>Weighted
Food Cost</t>
        </is>
      </c>
      <c r="AA34" s="112" t="inlineStr">
        <is>
          <t>Weighted
Packaging</t>
        </is>
      </c>
      <c r="AB34" s="112" t="inlineStr">
        <is>
          <t>Approved Price
Source</t>
        </is>
      </c>
    </row>
    <row r="35" ht="15" customHeight="1" s="106">
      <c r="A35" s="134" t="inlineStr">
        <is>
          <t>PP-BYO</t>
        </is>
      </c>
      <c r="B35" s="113" t="inlineStr">
        <is>
          <t>Build Your Own</t>
        </is>
      </c>
      <c r="C35" s="138" t="inlineStr">
        <is>
          <t>Core - Signature</t>
        </is>
      </c>
      <c r="D35" s="138" t="inlineStr">
        <is>
          <t>Permanent</t>
        </is>
      </c>
      <c r="E35" s="180" t="inlineStr">
        <is>
          <t>any of 4</t>
        </is>
      </c>
      <c r="F35" s="138" t="inlineStr">
        <is>
          <t>any of 4</t>
        </is>
      </c>
      <c r="G35" s="138" t="inlineStr">
        <is>
          <t>any of 9</t>
        </is>
      </c>
      <c r="H35" s="150">
        <f>SUMIFS('10 Core Menu BOM'!$K$5:$K$300,'10 Core Menu BOM'!$A$5:$A$300,$A35)-$I35</f>
        <v/>
      </c>
      <c r="I35" s="150">
        <f>SUMIFS('10 Core Menu BOM'!$K$5:$K$300,'10 Core Menu BOM'!$A$5:$A$300,$A35,'10 Core Menu BOM'!$D$5:$D$300,"Packaging")</f>
        <v/>
      </c>
      <c r="J35" s="181">
        <f>$H35+$I35</f>
        <v/>
      </c>
      <c r="K35" s="150">
        <f>$H35*'01 Control'!$C$16</f>
        <v/>
      </c>
      <c r="L35" s="150">
        <f>$J35+$K35</f>
        <v/>
      </c>
      <c r="M35" s="153">
        <f>'01 Control'!$C$17</f>
        <v/>
      </c>
      <c r="N35" s="150">
        <f>IF($J35=0,"",$J35/(1-$M35))</f>
        <v/>
      </c>
      <c r="O35" s="150">
        <f>IF($N35="","",$N35*(1+'01 Control'!$C$6))</f>
        <v/>
      </c>
      <c r="P35" s="148" t="n">
        <v>75</v>
      </c>
      <c r="Q35" s="151">
        <f>IF(N($P35)&gt;0,$P35,IF($O35="","",$O35))</f>
        <v/>
      </c>
      <c r="R35" s="182">
        <f>IF(OR($Q35="",$Q35=0),"",($Q35/(1+'01 Control'!$C$6)-$J35)/($Q35/(1+'01 Control'!$C$6)))</f>
        <v/>
      </c>
      <c r="S35" s="152">
        <f>COUNTIFS('10 Core Menu BOM'!$A$5:$A$300,$A35)-COUNTIFS('10 Core Menu BOM'!$A$5:$A$300,$A35,'10 Core Menu BOM'!$I$5:$I$300,"&gt;=0")</f>
        <v/>
      </c>
      <c r="T35" s="162">
        <f>IF($S35&gt;0,"INCOMPLETE - "&amp;$S35&amp;" line(s) unpriced",IF($J35=0,"BOM COST MISSING",IF($R35&lt;$M35-0.02,"BELOW GP TARGET","READY")))</f>
        <v/>
      </c>
      <c r="U35" s="146" t="n">
        <v>0</v>
      </c>
      <c r="V35" s="153">
        <f>IF($J35=0,"",('01 Control'!$C$29/(1+'01 Control'!$C$6)-$J35)/('01 Control'!$C$29/(1+'01 Control'!$C$6)))</f>
        <v/>
      </c>
      <c r="W35" s="153">
        <f>IF($J35=0,"",('01 Control'!$C$30/(1+'01 Control'!$C$6)-$J35)/('01 Control'!$C$30/(1+'01 Control'!$C$6)))</f>
        <v/>
      </c>
      <c r="X35" s="153">
        <f>IF($J35=0,"",('01 Control'!$C$31/(1+'01 Control'!$C$6)-$J35)/('01 Control'!$C$31/(1+'01 Control'!$C$6)))</f>
        <v/>
      </c>
      <c r="Y35" s="183">
        <f>IF(ISNUMBER($Q35),$Q35,0)*N($U35)</f>
        <v/>
      </c>
      <c r="Z35" s="183">
        <f>IF(ISNUMBER($H35),$H35,0)*N($U35)</f>
        <v/>
      </c>
      <c r="AA35" s="183">
        <f>IF(ISNUMBER($I35),$I35,0)*N($U35)</f>
        <v/>
      </c>
      <c r="AB35" s="184" t="inlineStr">
        <is>
          <t>Set B - Menu Concepts</t>
        </is>
      </c>
    </row>
    <row r="37" ht="15" customHeight="1" s="106">
      <c r="A37" s="128" t="inlineStr">
        <is>
          <t>BEVERAGES  -  THE FUEL BAR</t>
        </is>
      </c>
      <c r="B37" s="110" t="n"/>
      <c r="C37" s="110" t="n"/>
      <c r="D37" s="110" t="n"/>
      <c r="E37" s="110" t="n"/>
      <c r="F37" s="110" t="n"/>
      <c r="G37" s="110" t="n"/>
      <c r="H37" s="110" t="n"/>
      <c r="I37" s="110" t="n"/>
      <c r="J37" s="110" t="n"/>
      <c r="K37" s="110" t="n"/>
      <c r="L37" s="110" t="n"/>
      <c r="M37" s="110" t="n"/>
      <c r="N37" s="110" t="n"/>
      <c r="O37" s="110" t="n"/>
      <c r="P37" s="110" t="n"/>
      <c r="Q37" s="110" t="n"/>
      <c r="R37" s="110" t="n"/>
      <c r="S37" s="110" t="n"/>
      <c r="T37" s="110" t="n"/>
      <c r="U37" s="110" t="n"/>
      <c r="V37" s="110" t="n"/>
      <c r="W37" s="110" t="n"/>
      <c r="X37" s="110" t="n"/>
      <c r="Y37" s="110" t="n"/>
      <c r="Z37" s="110" t="n"/>
      <c r="AA37" s="110" t="n"/>
      <c r="AB37" s="111" t="n"/>
    </row>
    <row r="38" ht="43.5" customHeight="1" s="106">
      <c r="A38" s="112" t="inlineStr">
        <is>
          <t>Menu SKU</t>
        </is>
      </c>
      <c r="B38" s="112" t="inlineStr">
        <is>
          <t>Menu Item</t>
        </is>
      </c>
      <c r="C38" s="112" t="inlineStr">
        <is>
          <t>Tier / Group</t>
        </is>
      </c>
      <c r="D38" s="112" t="inlineStr">
        <is>
          <t>Season / Drop</t>
        </is>
      </c>
      <c r="E38" s="112" t="inlineStr">
        <is>
          <t>Shape</t>
        </is>
      </c>
      <c r="F38" s="112" t="inlineStr">
        <is>
          <t>Pasta Formula</t>
        </is>
      </c>
      <c r="G38" s="112" t="inlineStr">
        <is>
          <t>Base Sauce</t>
        </is>
      </c>
      <c r="H38" s="112" t="inlineStr">
        <is>
          <t>Food Cost</t>
        </is>
      </c>
      <c r="I38" s="112" t="inlineStr">
        <is>
          <t>Packaging
Cost</t>
        </is>
      </c>
      <c r="J38" s="112" t="inlineStr">
        <is>
          <t>Total Direct
Cost</t>
        </is>
      </c>
      <c r="K38" s="112" t="inlineStr">
        <is>
          <t>Store Labour
Allowance</t>
        </is>
      </c>
      <c r="L38" s="112" t="inlineStr">
        <is>
          <t>Fully Loaded
Cost</t>
        </is>
      </c>
      <c r="M38" s="112" t="inlineStr">
        <is>
          <t>Target
GP%</t>
        </is>
      </c>
      <c r="N38" s="112" t="inlineStr">
        <is>
          <t>Recommended
Sell (excl VAT)</t>
        </is>
      </c>
      <c r="O38" s="112" t="inlineStr">
        <is>
          <t>Recommended
Sell (incl VAT)</t>
        </is>
      </c>
      <c r="P38" s="112" t="inlineStr">
        <is>
          <t>Approved Sell
(incl VAT)</t>
        </is>
      </c>
      <c r="Q38" s="112" t="inlineStr">
        <is>
          <t>FINAL SELL
(incl VAT)</t>
        </is>
      </c>
      <c r="R38" s="112" t="inlineStr">
        <is>
          <t>Actual
GP%</t>
        </is>
      </c>
      <c r="S38" s="112" t="inlineStr">
        <is>
          <t>Lines
Unpriced</t>
        </is>
      </c>
      <c r="T38" s="112" t="inlineStr">
        <is>
          <t>Cost Status</t>
        </is>
      </c>
      <c r="U38" s="112" t="inlineStr">
        <is>
          <t>MENU
MIX %</t>
        </is>
      </c>
      <c r="V38" s="112" t="inlineStr">
        <is>
          <t>GP% at
Price A</t>
        </is>
      </c>
      <c r="W38" s="112" t="inlineStr">
        <is>
          <t>GP% at
Price B</t>
        </is>
      </c>
      <c r="X38" s="112" t="inlineStr">
        <is>
          <t>GP% at
Price C</t>
        </is>
      </c>
      <c r="Y38" s="112" t="inlineStr">
        <is>
          <t>Weighted
Revenue</t>
        </is>
      </c>
      <c r="Z38" s="112" t="inlineStr">
        <is>
          <t>Weighted
Food Cost</t>
        </is>
      </c>
      <c r="AA38" s="112" t="inlineStr">
        <is>
          <t>Weighted
Packaging</t>
        </is>
      </c>
      <c r="AB38" s="112" t="inlineStr">
        <is>
          <t>Approved Price
Source</t>
        </is>
      </c>
    </row>
    <row r="39" ht="15" customHeight="1" s="106">
      <c r="A39" s="134" t="inlineStr">
        <is>
          <t>PP-BEV-SLUSH-ROOIBOS</t>
        </is>
      </c>
      <c r="B39" s="113" t="inlineStr">
        <is>
          <t>Rooibos Slushee</t>
        </is>
      </c>
      <c r="C39" s="138" t="inlineStr">
        <is>
          <t>Beverage</t>
        </is>
      </c>
      <c r="D39" s="138" t="inlineStr">
        <is>
          <t>Permanent</t>
        </is>
      </c>
      <c r="E39" s="180" t="inlineStr">
        <is>
          <t>-</t>
        </is>
      </c>
      <c r="F39" s="138" t="inlineStr">
        <is>
          <t>-</t>
        </is>
      </c>
      <c r="G39" s="138" t="inlineStr">
        <is>
          <t>-</t>
        </is>
      </c>
      <c r="H39" s="150">
        <f>SUMIFS('10 Core Menu BOM'!$K$5:$K$300,'10 Core Menu BOM'!$A$5:$A$300,$A39)-$I39</f>
        <v/>
      </c>
      <c r="I39" s="150">
        <f>SUMIFS('10 Core Menu BOM'!$K$5:$K$300,'10 Core Menu BOM'!$A$5:$A$300,$A39,'10 Core Menu BOM'!$D$5:$D$300,"Packaging")</f>
        <v/>
      </c>
      <c r="J39" s="181">
        <f>$H39+$I39</f>
        <v/>
      </c>
      <c r="K39" s="150">
        <f>$H39*'01 Control'!$C$16</f>
        <v/>
      </c>
      <c r="L39" s="150">
        <f>$J39+$K39</f>
        <v/>
      </c>
      <c r="M39" s="153">
        <f>'01 Control'!$C$21</f>
        <v/>
      </c>
      <c r="N39" s="150">
        <f>IF($J39=0,"",$J39/(1-$M39))</f>
        <v/>
      </c>
      <c r="O39" s="150">
        <f>IF($N39="","",$N39*(1+'01 Control'!$C$6))</f>
        <v/>
      </c>
      <c r="P39" s="148" t="n">
        <v>20</v>
      </c>
      <c r="Q39" s="151">
        <f>IF(N($P39)&gt;0,$P39,IF($O39="","",$O39))</f>
        <v/>
      </c>
      <c r="R39" s="182">
        <f>IF(OR($Q39="",$Q39=0),"",($Q39/(1+'01 Control'!$C$6)-$J39)/($Q39/(1+'01 Control'!$C$6)))</f>
        <v/>
      </c>
      <c r="S39" s="152">
        <f>COUNTIFS('10 Core Menu BOM'!$A$5:$A$300,$A39)-COUNTIFS('10 Core Menu BOM'!$A$5:$A$300,$A39,'10 Core Menu BOM'!$I$5:$I$300,"&gt;=0")</f>
        <v/>
      </c>
      <c r="T39" s="162">
        <f>IF($S39&gt;0,"INCOMPLETE - "&amp;$S39&amp;" line(s) unpriced",IF($J39=0,"BOM COST MISSING",IF($R39&lt;$M39-0.02,"BELOW GP TARGET","READY")))</f>
        <v/>
      </c>
      <c r="U39" s="146" t="n">
        <v>0</v>
      </c>
      <c r="V39" s="153">
        <f>IF($J39=0,"",('01 Control'!$C$29/(1+'01 Control'!$C$6)-$J39)/('01 Control'!$C$29/(1+'01 Control'!$C$6)))</f>
        <v/>
      </c>
      <c r="W39" s="153">
        <f>IF($J39=0,"",('01 Control'!$C$30/(1+'01 Control'!$C$6)-$J39)/('01 Control'!$C$30/(1+'01 Control'!$C$6)))</f>
        <v/>
      </c>
      <c r="X39" s="153">
        <f>IF($J39=0,"",('01 Control'!$C$31/(1+'01 Control'!$C$6)-$J39)/('01 Control'!$C$31/(1+'01 Control'!$C$6)))</f>
        <v/>
      </c>
      <c r="Y39" s="183">
        <f>IF(ISNUMBER($Q39),$Q39,0)*N($U39)</f>
        <v/>
      </c>
      <c r="Z39" s="183">
        <f>IF(ISNUMBER($H39),$H39,0)*N($U39)</f>
        <v/>
      </c>
      <c r="AA39" s="183">
        <f>IF(ISNUMBER($I39),$I39,0)*N($U39)</f>
        <v/>
      </c>
      <c r="AB39" s="184" t="inlineStr">
        <is>
          <t>Menu Concepts beverage board</t>
        </is>
      </c>
    </row>
    <row r="40" ht="15" customHeight="1" s="106">
      <c r="A40" s="134" t="inlineStr">
        <is>
          <t>PP-BEV-SLUSH-LEMON</t>
        </is>
      </c>
      <c r="B40" s="113" t="inlineStr">
        <is>
          <t>Lemonade Slushee</t>
        </is>
      </c>
      <c r="C40" s="138" t="inlineStr">
        <is>
          <t>Beverage</t>
        </is>
      </c>
      <c r="D40" s="138" t="inlineStr">
        <is>
          <t>Permanent</t>
        </is>
      </c>
      <c r="E40" s="180" t="inlineStr">
        <is>
          <t>-</t>
        </is>
      </c>
      <c r="F40" s="138" t="inlineStr">
        <is>
          <t>-</t>
        </is>
      </c>
      <c r="G40" s="138" t="inlineStr">
        <is>
          <t>-</t>
        </is>
      </c>
      <c r="H40" s="150">
        <f>SUMIFS('10 Core Menu BOM'!$K$5:$K$300,'10 Core Menu BOM'!$A$5:$A$300,$A40)-$I40</f>
        <v/>
      </c>
      <c r="I40" s="150">
        <f>SUMIFS('10 Core Menu BOM'!$K$5:$K$300,'10 Core Menu BOM'!$A$5:$A$300,$A40,'10 Core Menu BOM'!$D$5:$D$300,"Packaging")</f>
        <v/>
      </c>
      <c r="J40" s="181">
        <f>$H40+$I40</f>
        <v/>
      </c>
      <c r="K40" s="150">
        <f>$H40*'01 Control'!$C$16</f>
        <v/>
      </c>
      <c r="L40" s="150">
        <f>$J40+$K40</f>
        <v/>
      </c>
      <c r="M40" s="153">
        <f>'01 Control'!$C$21</f>
        <v/>
      </c>
      <c r="N40" s="150">
        <f>IF($J40=0,"",$J40/(1-$M40))</f>
        <v/>
      </c>
      <c r="O40" s="150">
        <f>IF($N40="","",$N40*(1+'01 Control'!$C$6))</f>
        <v/>
      </c>
      <c r="P40" s="148" t="n">
        <v>18</v>
      </c>
      <c r="Q40" s="151">
        <f>IF(N($P40)&gt;0,$P40,IF($O40="","",$O40))</f>
        <v/>
      </c>
      <c r="R40" s="182">
        <f>IF(OR($Q40="",$Q40=0),"",($Q40/(1+'01 Control'!$C$6)-$J40)/($Q40/(1+'01 Control'!$C$6)))</f>
        <v/>
      </c>
      <c r="S40" s="152">
        <f>COUNTIFS('10 Core Menu BOM'!$A$5:$A$300,$A40)-COUNTIFS('10 Core Menu BOM'!$A$5:$A$300,$A40,'10 Core Menu BOM'!$I$5:$I$300,"&gt;=0")</f>
        <v/>
      </c>
      <c r="T40" s="162">
        <f>IF($S40&gt;0,"INCOMPLETE - "&amp;$S40&amp;" line(s) unpriced",IF($J40=0,"BOM COST MISSING",IF($R40&lt;$M40-0.02,"BELOW GP TARGET","READY")))</f>
        <v/>
      </c>
      <c r="U40" s="146" t="n">
        <v>0</v>
      </c>
      <c r="V40" s="153">
        <f>IF($J40=0,"",('01 Control'!$C$29/(1+'01 Control'!$C$6)-$J40)/('01 Control'!$C$29/(1+'01 Control'!$C$6)))</f>
        <v/>
      </c>
      <c r="W40" s="153">
        <f>IF($J40=0,"",('01 Control'!$C$30/(1+'01 Control'!$C$6)-$J40)/('01 Control'!$C$30/(1+'01 Control'!$C$6)))</f>
        <v/>
      </c>
      <c r="X40" s="153">
        <f>IF($J40=0,"",('01 Control'!$C$31/(1+'01 Control'!$C$6)-$J40)/('01 Control'!$C$31/(1+'01 Control'!$C$6)))</f>
        <v/>
      </c>
      <c r="Y40" s="183">
        <f>IF(ISNUMBER($Q40),$Q40,0)*N($U40)</f>
        <v/>
      </c>
      <c r="Z40" s="183">
        <f>IF(ISNUMBER($H40),$H40,0)*N($U40)</f>
        <v/>
      </c>
      <c r="AA40" s="183">
        <f>IF(ISNUMBER($I40),$I40,0)*N($U40)</f>
        <v/>
      </c>
      <c r="AB40" s="184" t="inlineStr">
        <is>
          <t>Menu Concepts beverage board</t>
        </is>
      </c>
    </row>
    <row r="41" ht="15" customHeight="1" s="106">
      <c r="A41" s="134" t="inlineStr">
        <is>
          <t>PP-BEV-SLUSH-CREAM</t>
        </is>
      </c>
      <c r="B41" s="113" t="inlineStr">
        <is>
          <t>Cream Soda Slushee</t>
        </is>
      </c>
      <c r="C41" s="138" t="inlineStr">
        <is>
          <t>Beverage</t>
        </is>
      </c>
      <c r="D41" s="138" t="inlineStr">
        <is>
          <t>Permanent</t>
        </is>
      </c>
      <c r="E41" s="180" t="inlineStr">
        <is>
          <t>-</t>
        </is>
      </c>
      <c r="F41" s="138" t="inlineStr">
        <is>
          <t>-</t>
        </is>
      </c>
      <c r="G41" s="138" t="inlineStr">
        <is>
          <t>-</t>
        </is>
      </c>
      <c r="H41" s="150">
        <f>SUMIFS('10 Core Menu BOM'!$K$5:$K$300,'10 Core Menu BOM'!$A$5:$A$300,$A41)-$I41</f>
        <v/>
      </c>
      <c r="I41" s="150">
        <f>SUMIFS('10 Core Menu BOM'!$K$5:$K$300,'10 Core Menu BOM'!$A$5:$A$300,$A41,'10 Core Menu BOM'!$D$5:$D$300,"Packaging")</f>
        <v/>
      </c>
      <c r="J41" s="181">
        <f>$H41+$I41</f>
        <v/>
      </c>
      <c r="K41" s="150">
        <f>$H41*'01 Control'!$C$16</f>
        <v/>
      </c>
      <c r="L41" s="150">
        <f>$J41+$K41</f>
        <v/>
      </c>
      <c r="M41" s="153">
        <f>'01 Control'!$C$21</f>
        <v/>
      </c>
      <c r="N41" s="150">
        <f>IF($J41=0,"",$J41/(1-$M41))</f>
        <v/>
      </c>
      <c r="O41" s="150">
        <f>IF($N41="","",$N41*(1+'01 Control'!$C$6))</f>
        <v/>
      </c>
      <c r="P41" s="148" t="n">
        <v>20</v>
      </c>
      <c r="Q41" s="151">
        <f>IF(N($P41)&gt;0,$P41,IF($O41="","",$O41))</f>
        <v/>
      </c>
      <c r="R41" s="182">
        <f>IF(OR($Q41="",$Q41=0),"",($Q41/(1+'01 Control'!$C$6)-$J41)/($Q41/(1+'01 Control'!$C$6)))</f>
        <v/>
      </c>
      <c r="S41" s="152">
        <f>COUNTIFS('10 Core Menu BOM'!$A$5:$A$300,$A41)-COUNTIFS('10 Core Menu BOM'!$A$5:$A$300,$A41,'10 Core Menu BOM'!$I$5:$I$300,"&gt;=0")</f>
        <v/>
      </c>
      <c r="T41" s="162">
        <f>IF($S41&gt;0,"INCOMPLETE - "&amp;$S41&amp;" line(s) unpriced",IF($J41=0,"BOM COST MISSING",IF($R41&lt;$M41-0.02,"BELOW GP TARGET","READY")))</f>
        <v/>
      </c>
      <c r="U41" s="146" t="n">
        <v>0</v>
      </c>
      <c r="V41" s="153">
        <f>IF($J41=0,"",('01 Control'!$C$29/(1+'01 Control'!$C$6)-$J41)/('01 Control'!$C$29/(1+'01 Control'!$C$6)))</f>
        <v/>
      </c>
      <c r="W41" s="153">
        <f>IF($J41=0,"",('01 Control'!$C$30/(1+'01 Control'!$C$6)-$J41)/('01 Control'!$C$30/(1+'01 Control'!$C$6)))</f>
        <v/>
      </c>
      <c r="X41" s="153">
        <f>IF($J41=0,"",('01 Control'!$C$31/(1+'01 Control'!$C$6)-$J41)/('01 Control'!$C$31/(1+'01 Control'!$C$6)))</f>
        <v/>
      </c>
      <c r="Y41" s="183">
        <f>IF(ISNUMBER($Q41),$Q41,0)*N($U41)</f>
        <v/>
      </c>
      <c r="Z41" s="183">
        <f>IF(ISNUMBER($H41),$H41,0)*N($U41)</f>
        <v/>
      </c>
      <c r="AA41" s="183">
        <f>IF(ISNUMBER($I41),$I41,0)*N($U41)</f>
        <v/>
      </c>
      <c r="AB41" s="184" t="inlineStr">
        <is>
          <t>Menu Concepts beverage board</t>
        </is>
      </c>
    </row>
    <row r="42" ht="15" customHeight="1" s="106">
      <c r="A42" s="134" t="inlineStr">
        <is>
          <t>PP-BEV-SLUSH-ROTATING</t>
        </is>
      </c>
      <c r="B42" s="113" t="inlineStr">
        <is>
          <t>Rotating Slushee (seasonal)</t>
        </is>
      </c>
      <c r="C42" s="138" t="inlineStr">
        <is>
          <t>Beverage</t>
        </is>
      </c>
      <c r="D42" s="138" t="inlineStr">
        <is>
          <t>Permanent</t>
        </is>
      </c>
      <c r="E42" s="180" t="inlineStr">
        <is>
          <t>-</t>
        </is>
      </c>
      <c r="F42" s="138" t="inlineStr">
        <is>
          <t>-</t>
        </is>
      </c>
      <c r="G42" s="138" t="inlineStr">
        <is>
          <t>-</t>
        </is>
      </c>
      <c r="H42" s="150">
        <f>SUMIFS('10 Core Menu BOM'!$K$5:$K$300,'10 Core Menu BOM'!$A$5:$A$300,$A42)-$I42</f>
        <v/>
      </c>
      <c r="I42" s="150">
        <f>SUMIFS('10 Core Menu BOM'!$K$5:$K$300,'10 Core Menu BOM'!$A$5:$A$300,$A42,'10 Core Menu BOM'!$D$5:$D$300,"Packaging")</f>
        <v/>
      </c>
      <c r="J42" s="181">
        <f>$H42+$I42</f>
        <v/>
      </c>
      <c r="K42" s="150">
        <f>$H42*'01 Control'!$C$16</f>
        <v/>
      </c>
      <c r="L42" s="150">
        <f>$J42+$K42</f>
        <v/>
      </c>
      <c r="M42" s="153">
        <f>'01 Control'!$C$21</f>
        <v/>
      </c>
      <c r="N42" s="150">
        <f>IF($J42=0,"",$J42/(1-$M42))</f>
        <v/>
      </c>
      <c r="O42" s="150">
        <f>IF($N42="","",$N42*(1+'01 Control'!$C$6))</f>
        <v/>
      </c>
      <c r="P42" s="148" t="n">
        <v>22</v>
      </c>
      <c r="Q42" s="151">
        <f>IF(N($P42)&gt;0,$P42,IF($O42="","",$O42))</f>
        <v/>
      </c>
      <c r="R42" s="182">
        <f>IF(OR($Q42="",$Q42=0),"",($Q42/(1+'01 Control'!$C$6)-$J42)/($Q42/(1+'01 Control'!$C$6)))</f>
        <v/>
      </c>
      <c r="S42" s="152">
        <f>COUNTIFS('10 Core Menu BOM'!$A$5:$A$300,$A42)-COUNTIFS('10 Core Menu BOM'!$A$5:$A$300,$A42,'10 Core Menu BOM'!$I$5:$I$300,"&gt;=0")</f>
        <v/>
      </c>
      <c r="T42" s="162">
        <f>IF($S42&gt;0,"INCOMPLETE - "&amp;$S42&amp;" line(s) unpriced",IF($J42=0,"BOM COST MISSING",IF($R42&lt;$M42-0.02,"BELOW GP TARGET","READY")))</f>
        <v/>
      </c>
      <c r="U42" s="146" t="n">
        <v>0</v>
      </c>
      <c r="V42" s="153">
        <f>IF($J42=0,"",('01 Control'!$C$29/(1+'01 Control'!$C$6)-$J42)/('01 Control'!$C$29/(1+'01 Control'!$C$6)))</f>
        <v/>
      </c>
      <c r="W42" s="153">
        <f>IF($J42=0,"",('01 Control'!$C$30/(1+'01 Control'!$C$6)-$J42)/('01 Control'!$C$30/(1+'01 Control'!$C$6)))</f>
        <v/>
      </c>
      <c r="X42" s="153">
        <f>IF($J42=0,"",('01 Control'!$C$31/(1+'01 Control'!$C$6)-$J42)/('01 Control'!$C$31/(1+'01 Control'!$C$6)))</f>
        <v/>
      </c>
      <c r="Y42" s="183">
        <f>IF(ISNUMBER($Q42),$Q42,0)*N($U42)</f>
        <v/>
      </c>
      <c r="Z42" s="183">
        <f>IF(ISNUMBER($H42),$H42,0)*N($U42)</f>
        <v/>
      </c>
      <c r="AA42" s="183">
        <f>IF(ISNUMBER($I42),$I42,0)*N($U42)</f>
        <v/>
      </c>
      <c r="AB42" s="184" t="inlineStr">
        <is>
          <t>Menu Concepts beverage board</t>
        </is>
      </c>
    </row>
    <row r="43" ht="15" customHeight="1" s="106">
      <c r="A43" s="134" t="inlineStr">
        <is>
          <t>PP-BEV-SLUSH-NAARTJIE</t>
        </is>
      </c>
      <c r="B43" s="113" t="inlineStr">
        <is>
          <t>Naartjie Slushee</t>
        </is>
      </c>
      <c r="C43" s="138" t="inlineStr">
        <is>
          <t>Beverage</t>
        </is>
      </c>
      <c r="D43" s="138" t="inlineStr">
        <is>
          <t>Permanent</t>
        </is>
      </c>
      <c r="E43" s="180" t="inlineStr">
        <is>
          <t>-</t>
        </is>
      </c>
      <c r="F43" s="138" t="inlineStr">
        <is>
          <t>-</t>
        </is>
      </c>
      <c r="G43" s="138" t="inlineStr">
        <is>
          <t>-</t>
        </is>
      </c>
      <c r="H43" s="150">
        <f>SUMIFS('10 Core Menu BOM'!$K$5:$K$300,'10 Core Menu BOM'!$A$5:$A$300,$A43)-$I43</f>
        <v/>
      </c>
      <c r="I43" s="150">
        <f>SUMIFS('10 Core Menu BOM'!$K$5:$K$300,'10 Core Menu BOM'!$A$5:$A$300,$A43,'10 Core Menu BOM'!$D$5:$D$300,"Packaging")</f>
        <v/>
      </c>
      <c r="J43" s="181">
        <f>$H43+$I43</f>
        <v/>
      </c>
      <c r="K43" s="150">
        <f>$H43*'01 Control'!$C$16</f>
        <v/>
      </c>
      <c r="L43" s="150">
        <f>$J43+$K43</f>
        <v/>
      </c>
      <c r="M43" s="153">
        <f>'01 Control'!$C$21</f>
        <v/>
      </c>
      <c r="N43" s="150">
        <f>IF($J43=0,"",$J43/(1-$M43))</f>
        <v/>
      </c>
      <c r="O43" s="150">
        <f>IF($N43="","",$N43*(1+'01 Control'!$C$6))</f>
        <v/>
      </c>
      <c r="P43" s="148" t="n">
        <v>20</v>
      </c>
      <c r="Q43" s="151">
        <f>IF(N($P43)&gt;0,$P43,IF($O43="","",$O43))</f>
        <v/>
      </c>
      <c r="R43" s="182">
        <f>IF(OR($Q43="",$Q43=0),"",($Q43/(1+'01 Control'!$C$6)-$J43)/($Q43/(1+'01 Control'!$C$6)))</f>
        <v/>
      </c>
      <c r="S43" s="152">
        <f>COUNTIFS('10 Core Menu BOM'!$A$5:$A$300,$A43)-COUNTIFS('10 Core Menu BOM'!$A$5:$A$300,$A43,'10 Core Menu BOM'!$I$5:$I$300,"&gt;=0")</f>
        <v/>
      </c>
      <c r="T43" s="162">
        <f>IF($S43&gt;0,"INCOMPLETE - "&amp;$S43&amp;" line(s) unpriced",IF($J43=0,"BOM COST MISSING",IF($R43&lt;$M43-0.02,"BELOW GP TARGET","READY")))</f>
        <v/>
      </c>
      <c r="U43" s="146" t="n">
        <v>0</v>
      </c>
      <c r="V43" s="153">
        <f>IF($J43=0,"",('01 Control'!$C$29/(1+'01 Control'!$C$6)-$J43)/('01 Control'!$C$29/(1+'01 Control'!$C$6)))</f>
        <v/>
      </c>
      <c r="W43" s="153">
        <f>IF($J43=0,"",('01 Control'!$C$30/(1+'01 Control'!$C$6)-$J43)/('01 Control'!$C$30/(1+'01 Control'!$C$6)))</f>
        <v/>
      </c>
      <c r="X43" s="153">
        <f>IF($J43=0,"",('01 Control'!$C$31/(1+'01 Control'!$C$6)-$J43)/('01 Control'!$C$31/(1+'01 Control'!$C$6)))</f>
        <v/>
      </c>
      <c r="Y43" s="183">
        <f>IF(ISNUMBER($Q43),$Q43,0)*N($U43)</f>
        <v/>
      </c>
      <c r="Z43" s="183">
        <f>IF(ISNUMBER($H43),$H43,0)*N($U43)</f>
        <v/>
      </c>
      <c r="AA43" s="183">
        <f>IF(ISNUMBER($I43),$I43,0)*N($U43)</f>
        <v/>
      </c>
      <c r="AB43" s="184" t="inlineStr">
        <is>
          <t>Menu Concepts beverage board</t>
        </is>
      </c>
    </row>
    <row r="44" ht="15" customHeight="1" s="106">
      <c r="A44" s="134" t="inlineStr">
        <is>
          <t>PP-BEV-SLUSH-GRANADILLA</t>
        </is>
      </c>
      <c r="B44" s="113" t="inlineStr">
        <is>
          <t>Granadilla Slushee</t>
        </is>
      </c>
      <c r="C44" s="138" t="inlineStr">
        <is>
          <t>Beverage</t>
        </is>
      </c>
      <c r="D44" s="138" t="inlineStr">
        <is>
          <t>Permanent</t>
        </is>
      </c>
      <c r="E44" s="180" t="inlineStr">
        <is>
          <t>-</t>
        </is>
      </c>
      <c r="F44" s="138" t="inlineStr">
        <is>
          <t>-</t>
        </is>
      </c>
      <c r="G44" s="138" t="inlineStr">
        <is>
          <t>-</t>
        </is>
      </c>
      <c r="H44" s="150">
        <f>SUMIFS('10 Core Menu BOM'!$K$5:$K$300,'10 Core Menu BOM'!$A$5:$A$300,$A44)-$I44</f>
        <v/>
      </c>
      <c r="I44" s="150">
        <f>SUMIFS('10 Core Menu BOM'!$K$5:$K$300,'10 Core Menu BOM'!$A$5:$A$300,$A44,'10 Core Menu BOM'!$D$5:$D$300,"Packaging")</f>
        <v/>
      </c>
      <c r="J44" s="181">
        <f>$H44+$I44</f>
        <v/>
      </c>
      <c r="K44" s="150">
        <f>$H44*'01 Control'!$C$16</f>
        <v/>
      </c>
      <c r="L44" s="150">
        <f>$J44+$K44</f>
        <v/>
      </c>
      <c r="M44" s="153">
        <f>'01 Control'!$C$21</f>
        <v/>
      </c>
      <c r="N44" s="150">
        <f>IF($J44=0,"",$J44/(1-$M44))</f>
        <v/>
      </c>
      <c r="O44" s="150">
        <f>IF($N44="","",$N44*(1+'01 Control'!$C$6))</f>
        <v/>
      </c>
      <c r="P44" s="148" t="n">
        <v>22</v>
      </c>
      <c r="Q44" s="151">
        <f>IF(N($P44)&gt;0,$P44,IF($O44="","",$O44))</f>
        <v/>
      </c>
      <c r="R44" s="182">
        <f>IF(OR($Q44="",$Q44=0),"",($Q44/(1+'01 Control'!$C$6)-$J44)/($Q44/(1+'01 Control'!$C$6)))</f>
        <v/>
      </c>
      <c r="S44" s="152">
        <f>COUNTIFS('10 Core Menu BOM'!$A$5:$A$300,$A44)-COUNTIFS('10 Core Menu BOM'!$A$5:$A$300,$A44,'10 Core Menu BOM'!$I$5:$I$300,"&gt;=0")</f>
        <v/>
      </c>
      <c r="T44" s="162">
        <f>IF($S44&gt;0,"INCOMPLETE - "&amp;$S44&amp;" line(s) unpriced",IF($J44=0,"BOM COST MISSING",IF($R44&lt;$M44-0.02,"BELOW GP TARGET","READY")))</f>
        <v/>
      </c>
      <c r="U44" s="146" t="n">
        <v>0</v>
      </c>
      <c r="V44" s="153">
        <f>IF($J44=0,"",('01 Control'!$C$29/(1+'01 Control'!$C$6)-$J44)/('01 Control'!$C$29/(1+'01 Control'!$C$6)))</f>
        <v/>
      </c>
      <c r="W44" s="153">
        <f>IF($J44=0,"",('01 Control'!$C$30/(1+'01 Control'!$C$6)-$J44)/('01 Control'!$C$30/(1+'01 Control'!$C$6)))</f>
        <v/>
      </c>
      <c r="X44" s="153">
        <f>IF($J44=0,"",('01 Control'!$C$31/(1+'01 Control'!$C$6)-$J44)/('01 Control'!$C$31/(1+'01 Control'!$C$6)))</f>
        <v/>
      </c>
      <c r="Y44" s="183">
        <f>IF(ISNUMBER($Q44),$Q44,0)*N($U44)</f>
        <v/>
      </c>
      <c r="Z44" s="183">
        <f>IF(ISNUMBER($H44),$H44,0)*N($U44)</f>
        <v/>
      </c>
      <c r="AA44" s="183">
        <f>IF(ISNUMBER($I44),$I44,0)*N($U44)</f>
        <v/>
      </c>
      <c r="AB44" s="184" t="inlineStr">
        <is>
          <t>Menu Concepts beverage board</t>
        </is>
      </c>
    </row>
    <row r="45" ht="15" customHeight="1" s="106">
      <c r="A45" s="134" t="inlineStr">
        <is>
          <t>PP-BEV-SLUSH-STRAWBERRY</t>
        </is>
      </c>
      <c r="B45" s="113" t="inlineStr">
        <is>
          <t>Strawberry Slushee</t>
        </is>
      </c>
      <c r="C45" s="138" t="inlineStr">
        <is>
          <t>Beverage</t>
        </is>
      </c>
      <c r="D45" s="138" t="inlineStr">
        <is>
          <t>Permanent</t>
        </is>
      </c>
      <c r="E45" s="180" t="inlineStr">
        <is>
          <t>-</t>
        </is>
      </c>
      <c r="F45" s="138" t="inlineStr">
        <is>
          <t>-</t>
        </is>
      </c>
      <c r="G45" s="138" t="inlineStr">
        <is>
          <t>-</t>
        </is>
      </c>
      <c r="H45" s="150">
        <f>SUMIFS('10 Core Menu BOM'!$K$5:$K$300,'10 Core Menu BOM'!$A$5:$A$300,$A45)-$I45</f>
        <v/>
      </c>
      <c r="I45" s="150">
        <f>SUMIFS('10 Core Menu BOM'!$K$5:$K$300,'10 Core Menu BOM'!$A$5:$A$300,$A45,'10 Core Menu BOM'!$D$5:$D$300,"Packaging")</f>
        <v/>
      </c>
      <c r="J45" s="181">
        <f>$H45+$I45</f>
        <v/>
      </c>
      <c r="K45" s="150">
        <f>$H45*'01 Control'!$C$16</f>
        <v/>
      </c>
      <c r="L45" s="150">
        <f>$J45+$K45</f>
        <v/>
      </c>
      <c r="M45" s="153">
        <f>'01 Control'!$C$21</f>
        <v/>
      </c>
      <c r="N45" s="150">
        <f>IF($J45=0,"",$J45/(1-$M45))</f>
        <v/>
      </c>
      <c r="O45" s="150">
        <f>IF($N45="","",$N45*(1+'01 Control'!$C$6))</f>
        <v/>
      </c>
      <c r="P45" s="148" t="n">
        <v>18</v>
      </c>
      <c r="Q45" s="151">
        <f>IF(N($P45)&gt;0,$P45,IF($O45="","",$O45))</f>
        <v/>
      </c>
      <c r="R45" s="182">
        <f>IF(OR($Q45="",$Q45=0),"",($Q45/(1+'01 Control'!$C$6)-$J45)/($Q45/(1+'01 Control'!$C$6)))</f>
        <v/>
      </c>
      <c r="S45" s="152">
        <f>COUNTIFS('10 Core Menu BOM'!$A$5:$A$300,$A45)-COUNTIFS('10 Core Menu BOM'!$A$5:$A$300,$A45,'10 Core Menu BOM'!$I$5:$I$300,"&gt;=0")</f>
        <v/>
      </c>
      <c r="T45" s="162">
        <f>IF($S45&gt;0,"INCOMPLETE - "&amp;$S45&amp;" line(s) unpriced",IF($J45=0,"BOM COST MISSING",IF($R45&lt;$M45-0.02,"BELOW GP TARGET","READY")))</f>
        <v/>
      </c>
      <c r="U45" s="146" t="n">
        <v>0</v>
      </c>
      <c r="V45" s="153">
        <f>IF($J45=0,"",('01 Control'!$C$29/(1+'01 Control'!$C$6)-$J45)/('01 Control'!$C$29/(1+'01 Control'!$C$6)))</f>
        <v/>
      </c>
      <c r="W45" s="153">
        <f>IF($J45=0,"",('01 Control'!$C$30/(1+'01 Control'!$C$6)-$J45)/('01 Control'!$C$30/(1+'01 Control'!$C$6)))</f>
        <v/>
      </c>
      <c r="X45" s="153">
        <f>IF($J45=0,"",('01 Control'!$C$31/(1+'01 Control'!$C$6)-$J45)/('01 Control'!$C$31/(1+'01 Control'!$C$6)))</f>
        <v/>
      </c>
      <c r="Y45" s="183">
        <f>IF(ISNUMBER($Q45),$Q45,0)*N($U45)</f>
        <v/>
      </c>
      <c r="Z45" s="183">
        <f>IF(ISNUMBER($H45),$H45,0)*N($U45)</f>
        <v/>
      </c>
      <c r="AA45" s="183">
        <f>IF(ISNUMBER($I45),$I45,0)*N($U45)</f>
        <v/>
      </c>
      <c r="AB45" s="184" t="inlineStr">
        <is>
          <t>Menu Concepts beverage board</t>
        </is>
      </c>
    </row>
    <row r="46" ht="15" customHeight="1" s="106">
      <c r="A46" s="134" t="inlineStr">
        <is>
          <t>PP-BEV-SLUSH-BUBBLEGUM</t>
        </is>
      </c>
      <c r="B46" s="113" t="inlineStr">
        <is>
          <t>Blue Bubblegum Slushee</t>
        </is>
      </c>
      <c r="C46" s="138" t="inlineStr">
        <is>
          <t>Beverage</t>
        </is>
      </c>
      <c r="D46" s="138" t="inlineStr">
        <is>
          <t>Permanent</t>
        </is>
      </c>
      <c r="E46" s="180" t="inlineStr">
        <is>
          <t>-</t>
        </is>
      </c>
      <c r="F46" s="138" t="inlineStr">
        <is>
          <t>-</t>
        </is>
      </c>
      <c r="G46" s="138" t="inlineStr">
        <is>
          <t>-</t>
        </is>
      </c>
      <c r="H46" s="150">
        <f>SUMIFS('10 Core Menu BOM'!$K$5:$K$300,'10 Core Menu BOM'!$A$5:$A$300,$A46)-$I46</f>
        <v/>
      </c>
      <c r="I46" s="150">
        <f>SUMIFS('10 Core Menu BOM'!$K$5:$K$300,'10 Core Menu BOM'!$A$5:$A$300,$A46,'10 Core Menu BOM'!$D$5:$D$300,"Packaging")</f>
        <v/>
      </c>
      <c r="J46" s="181">
        <f>$H46+$I46</f>
        <v/>
      </c>
      <c r="K46" s="150">
        <f>$H46*'01 Control'!$C$16</f>
        <v/>
      </c>
      <c r="L46" s="150">
        <f>$J46+$K46</f>
        <v/>
      </c>
      <c r="M46" s="153">
        <f>'01 Control'!$C$21</f>
        <v/>
      </c>
      <c r="N46" s="150">
        <f>IF($J46=0,"",$J46/(1-$M46))</f>
        <v/>
      </c>
      <c r="O46" s="150">
        <f>IF($N46="","",$N46*(1+'01 Control'!$C$6))</f>
        <v/>
      </c>
      <c r="P46" s="148" t="n">
        <v>18</v>
      </c>
      <c r="Q46" s="151">
        <f>IF(N($P46)&gt;0,$P46,IF($O46="","",$O46))</f>
        <v/>
      </c>
      <c r="R46" s="182">
        <f>IF(OR($Q46="",$Q46=0),"",($Q46/(1+'01 Control'!$C$6)-$J46)/($Q46/(1+'01 Control'!$C$6)))</f>
        <v/>
      </c>
      <c r="S46" s="152">
        <f>COUNTIFS('10 Core Menu BOM'!$A$5:$A$300,$A46)-COUNTIFS('10 Core Menu BOM'!$A$5:$A$300,$A46,'10 Core Menu BOM'!$I$5:$I$300,"&gt;=0")</f>
        <v/>
      </c>
      <c r="T46" s="162">
        <f>IF($S46&gt;0,"INCOMPLETE - "&amp;$S46&amp;" line(s) unpriced",IF($J46=0,"BOM COST MISSING",IF($R46&lt;$M46-0.02,"BELOW GP TARGET","READY")))</f>
        <v/>
      </c>
      <c r="U46" s="146" t="n">
        <v>0</v>
      </c>
      <c r="V46" s="153">
        <f>IF($J46=0,"",('01 Control'!$C$29/(1+'01 Control'!$C$6)-$J46)/('01 Control'!$C$29/(1+'01 Control'!$C$6)))</f>
        <v/>
      </c>
      <c r="W46" s="153">
        <f>IF($J46=0,"",('01 Control'!$C$30/(1+'01 Control'!$C$6)-$J46)/('01 Control'!$C$30/(1+'01 Control'!$C$6)))</f>
        <v/>
      </c>
      <c r="X46" s="153">
        <f>IF($J46=0,"",('01 Control'!$C$31/(1+'01 Control'!$C$6)-$J46)/('01 Control'!$C$31/(1+'01 Control'!$C$6)))</f>
        <v/>
      </c>
      <c r="Y46" s="183">
        <f>IF(ISNUMBER($Q46),$Q46,0)*N($U46)</f>
        <v/>
      </c>
      <c r="Z46" s="183">
        <f>IF(ISNUMBER($H46),$H46,0)*N($U46)</f>
        <v/>
      </c>
      <c r="AA46" s="183">
        <f>IF(ISNUMBER($I46),$I46,0)*N($U46)</f>
        <v/>
      </c>
      <c r="AB46" s="184" t="inlineStr">
        <is>
          <t>Menu Concepts beverage board</t>
        </is>
      </c>
    </row>
    <row r="47" ht="15" customHeight="1" s="106">
      <c r="A47" s="134" t="inlineStr">
        <is>
          <t>PP-BEV-SLUSH-GINGERLIME</t>
        </is>
      </c>
      <c r="B47" s="113" t="inlineStr">
        <is>
          <t>Ginger-Lime Slushee</t>
        </is>
      </c>
      <c r="C47" s="138" t="inlineStr">
        <is>
          <t>Beverage</t>
        </is>
      </c>
      <c r="D47" s="138" t="inlineStr">
        <is>
          <t>Permanent</t>
        </is>
      </c>
      <c r="E47" s="180" t="inlineStr">
        <is>
          <t>-</t>
        </is>
      </c>
      <c r="F47" s="138" t="inlineStr">
        <is>
          <t>-</t>
        </is>
      </c>
      <c r="G47" s="138" t="inlineStr">
        <is>
          <t>-</t>
        </is>
      </c>
      <c r="H47" s="150">
        <f>SUMIFS('10 Core Menu BOM'!$K$5:$K$300,'10 Core Menu BOM'!$A$5:$A$300,$A47)-$I47</f>
        <v/>
      </c>
      <c r="I47" s="150">
        <f>SUMIFS('10 Core Menu BOM'!$K$5:$K$300,'10 Core Menu BOM'!$A$5:$A$300,$A47,'10 Core Menu BOM'!$D$5:$D$300,"Packaging")</f>
        <v/>
      </c>
      <c r="J47" s="181">
        <f>$H47+$I47</f>
        <v/>
      </c>
      <c r="K47" s="150">
        <f>$H47*'01 Control'!$C$16</f>
        <v/>
      </c>
      <c r="L47" s="150">
        <f>$J47+$K47</f>
        <v/>
      </c>
      <c r="M47" s="153">
        <f>'01 Control'!$C$21</f>
        <v/>
      </c>
      <c r="N47" s="150">
        <f>IF($J47=0,"",$J47/(1-$M47))</f>
        <v/>
      </c>
      <c r="O47" s="150">
        <f>IF($N47="","",$N47*(1+'01 Control'!$C$6))</f>
        <v/>
      </c>
      <c r="P47" s="148" t="n">
        <v>22</v>
      </c>
      <c r="Q47" s="151">
        <f>IF(N($P47)&gt;0,$P47,IF($O47="","",$O47))</f>
        <v/>
      </c>
      <c r="R47" s="182">
        <f>IF(OR($Q47="",$Q47=0),"",($Q47/(1+'01 Control'!$C$6)-$J47)/($Q47/(1+'01 Control'!$C$6)))</f>
        <v/>
      </c>
      <c r="S47" s="152">
        <f>COUNTIFS('10 Core Menu BOM'!$A$5:$A$300,$A47)-COUNTIFS('10 Core Menu BOM'!$A$5:$A$300,$A47,'10 Core Menu BOM'!$I$5:$I$300,"&gt;=0")</f>
        <v/>
      </c>
      <c r="T47" s="162">
        <f>IF($S47&gt;0,"INCOMPLETE - "&amp;$S47&amp;" line(s) unpriced",IF($J47=0,"BOM COST MISSING",IF($R47&lt;$M47-0.02,"BELOW GP TARGET","READY")))</f>
        <v/>
      </c>
      <c r="U47" s="146" t="n">
        <v>0</v>
      </c>
      <c r="V47" s="153">
        <f>IF($J47=0,"",('01 Control'!$C$29/(1+'01 Control'!$C$6)-$J47)/('01 Control'!$C$29/(1+'01 Control'!$C$6)))</f>
        <v/>
      </c>
      <c r="W47" s="153">
        <f>IF($J47=0,"",('01 Control'!$C$30/(1+'01 Control'!$C$6)-$J47)/('01 Control'!$C$30/(1+'01 Control'!$C$6)))</f>
        <v/>
      </c>
      <c r="X47" s="153">
        <f>IF($J47=0,"",('01 Control'!$C$31/(1+'01 Control'!$C$6)-$J47)/('01 Control'!$C$31/(1+'01 Control'!$C$6)))</f>
        <v/>
      </c>
      <c r="Y47" s="183">
        <f>IF(ISNUMBER($Q47),$Q47,0)*N($U47)</f>
        <v/>
      </c>
      <c r="Z47" s="183">
        <f>IF(ISNUMBER($H47),$H47,0)*N($U47)</f>
        <v/>
      </c>
      <c r="AA47" s="183">
        <f>IF(ISNUMBER($I47),$I47,0)*N($U47)</f>
        <v/>
      </c>
      <c r="AB47" s="184" t="inlineStr">
        <is>
          <t>Menu Concepts beverage board</t>
        </is>
      </c>
    </row>
    <row r="48" ht="15" customHeight="1" s="106">
      <c r="A48" s="134" t="inlineStr">
        <is>
          <t>PP-BEV-SLUSH-BERRY</t>
        </is>
      </c>
      <c r="B48" s="113" t="inlineStr">
        <is>
          <t>Papa's Red (mixed berry)</t>
        </is>
      </c>
      <c r="C48" s="138" t="inlineStr">
        <is>
          <t>Beverage</t>
        </is>
      </c>
      <c r="D48" s="138" t="inlineStr">
        <is>
          <t>Permanent</t>
        </is>
      </c>
      <c r="E48" s="180" t="inlineStr">
        <is>
          <t>-</t>
        </is>
      </c>
      <c r="F48" s="138" t="inlineStr">
        <is>
          <t>-</t>
        </is>
      </c>
      <c r="G48" s="138" t="inlineStr">
        <is>
          <t>-</t>
        </is>
      </c>
      <c r="H48" s="150">
        <f>SUMIFS('10 Core Menu BOM'!$K$5:$K$300,'10 Core Menu BOM'!$A$5:$A$300,$A48)-$I48</f>
        <v/>
      </c>
      <c r="I48" s="150">
        <f>SUMIFS('10 Core Menu BOM'!$K$5:$K$300,'10 Core Menu BOM'!$A$5:$A$300,$A48,'10 Core Menu BOM'!$D$5:$D$300,"Packaging")</f>
        <v/>
      </c>
      <c r="J48" s="181">
        <f>$H48+$I48</f>
        <v/>
      </c>
      <c r="K48" s="150">
        <f>$H48*'01 Control'!$C$16</f>
        <v/>
      </c>
      <c r="L48" s="150">
        <f>$J48+$K48</f>
        <v/>
      </c>
      <c r="M48" s="153">
        <f>'01 Control'!$C$21</f>
        <v/>
      </c>
      <c r="N48" s="150">
        <f>IF($J48=0,"",$J48/(1-$M48))</f>
        <v/>
      </c>
      <c r="O48" s="150">
        <f>IF($N48="","",$N48*(1+'01 Control'!$C$6))</f>
        <v/>
      </c>
      <c r="P48" s="148" t="n">
        <v>22</v>
      </c>
      <c r="Q48" s="151">
        <f>IF(N($P48)&gt;0,$P48,IF($O48="","",$O48))</f>
        <v/>
      </c>
      <c r="R48" s="182">
        <f>IF(OR($Q48="",$Q48=0),"",($Q48/(1+'01 Control'!$C$6)-$J48)/($Q48/(1+'01 Control'!$C$6)))</f>
        <v/>
      </c>
      <c r="S48" s="152">
        <f>COUNTIFS('10 Core Menu BOM'!$A$5:$A$300,$A48)-COUNTIFS('10 Core Menu BOM'!$A$5:$A$300,$A48,'10 Core Menu BOM'!$I$5:$I$300,"&gt;=0")</f>
        <v/>
      </c>
      <c r="T48" s="162">
        <f>IF($S48&gt;0,"INCOMPLETE - "&amp;$S48&amp;" line(s) unpriced",IF($J48=0,"BOM COST MISSING",IF($R48&lt;$M48-0.02,"BELOW GP TARGET","READY")))</f>
        <v/>
      </c>
      <c r="U48" s="146" t="n">
        <v>0</v>
      </c>
      <c r="V48" s="153">
        <f>IF($J48=0,"",('01 Control'!$C$29/(1+'01 Control'!$C$6)-$J48)/('01 Control'!$C$29/(1+'01 Control'!$C$6)))</f>
        <v/>
      </c>
      <c r="W48" s="153">
        <f>IF($J48=0,"",('01 Control'!$C$30/(1+'01 Control'!$C$6)-$J48)/('01 Control'!$C$30/(1+'01 Control'!$C$6)))</f>
        <v/>
      </c>
      <c r="X48" s="153">
        <f>IF($J48=0,"",('01 Control'!$C$31/(1+'01 Control'!$C$6)-$J48)/('01 Control'!$C$31/(1+'01 Control'!$C$6)))</f>
        <v/>
      </c>
      <c r="Y48" s="183">
        <f>IF(ISNUMBER($Q48),$Q48,0)*N($U48)</f>
        <v/>
      </c>
      <c r="Z48" s="183">
        <f>IF(ISNUMBER($H48),$H48,0)*N($U48)</f>
        <v/>
      </c>
      <c r="AA48" s="183">
        <f>IF(ISNUMBER($I48),$I48,0)*N($U48)</f>
        <v/>
      </c>
      <c r="AB48" s="184" t="inlineStr">
        <is>
          <t>Menu Concepts beverage board</t>
        </is>
      </c>
    </row>
    <row r="49" ht="15" customHeight="1" s="106">
      <c r="A49" s="134" t="inlineStr">
        <is>
          <t>PP-BEV-SODA</t>
        </is>
      </c>
      <c r="B49" s="113" t="inlineStr">
        <is>
          <t>Post-Mix Soda</t>
        </is>
      </c>
      <c r="C49" s="138" t="inlineStr">
        <is>
          <t>Beverage</t>
        </is>
      </c>
      <c r="D49" s="138" t="inlineStr">
        <is>
          <t>Permanent</t>
        </is>
      </c>
      <c r="E49" s="180" t="inlineStr">
        <is>
          <t>-</t>
        </is>
      </c>
      <c r="F49" s="138" t="inlineStr">
        <is>
          <t>-</t>
        </is>
      </c>
      <c r="G49" s="138" t="inlineStr">
        <is>
          <t>-</t>
        </is>
      </c>
      <c r="H49" s="150">
        <f>SUMIFS('10 Core Menu BOM'!$K$5:$K$300,'10 Core Menu BOM'!$A$5:$A$300,$A49)-$I49</f>
        <v/>
      </c>
      <c r="I49" s="150">
        <f>SUMIFS('10 Core Menu BOM'!$K$5:$K$300,'10 Core Menu BOM'!$A$5:$A$300,$A49,'10 Core Menu BOM'!$D$5:$D$300,"Packaging")</f>
        <v/>
      </c>
      <c r="J49" s="181">
        <f>$H49+$I49</f>
        <v/>
      </c>
      <c r="K49" s="150">
        <f>$H49*'01 Control'!$C$16</f>
        <v/>
      </c>
      <c r="L49" s="150">
        <f>$J49+$K49</f>
        <v/>
      </c>
      <c r="M49" s="153">
        <f>'01 Control'!$C$21</f>
        <v/>
      </c>
      <c r="N49" s="150">
        <f>IF($J49=0,"",$J49/(1-$M49))</f>
        <v/>
      </c>
      <c r="O49" s="150">
        <f>IF($N49="","",$N49*(1+'01 Control'!$C$6))</f>
        <v/>
      </c>
      <c r="P49" s="148" t="n">
        <v>15</v>
      </c>
      <c r="Q49" s="151">
        <f>IF(N($P49)&gt;0,$P49,IF($O49="","",$O49))</f>
        <v/>
      </c>
      <c r="R49" s="182">
        <f>IF(OR($Q49="",$Q49=0),"",($Q49/(1+'01 Control'!$C$6)-$J49)/($Q49/(1+'01 Control'!$C$6)))</f>
        <v/>
      </c>
      <c r="S49" s="152">
        <f>COUNTIFS('10 Core Menu BOM'!$A$5:$A$300,$A49)-COUNTIFS('10 Core Menu BOM'!$A$5:$A$300,$A49,'10 Core Menu BOM'!$I$5:$I$300,"&gt;=0")</f>
        <v/>
      </c>
      <c r="T49" s="162">
        <f>IF($S49&gt;0,"INCOMPLETE - "&amp;$S49&amp;" line(s) unpriced",IF($J49=0,"BOM COST MISSING",IF($R49&lt;$M49-0.02,"BELOW GP TARGET","READY")))</f>
        <v/>
      </c>
      <c r="U49" s="146" t="n">
        <v>0</v>
      </c>
      <c r="V49" s="153">
        <f>IF($J49=0,"",('01 Control'!$C$29/(1+'01 Control'!$C$6)-$J49)/('01 Control'!$C$29/(1+'01 Control'!$C$6)))</f>
        <v/>
      </c>
      <c r="W49" s="153">
        <f>IF($J49=0,"",('01 Control'!$C$30/(1+'01 Control'!$C$6)-$J49)/('01 Control'!$C$30/(1+'01 Control'!$C$6)))</f>
        <v/>
      </c>
      <c r="X49" s="153">
        <f>IF($J49=0,"",('01 Control'!$C$31/(1+'01 Control'!$C$6)-$J49)/('01 Control'!$C$31/(1+'01 Control'!$C$6)))</f>
        <v/>
      </c>
      <c r="Y49" s="183">
        <f>IF(ISNUMBER($Q49),$Q49,0)*N($U49)</f>
        <v/>
      </c>
      <c r="Z49" s="183">
        <f>IF(ISNUMBER($H49),$H49,0)*N($U49)</f>
        <v/>
      </c>
      <c r="AA49" s="183">
        <f>IF(ISNUMBER($I49),$I49,0)*N($U49)</f>
        <v/>
      </c>
      <c r="AB49" s="184" t="inlineStr">
        <is>
          <t>Menu Concepts beverage board</t>
        </is>
      </c>
    </row>
    <row r="50" ht="15" customHeight="1" s="106">
      <c r="A50" s="134" t="inlineStr">
        <is>
          <t>PP-BEV-WATER</t>
        </is>
      </c>
      <c r="B50" s="113" t="inlineStr">
        <is>
          <t>Still / Sparkling Water 500 ml</t>
        </is>
      </c>
      <c r="C50" s="138" t="inlineStr">
        <is>
          <t>Beverage</t>
        </is>
      </c>
      <c r="D50" s="138" t="inlineStr">
        <is>
          <t>Permanent</t>
        </is>
      </c>
      <c r="E50" s="180" t="inlineStr">
        <is>
          <t>-</t>
        </is>
      </c>
      <c r="F50" s="138" t="inlineStr">
        <is>
          <t>-</t>
        </is>
      </c>
      <c r="G50" s="138" t="inlineStr">
        <is>
          <t>-</t>
        </is>
      </c>
      <c r="H50" s="150">
        <f>SUMIFS('10 Core Menu BOM'!$K$5:$K$300,'10 Core Menu BOM'!$A$5:$A$300,$A50)-$I50</f>
        <v/>
      </c>
      <c r="I50" s="150">
        <f>SUMIFS('10 Core Menu BOM'!$K$5:$K$300,'10 Core Menu BOM'!$A$5:$A$300,$A50,'10 Core Menu BOM'!$D$5:$D$300,"Packaging")</f>
        <v/>
      </c>
      <c r="J50" s="181">
        <f>$H50+$I50</f>
        <v/>
      </c>
      <c r="K50" s="150">
        <f>$H50*'01 Control'!$C$16</f>
        <v/>
      </c>
      <c r="L50" s="150">
        <f>$J50+$K50</f>
        <v/>
      </c>
      <c r="M50" s="153">
        <f>'01 Control'!$C$21</f>
        <v/>
      </c>
      <c r="N50" s="150">
        <f>IF($J50=0,"",$J50/(1-$M50))</f>
        <v/>
      </c>
      <c r="O50" s="150">
        <f>IF($N50="","",$N50*(1+'01 Control'!$C$6))</f>
        <v/>
      </c>
      <c r="P50" s="148" t="n">
        <v>20</v>
      </c>
      <c r="Q50" s="151">
        <f>IF(N($P50)&gt;0,$P50,IF($O50="","",$O50))</f>
        <v/>
      </c>
      <c r="R50" s="182">
        <f>IF(OR($Q50="",$Q50=0),"",($Q50/(1+'01 Control'!$C$6)-$J50)/($Q50/(1+'01 Control'!$C$6)))</f>
        <v/>
      </c>
      <c r="S50" s="152">
        <f>COUNTIFS('10 Core Menu BOM'!$A$5:$A$300,$A50)-COUNTIFS('10 Core Menu BOM'!$A$5:$A$300,$A50,'10 Core Menu BOM'!$I$5:$I$300,"&gt;=0")</f>
        <v/>
      </c>
      <c r="T50" s="162">
        <f>IF($S50&gt;0,"INCOMPLETE - "&amp;$S50&amp;" line(s) unpriced",IF($J50=0,"BOM COST MISSING",IF($R50&lt;$M50-0.02,"BELOW GP TARGET","READY")))</f>
        <v/>
      </c>
      <c r="U50" s="146" t="n">
        <v>0</v>
      </c>
      <c r="V50" s="153">
        <f>IF($J50=0,"",('01 Control'!$C$29/(1+'01 Control'!$C$6)-$J50)/('01 Control'!$C$29/(1+'01 Control'!$C$6)))</f>
        <v/>
      </c>
      <c r="W50" s="153">
        <f>IF($J50=0,"",('01 Control'!$C$30/(1+'01 Control'!$C$6)-$J50)/('01 Control'!$C$30/(1+'01 Control'!$C$6)))</f>
        <v/>
      </c>
      <c r="X50" s="153">
        <f>IF($J50=0,"",('01 Control'!$C$31/(1+'01 Control'!$C$6)-$J50)/('01 Control'!$C$31/(1+'01 Control'!$C$6)))</f>
        <v/>
      </c>
      <c r="Y50" s="183">
        <f>IF(ISNUMBER($Q50),$Q50,0)*N($U50)</f>
        <v/>
      </c>
      <c r="Z50" s="183">
        <f>IF(ISNUMBER($H50),$H50,0)*N($U50)</f>
        <v/>
      </c>
      <c r="AA50" s="183">
        <f>IF(ISNUMBER($I50),$I50,0)*N($U50)</f>
        <v/>
      </c>
      <c r="AB50" s="184" t="inlineStr">
        <is>
          <t>Menu Concepts beverage board</t>
        </is>
      </c>
    </row>
    <row r="51" ht="15" customHeight="1" s="106">
      <c r="A51" s="134" t="inlineStr">
        <is>
          <t>PP-BEV-PANNA</t>
        </is>
      </c>
      <c r="B51" s="113" t="inlineStr">
        <is>
          <t>Acqua Panna 250 ml</t>
        </is>
      </c>
      <c r="C51" s="138" t="inlineStr">
        <is>
          <t>Beverage</t>
        </is>
      </c>
      <c r="D51" s="138" t="inlineStr">
        <is>
          <t>Permanent</t>
        </is>
      </c>
      <c r="E51" s="180" t="inlineStr">
        <is>
          <t>-</t>
        </is>
      </c>
      <c r="F51" s="138" t="inlineStr">
        <is>
          <t>-</t>
        </is>
      </c>
      <c r="G51" s="138" t="inlineStr">
        <is>
          <t>-</t>
        </is>
      </c>
      <c r="H51" s="150">
        <f>SUMIFS('10 Core Menu BOM'!$K$5:$K$300,'10 Core Menu BOM'!$A$5:$A$300,$A51)-$I51</f>
        <v/>
      </c>
      <c r="I51" s="150">
        <f>SUMIFS('10 Core Menu BOM'!$K$5:$K$300,'10 Core Menu BOM'!$A$5:$A$300,$A51,'10 Core Menu BOM'!$D$5:$D$300,"Packaging")</f>
        <v/>
      </c>
      <c r="J51" s="181">
        <f>$H51+$I51</f>
        <v/>
      </c>
      <c r="K51" s="150">
        <f>$H51*'01 Control'!$C$16</f>
        <v/>
      </c>
      <c r="L51" s="150">
        <f>$J51+$K51</f>
        <v/>
      </c>
      <c r="M51" s="153">
        <f>'01 Control'!$C$21</f>
        <v/>
      </c>
      <c r="N51" s="150">
        <f>IF($J51=0,"",$J51/(1-$M51))</f>
        <v/>
      </c>
      <c r="O51" s="150">
        <f>IF($N51="","",$N51*(1+'01 Control'!$C$6))</f>
        <v/>
      </c>
      <c r="P51" s="148" t="n">
        <v>22</v>
      </c>
      <c r="Q51" s="151">
        <f>IF(N($P51)&gt;0,$P51,IF($O51="","",$O51))</f>
        <v/>
      </c>
      <c r="R51" s="182">
        <f>IF(OR($Q51="",$Q51=0),"",($Q51/(1+'01 Control'!$C$6)-$J51)/($Q51/(1+'01 Control'!$C$6)))</f>
        <v/>
      </c>
      <c r="S51" s="152">
        <f>COUNTIFS('10 Core Menu BOM'!$A$5:$A$300,$A51)-COUNTIFS('10 Core Menu BOM'!$A$5:$A$300,$A51,'10 Core Menu BOM'!$I$5:$I$300,"&gt;=0")</f>
        <v/>
      </c>
      <c r="T51" s="162">
        <f>IF($S51&gt;0,"INCOMPLETE - "&amp;$S51&amp;" line(s) unpriced",IF($J51=0,"BOM COST MISSING",IF($R51&lt;$M51-0.02,"BELOW GP TARGET","READY")))</f>
        <v/>
      </c>
      <c r="U51" s="146" t="n">
        <v>0</v>
      </c>
      <c r="V51" s="153">
        <f>IF($J51=0,"",('01 Control'!$C$29/(1+'01 Control'!$C$6)-$J51)/('01 Control'!$C$29/(1+'01 Control'!$C$6)))</f>
        <v/>
      </c>
      <c r="W51" s="153">
        <f>IF($J51=0,"",('01 Control'!$C$30/(1+'01 Control'!$C$6)-$J51)/('01 Control'!$C$30/(1+'01 Control'!$C$6)))</f>
        <v/>
      </c>
      <c r="X51" s="153">
        <f>IF($J51=0,"",('01 Control'!$C$31/(1+'01 Control'!$C$6)-$J51)/('01 Control'!$C$31/(1+'01 Control'!$C$6)))</f>
        <v/>
      </c>
      <c r="Y51" s="183">
        <f>IF(ISNUMBER($Q51),$Q51,0)*N($U51)</f>
        <v/>
      </c>
      <c r="Z51" s="183">
        <f>IF(ISNUMBER($H51),$H51,0)*N($U51)</f>
        <v/>
      </c>
      <c r="AA51" s="183">
        <f>IF(ISNUMBER($I51),$I51,0)*N($U51)</f>
        <v/>
      </c>
      <c r="AB51" s="184" t="inlineStr">
        <is>
          <t>Menu Concepts beverage board</t>
        </is>
      </c>
    </row>
    <row r="53" ht="15" customHeight="1" s="106">
      <c r="A53" s="185" t="inlineStr">
        <is>
          <t>TIER 2  -  SEASONAL DROPS, 3-YEAR ROTATION</t>
        </is>
      </c>
      <c r="B53" s="110" t="n"/>
      <c r="C53" s="110" t="n"/>
      <c r="D53" s="110" t="n"/>
      <c r="E53" s="110" t="n"/>
      <c r="F53" s="110" t="n"/>
      <c r="G53" s="110" t="n"/>
      <c r="H53" s="110" t="n"/>
      <c r="I53" s="110" t="n"/>
      <c r="J53" s="110" t="n"/>
      <c r="K53" s="110" t="n"/>
      <c r="L53" s="110" t="n"/>
      <c r="M53" s="110" t="n"/>
      <c r="N53" s="110" t="n"/>
      <c r="O53" s="110" t="n"/>
      <c r="P53" s="110" t="n"/>
      <c r="Q53" s="110" t="n"/>
      <c r="R53" s="110" t="n"/>
      <c r="S53" s="110" t="n"/>
      <c r="T53" s="110" t="n"/>
      <c r="U53" s="110" t="n"/>
      <c r="V53" s="110" t="n"/>
      <c r="W53" s="110" t="n"/>
      <c r="X53" s="110" t="n"/>
      <c r="Y53" s="110" t="n"/>
      <c r="Z53" s="110" t="n"/>
      <c r="AA53" s="110" t="n"/>
      <c r="AB53" s="111" t="n"/>
    </row>
    <row r="54" ht="43.5" customHeight="1" s="106">
      <c r="A54" s="112" t="inlineStr">
        <is>
          <t>Menu SKU</t>
        </is>
      </c>
      <c r="B54" s="112" t="inlineStr">
        <is>
          <t>Menu Item</t>
        </is>
      </c>
      <c r="C54" s="112" t="inlineStr">
        <is>
          <t>Tier / Group</t>
        </is>
      </c>
      <c r="D54" s="112" t="inlineStr">
        <is>
          <t>Season / Drop</t>
        </is>
      </c>
      <c r="E54" s="112" t="inlineStr">
        <is>
          <t>Shape</t>
        </is>
      </c>
      <c r="F54" s="112" t="inlineStr">
        <is>
          <t>Pasta Formula</t>
        </is>
      </c>
      <c r="G54" s="112" t="inlineStr">
        <is>
          <t>Base Sauce</t>
        </is>
      </c>
      <c r="H54" s="112" t="inlineStr">
        <is>
          <t>Food Cost</t>
        </is>
      </c>
      <c r="I54" s="112" t="inlineStr">
        <is>
          <t>Packaging
Cost</t>
        </is>
      </c>
      <c r="J54" s="112" t="inlineStr">
        <is>
          <t>Total Direct
Cost</t>
        </is>
      </c>
      <c r="K54" s="112" t="inlineStr">
        <is>
          <t>Store Labour
Allowance</t>
        </is>
      </c>
      <c r="L54" s="112" t="inlineStr">
        <is>
          <t>Fully Loaded
Cost</t>
        </is>
      </c>
      <c r="M54" s="112" t="inlineStr">
        <is>
          <t>Target
GP%</t>
        </is>
      </c>
      <c r="N54" s="112" t="inlineStr">
        <is>
          <t>Recommended
Sell (excl VAT)</t>
        </is>
      </c>
      <c r="O54" s="112" t="inlineStr">
        <is>
          <t>Recommended
Sell (incl VAT)</t>
        </is>
      </c>
      <c r="P54" s="112" t="inlineStr">
        <is>
          <t>Approved Sell
(incl VAT)</t>
        </is>
      </c>
      <c r="Q54" s="112" t="inlineStr">
        <is>
          <t>FINAL SELL
(incl VAT)</t>
        </is>
      </c>
      <c r="R54" s="112" t="inlineStr">
        <is>
          <t>Actual
GP%</t>
        </is>
      </c>
      <c r="S54" s="112" t="inlineStr">
        <is>
          <t>Lines
Unpriced</t>
        </is>
      </c>
      <c r="T54" s="112" t="inlineStr">
        <is>
          <t>Cost Status</t>
        </is>
      </c>
      <c r="U54" s="112" t="inlineStr">
        <is>
          <t>MENU
MIX %</t>
        </is>
      </c>
      <c r="V54" s="112" t="inlineStr">
        <is>
          <t>GP% at
Price A</t>
        </is>
      </c>
      <c r="W54" s="112" t="inlineStr">
        <is>
          <t>GP% at
Price B</t>
        </is>
      </c>
      <c r="X54" s="112" t="inlineStr">
        <is>
          <t>GP% at
Price C</t>
        </is>
      </c>
      <c r="Y54" s="112" t="inlineStr">
        <is>
          <t>Weighted
Revenue</t>
        </is>
      </c>
      <c r="Z54" s="112" t="inlineStr">
        <is>
          <t>Weighted
Food Cost</t>
        </is>
      </c>
      <c r="AA54" s="112" t="inlineStr">
        <is>
          <t>Weighted
Packaging</t>
        </is>
      </c>
      <c r="AB54" s="112" t="inlineStr">
        <is>
          <t>Approved Price
Source</t>
        </is>
      </c>
    </row>
    <row r="55" ht="19.4" customHeight="1" s="106">
      <c r="A55" s="134" t="inlineStr">
        <is>
          <t>PP-SEA-Y1S-BOER</t>
        </is>
      </c>
      <c r="B55" s="113" t="inlineStr">
        <is>
          <t>Boerewors Beef Ragu</t>
        </is>
      </c>
      <c r="C55" s="138" t="inlineStr">
        <is>
          <t>Seasonal - Year 1</t>
        </is>
      </c>
      <c r="D55" s="138" t="inlineStr">
        <is>
          <t>Summer (Dec-Feb) - Braai &amp; Basil</t>
        </is>
      </c>
      <c r="E55" s="180" t="inlineStr">
        <is>
          <t>Rigatoni</t>
        </is>
      </c>
      <c r="F55" s="138" t="inlineStr">
        <is>
          <t>Bokgat Base</t>
        </is>
      </c>
      <c r="G55" s="138" t="inlineStr">
        <is>
          <t>Papa's Bolognese</t>
        </is>
      </c>
      <c r="H55" s="150">
        <f>SUMIFS('11 Seasonal Menu BOM'!$K$5:$K$365,'11 Seasonal Menu BOM'!$A$5:$A$365,$A55)-$I55</f>
        <v/>
      </c>
      <c r="I55" s="150">
        <f>SUMIFS('11 Seasonal Menu BOM'!$K$5:$K$365,'11 Seasonal Menu BOM'!$A$5:$A$365,$A55,'11 Seasonal Menu BOM'!$D$5:$D$365,"Packaging")</f>
        <v/>
      </c>
      <c r="J55" s="181">
        <f>$H55+$I55</f>
        <v/>
      </c>
      <c r="K55" s="150">
        <f>$H55*'01 Control'!$C$16</f>
        <v/>
      </c>
      <c r="L55" s="150">
        <f>$J55+$K55</f>
        <v/>
      </c>
      <c r="M55" s="153">
        <f>'01 Control'!$C$18</f>
        <v/>
      </c>
      <c r="N55" s="150">
        <f>IF($J55=0,"",$J55/(1-$M55))</f>
        <v/>
      </c>
      <c r="O55" s="150">
        <f>IF($N55="","",$N55*(1+'01 Control'!$C$6))</f>
        <v/>
      </c>
      <c r="P55" s="148" t="n"/>
      <c r="Q55" s="151">
        <f>IF(N($P55)&gt;0,$P55,IF($O55="","",$O55))</f>
        <v/>
      </c>
      <c r="R55" s="182">
        <f>IF(OR($Q55="",$Q55=0),"",($Q55/(1+'01 Control'!$C$6)-$J55)/($Q55/(1+'01 Control'!$C$6)))</f>
        <v/>
      </c>
      <c r="S55" s="152">
        <f>COUNTIFS('11 Seasonal Menu BOM'!$A$5:$A$365,$A55)-COUNTIFS('11 Seasonal Menu BOM'!$A$5:$A$365,$A55,'11 Seasonal Menu BOM'!$I$5:$I$365,"&gt;=0")</f>
        <v/>
      </c>
      <c r="T55" s="162">
        <f>IF($S55&gt;0,"INCOMPLETE - "&amp;$S55&amp;" line(s) unpriced",IF($J55=0,"BOM COST MISSING",IF($R55&lt;$M55-0.02,"BELOW GP TARGET","READY")))</f>
        <v/>
      </c>
      <c r="U55" s="146" t="n">
        <v>0.09</v>
      </c>
      <c r="V55" s="153">
        <f>IF($J55=0,"",('01 Control'!$C$29/(1+'01 Control'!$C$6)-$J55)/('01 Control'!$C$29/(1+'01 Control'!$C$6)))</f>
        <v/>
      </c>
      <c r="W55" s="153">
        <f>IF($J55=0,"",('01 Control'!$C$30/(1+'01 Control'!$C$6)-$J55)/('01 Control'!$C$30/(1+'01 Control'!$C$6)))</f>
        <v/>
      </c>
      <c r="X55" s="153">
        <f>IF($J55=0,"",('01 Control'!$C$31/(1+'01 Control'!$C$6)-$J55)/('01 Control'!$C$31/(1+'01 Control'!$C$6)))</f>
        <v/>
      </c>
      <c r="Y55" s="183">
        <f>IF(ISNUMBER($Q55),$Q55,0)*N($U55)</f>
        <v/>
      </c>
      <c r="Z55" s="183">
        <f>IF(ISNUMBER($H55),$H55,0)*N($U55)</f>
        <v/>
      </c>
      <c r="AA55" s="183">
        <f>IF(ISNUMBER($I55),$I55,0)*N($U55)</f>
        <v/>
      </c>
      <c r="AB55" s="184" t="inlineStr">
        <is>
          <t>No board price - model recommendation only</t>
        </is>
      </c>
    </row>
    <row r="56" ht="19.4" customHeight="1" s="106">
      <c r="A56" s="134" t="inlineStr">
        <is>
          <t>PP-SEA-Y1S-PERI</t>
        </is>
      </c>
      <c r="B56" s="113" t="inlineStr">
        <is>
          <t>Peri-Peri Chargrilled Beef</t>
        </is>
      </c>
      <c r="C56" s="138" t="inlineStr">
        <is>
          <t>Seasonal - Year 1</t>
        </is>
      </c>
      <c r="D56" s="138" t="inlineStr">
        <is>
          <t>Summer (Dec-Feb) - Braai &amp; Basil</t>
        </is>
      </c>
      <c r="E56" s="180" t="inlineStr">
        <is>
          <t>Casarecce</t>
        </is>
      </c>
      <c r="F56" s="138" t="inlineStr">
        <is>
          <t>Bokgat Base</t>
        </is>
      </c>
      <c r="G56" s="138" t="inlineStr">
        <is>
          <t>Aglio e Olio Kit</t>
        </is>
      </c>
      <c r="H56" s="150">
        <f>SUMIFS('11 Seasonal Menu BOM'!$K$5:$K$365,'11 Seasonal Menu BOM'!$A$5:$A$365,$A56)-$I56</f>
        <v/>
      </c>
      <c r="I56" s="150">
        <f>SUMIFS('11 Seasonal Menu BOM'!$K$5:$K$365,'11 Seasonal Menu BOM'!$A$5:$A$365,$A56,'11 Seasonal Menu BOM'!$D$5:$D$365,"Packaging")</f>
        <v/>
      </c>
      <c r="J56" s="181">
        <f>$H56+$I56</f>
        <v/>
      </c>
      <c r="K56" s="150">
        <f>$H56*'01 Control'!$C$16</f>
        <v/>
      </c>
      <c r="L56" s="150">
        <f>$J56+$K56</f>
        <v/>
      </c>
      <c r="M56" s="153">
        <f>'01 Control'!$C$18</f>
        <v/>
      </c>
      <c r="N56" s="150">
        <f>IF($J56=0,"",$J56/(1-$M56))</f>
        <v/>
      </c>
      <c r="O56" s="150">
        <f>IF($N56="","",$N56*(1+'01 Control'!$C$6))</f>
        <v/>
      </c>
      <c r="P56" s="148" t="n"/>
      <c r="Q56" s="151">
        <f>IF(N($P56)&gt;0,$P56,IF($O56="","",$O56))</f>
        <v/>
      </c>
      <c r="R56" s="182">
        <f>IF(OR($Q56="",$Q56=0),"",($Q56/(1+'01 Control'!$C$6)-$J56)/($Q56/(1+'01 Control'!$C$6)))</f>
        <v/>
      </c>
      <c r="S56" s="152">
        <f>COUNTIFS('11 Seasonal Menu BOM'!$A$5:$A$365,$A56)-COUNTIFS('11 Seasonal Menu BOM'!$A$5:$A$365,$A56,'11 Seasonal Menu BOM'!$I$5:$I$365,"&gt;=0")</f>
        <v/>
      </c>
      <c r="T56" s="162">
        <f>IF($S56&gt;0,"INCOMPLETE - "&amp;$S56&amp;" line(s) unpriced",IF($J56=0,"BOM COST MISSING",IF($R56&lt;$M56-0.02,"BELOW GP TARGET","READY")))</f>
        <v/>
      </c>
      <c r="U56" s="146" t="n">
        <v>0.08</v>
      </c>
      <c r="V56" s="153">
        <f>IF($J56=0,"",('01 Control'!$C$29/(1+'01 Control'!$C$6)-$J56)/('01 Control'!$C$29/(1+'01 Control'!$C$6)))</f>
        <v/>
      </c>
      <c r="W56" s="153">
        <f>IF($J56=0,"",('01 Control'!$C$30/(1+'01 Control'!$C$6)-$J56)/('01 Control'!$C$30/(1+'01 Control'!$C$6)))</f>
        <v/>
      </c>
      <c r="X56" s="153">
        <f>IF($J56=0,"",('01 Control'!$C$31/(1+'01 Control'!$C$6)-$J56)/('01 Control'!$C$31/(1+'01 Control'!$C$6)))</f>
        <v/>
      </c>
      <c r="Y56" s="183">
        <f>IF(ISNUMBER($Q56),$Q56,0)*N($U56)</f>
        <v/>
      </c>
      <c r="Z56" s="183">
        <f>IF(ISNUMBER($H56),$H56,0)*N($U56)</f>
        <v/>
      </c>
      <c r="AA56" s="183">
        <f>IF(ISNUMBER($I56),$I56,0)*N($U56)</f>
        <v/>
      </c>
      <c r="AB56" s="184" t="inlineStr">
        <is>
          <t>No board price - model recommendation only</t>
        </is>
      </c>
    </row>
    <row r="57" ht="19.4" customHeight="1" s="106">
      <c r="A57" s="134" t="inlineStr">
        <is>
          <t>PP-SEA-Y1S-CAPR</t>
        </is>
      </c>
      <c r="B57" s="113" t="inlineStr">
        <is>
          <t>Chilled Caprese Pasta Salad</t>
        </is>
      </c>
      <c r="C57" s="138" t="inlineStr">
        <is>
          <t>Seasonal - Year 1</t>
        </is>
      </c>
      <c r="D57" s="138" t="inlineStr">
        <is>
          <t>Summer (Dec-Feb) - Braai &amp; Basil</t>
        </is>
      </c>
      <c r="E57" s="180" t="inlineStr">
        <is>
          <t>Fusilli</t>
        </is>
      </c>
      <c r="F57" s="138" t="inlineStr">
        <is>
          <t>Bokgat Base</t>
        </is>
      </c>
      <c r="G57" s="138" t="inlineStr">
        <is>
          <t>-</t>
        </is>
      </c>
      <c r="H57" s="150">
        <f>SUMIFS('11 Seasonal Menu BOM'!$K$5:$K$365,'11 Seasonal Menu BOM'!$A$5:$A$365,$A57)-$I57</f>
        <v/>
      </c>
      <c r="I57" s="150">
        <f>SUMIFS('11 Seasonal Menu BOM'!$K$5:$K$365,'11 Seasonal Menu BOM'!$A$5:$A$365,$A57,'11 Seasonal Menu BOM'!$D$5:$D$365,"Packaging")</f>
        <v/>
      </c>
      <c r="J57" s="181">
        <f>$H57+$I57</f>
        <v/>
      </c>
      <c r="K57" s="150">
        <f>$H57*'01 Control'!$C$16</f>
        <v/>
      </c>
      <c r="L57" s="150">
        <f>$J57+$K57</f>
        <v/>
      </c>
      <c r="M57" s="153">
        <f>'01 Control'!$C$18</f>
        <v/>
      </c>
      <c r="N57" s="150">
        <f>IF($J57=0,"",$J57/(1-$M57))</f>
        <v/>
      </c>
      <c r="O57" s="150">
        <f>IF($N57="","",$N57*(1+'01 Control'!$C$6))</f>
        <v/>
      </c>
      <c r="P57" s="148" t="n"/>
      <c r="Q57" s="151">
        <f>IF(N($P57)&gt;0,$P57,IF($O57="","",$O57))</f>
        <v/>
      </c>
      <c r="R57" s="182">
        <f>IF(OR($Q57="",$Q57=0),"",($Q57/(1+'01 Control'!$C$6)-$J57)/($Q57/(1+'01 Control'!$C$6)))</f>
        <v/>
      </c>
      <c r="S57" s="152">
        <f>COUNTIFS('11 Seasonal Menu BOM'!$A$5:$A$365,$A57)-COUNTIFS('11 Seasonal Menu BOM'!$A$5:$A$365,$A57,'11 Seasonal Menu BOM'!$I$5:$I$365,"&gt;=0")</f>
        <v/>
      </c>
      <c r="T57" s="162">
        <f>IF($S57&gt;0,"INCOMPLETE - "&amp;$S57&amp;" line(s) unpriced",IF($J57=0,"BOM COST MISSING",IF($R57&lt;$M57-0.02,"BELOW GP TARGET","READY")))</f>
        <v/>
      </c>
      <c r="U57" s="146" t="n">
        <v>0.05</v>
      </c>
      <c r="V57" s="153">
        <f>IF($J57=0,"",('01 Control'!$C$29/(1+'01 Control'!$C$6)-$J57)/('01 Control'!$C$29/(1+'01 Control'!$C$6)))</f>
        <v/>
      </c>
      <c r="W57" s="153">
        <f>IF($J57=0,"",('01 Control'!$C$30/(1+'01 Control'!$C$6)-$J57)/('01 Control'!$C$30/(1+'01 Control'!$C$6)))</f>
        <v/>
      </c>
      <c r="X57" s="153">
        <f>IF($J57=0,"",('01 Control'!$C$31/(1+'01 Control'!$C$6)-$J57)/('01 Control'!$C$31/(1+'01 Control'!$C$6)))</f>
        <v/>
      </c>
      <c r="Y57" s="183">
        <f>IF(ISNUMBER($Q57),$Q57,0)*N($U57)</f>
        <v/>
      </c>
      <c r="Z57" s="183">
        <f>IF(ISNUMBER($H57),$H57,0)*N($U57)</f>
        <v/>
      </c>
      <c r="AA57" s="183">
        <f>IF(ISNUMBER($I57),$I57,0)*N($U57)</f>
        <v/>
      </c>
      <c r="AB57" s="184" t="inlineStr">
        <is>
          <t>No board price - model recommendation only</t>
        </is>
      </c>
    </row>
    <row r="58" ht="19.4" customHeight="1" s="106">
      <c r="A58" s="134" t="inlineStr">
        <is>
          <t>PP-SEA-Y1A-MUSH</t>
        </is>
      </c>
      <c r="B58" s="113" t="inlineStr">
        <is>
          <t>Wild Mushroom &amp; Thyme</t>
        </is>
      </c>
      <c r="C58" s="138" t="inlineStr">
        <is>
          <t>Seasonal - Year 1</t>
        </is>
      </c>
      <c r="D58" s="138" t="inlineStr">
        <is>
          <t>Autumn (Mar-May) - Harvest</t>
        </is>
      </c>
      <c r="E58" s="180" t="inlineStr">
        <is>
          <t>Fusilli</t>
        </is>
      </c>
      <c r="F58" s="138" t="inlineStr">
        <is>
          <t>Farmhouse</t>
        </is>
      </c>
      <c r="G58" s="138" t="inlineStr">
        <is>
          <t>Boscaiola</t>
        </is>
      </c>
      <c r="H58" s="150">
        <f>SUMIFS('11 Seasonal Menu BOM'!$K$5:$K$365,'11 Seasonal Menu BOM'!$A$5:$A$365,$A58)-$I58</f>
        <v/>
      </c>
      <c r="I58" s="150">
        <f>SUMIFS('11 Seasonal Menu BOM'!$K$5:$K$365,'11 Seasonal Menu BOM'!$A$5:$A$365,$A58,'11 Seasonal Menu BOM'!$D$5:$D$365,"Packaging")</f>
        <v/>
      </c>
      <c r="J58" s="181">
        <f>$H58+$I58</f>
        <v/>
      </c>
      <c r="K58" s="150">
        <f>$H58*'01 Control'!$C$16</f>
        <v/>
      </c>
      <c r="L58" s="150">
        <f>$J58+$K58</f>
        <v/>
      </c>
      <c r="M58" s="153">
        <f>'01 Control'!$C$18</f>
        <v/>
      </c>
      <c r="N58" s="150">
        <f>IF($J58=0,"",$J58/(1-$M58))</f>
        <v/>
      </c>
      <c r="O58" s="150">
        <f>IF($N58="","",$N58*(1+'01 Control'!$C$6))</f>
        <v/>
      </c>
      <c r="P58" s="148" t="n"/>
      <c r="Q58" s="151">
        <f>IF(N($P58)&gt;0,$P58,IF($O58="","",$O58))</f>
        <v/>
      </c>
      <c r="R58" s="182">
        <f>IF(OR($Q58="",$Q58=0),"",($Q58/(1+'01 Control'!$C$6)-$J58)/($Q58/(1+'01 Control'!$C$6)))</f>
        <v/>
      </c>
      <c r="S58" s="152">
        <f>COUNTIFS('11 Seasonal Menu BOM'!$A$5:$A$365,$A58)-COUNTIFS('11 Seasonal Menu BOM'!$A$5:$A$365,$A58,'11 Seasonal Menu BOM'!$I$5:$I$365,"&gt;=0")</f>
        <v/>
      </c>
      <c r="T58" s="162">
        <f>IF($S58&gt;0,"INCOMPLETE - "&amp;$S58&amp;" line(s) unpriced",IF($J58=0,"BOM COST MISSING",IF($R58&lt;$M58-0.02,"BELOW GP TARGET","READY")))</f>
        <v/>
      </c>
      <c r="U58" s="146" t="n">
        <v>0</v>
      </c>
      <c r="V58" s="153">
        <f>IF($J58=0,"",('01 Control'!$C$29/(1+'01 Control'!$C$6)-$J58)/('01 Control'!$C$29/(1+'01 Control'!$C$6)))</f>
        <v/>
      </c>
      <c r="W58" s="153">
        <f>IF($J58=0,"",('01 Control'!$C$30/(1+'01 Control'!$C$6)-$J58)/('01 Control'!$C$30/(1+'01 Control'!$C$6)))</f>
        <v/>
      </c>
      <c r="X58" s="153">
        <f>IF($J58=0,"",('01 Control'!$C$31/(1+'01 Control'!$C$6)-$J58)/('01 Control'!$C$31/(1+'01 Control'!$C$6)))</f>
        <v/>
      </c>
      <c r="Y58" s="183">
        <f>IF(ISNUMBER($Q58),$Q58,0)*N($U58)</f>
        <v/>
      </c>
      <c r="Z58" s="183">
        <f>IF(ISNUMBER($H58),$H58,0)*N($U58)</f>
        <v/>
      </c>
      <c r="AA58" s="183">
        <f>IF(ISNUMBER($I58),$I58,0)*N($U58)</f>
        <v/>
      </c>
      <c r="AB58" s="184" t="inlineStr">
        <is>
          <t>No board price - model recommendation only</t>
        </is>
      </c>
    </row>
    <row r="59" ht="19.4" customHeight="1" s="106">
      <c r="A59" s="134" t="inlineStr">
        <is>
          <t>PP-SEA-Y1A-BUTT</t>
        </is>
      </c>
      <c r="B59" s="113" t="inlineStr">
        <is>
          <t>Roast Butternut &amp; Sage</t>
        </is>
      </c>
      <c r="C59" s="138" t="inlineStr">
        <is>
          <t>Seasonal - Year 1</t>
        </is>
      </c>
      <c r="D59" s="138" t="inlineStr">
        <is>
          <t>Autumn (Mar-May) - Harvest</t>
        </is>
      </c>
      <c r="E59" s="180" t="inlineStr">
        <is>
          <t>Casarecce</t>
        </is>
      </c>
      <c r="F59" s="138" t="inlineStr">
        <is>
          <t>Bokgat Base</t>
        </is>
      </c>
      <c r="G59" s="138" t="inlineStr">
        <is>
          <t>Creamy Alfredo</t>
        </is>
      </c>
      <c r="H59" s="150">
        <f>SUMIFS('11 Seasonal Menu BOM'!$K$5:$K$365,'11 Seasonal Menu BOM'!$A$5:$A$365,$A59)-$I59</f>
        <v/>
      </c>
      <c r="I59" s="150">
        <f>SUMIFS('11 Seasonal Menu BOM'!$K$5:$K$365,'11 Seasonal Menu BOM'!$A$5:$A$365,$A59,'11 Seasonal Menu BOM'!$D$5:$D$365,"Packaging")</f>
        <v/>
      </c>
      <c r="J59" s="181">
        <f>$H59+$I59</f>
        <v/>
      </c>
      <c r="K59" s="150">
        <f>$H59*'01 Control'!$C$16</f>
        <v/>
      </c>
      <c r="L59" s="150">
        <f>$J59+$K59</f>
        <v/>
      </c>
      <c r="M59" s="153">
        <f>'01 Control'!$C$18</f>
        <v/>
      </c>
      <c r="N59" s="150">
        <f>IF($J59=0,"",$J59/(1-$M59))</f>
        <v/>
      </c>
      <c r="O59" s="150">
        <f>IF($N59="","",$N59*(1+'01 Control'!$C$6))</f>
        <v/>
      </c>
      <c r="P59" s="148" t="n"/>
      <c r="Q59" s="151">
        <f>IF(N($P59)&gt;0,$P59,IF($O59="","",$O59))</f>
        <v/>
      </c>
      <c r="R59" s="182">
        <f>IF(OR($Q59="",$Q59=0),"",($Q59/(1+'01 Control'!$C$6)-$J59)/($Q59/(1+'01 Control'!$C$6)))</f>
        <v/>
      </c>
      <c r="S59" s="152">
        <f>COUNTIFS('11 Seasonal Menu BOM'!$A$5:$A$365,$A59)-COUNTIFS('11 Seasonal Menu BOM'!$A$5:$A$365,$A59,'11 Seasonal Menu BOM'!$I$5:$I$365,"&gt;=0")</f>
        <v/>
      </c>
      <c r="T59" s="162">
        <f>IF($S59&gt;0,"INCOMPLETE - "&amp;$S59&amp;" line(s) unpriced",IF($J59=0,"BOM COST MISSING",IF($R59&lt;$M59-0.02,"BELOW GP TARGET","READY")))</f>
        <v/>
      </c>
      <c r="U59" s="146" t="n">
        <v>0</v>
      </c>
      <c r="V59" s="153">
        <f>IF($J59=0,"",('01 Control'!$C$29/(1+'01 Control'!$C$6)-$J59)/('01 Control'!$C$29/(1+'01 Control'!$C$6)))</f>
        <v/>
      </c>
      <c r="W59" s="153">
        <f>IF($J59=0,"",('01 Control'!$C$30/(1+'01 Control'!$C$6)-$J59)/('01 Control'!$C$30/(1+'01 Control'!$C$6)))</f>
        <v/>
      </c>
      <c r="X59" s="153">
        <f>IF($J59=0,"",('01 Control'!$C$31/(1+'01 Control'!$C$6)-$J59)/('01 Control'!$C$31/(1+'01 Control'!$C$6)))</f>
        <v/>
      </c>
      <c r="Y59" s="183">
        <f>IF(ISNUMBER($Q59),$Q59,0)*N($U59)</f>
        <v/>
      </c>
      <c r="Z59" s="183">
        <f>IF(ISNUMBER($H59),$H59,0)*N($U59)</f>
        <v/>
      </c>
      <c r="AA59" s="183">
        <f>IF(ISNUMBER($I59),$I59,0)*N($U59)</f>
        <v/>
      </c>
      <c r="AB59" s="184" t="inlineStr">
        <is>
          <t>No board price - model recommendation only</t>
        </is>
      </c>
    </row>
    <row r="60" ht="19.4" customHeight="1" s="106">
      <c r="A60" s="134" t="inlineStr">
        <is>
          <t>PP-SEA-Y1A-BRIS</t>
        </is>
      </c>
      <c r="B60" s="113" t="inlineStr">
        <is>
          <t>Smoky Brisket Ragu</t>
        </is>
      </c>
      <c r="C60" s="138" t="inlineStr">
        <is>
          <t>Seasonal - Year 1</t>
        </is>
      </c>
      <c r="D60" s="138" t="inlineStr">
        <is>
          <t>Autumn (Mar-May) - Harvest</t>
        </is>
      </c>
      <c r="E60" s="180" t="inlineStr">
        <is>
          <t>Rigatoni</t>
        </is>
      </c>
      <c r="F60" s="138" t="inlineStr">
        <is>
          <t>Bokgat Base</t>
        </is>
      </c>
      <c r="G60" s="138" t="inlineStr">
        <is>
          <t>Papa's Bolognese</t>
        </is>
      </c>
      <c r="H60" s="150">
        <f>SUMIFS('11 Seasonal Menu BOM'!$K$5:$K$365,'11 Seasonal Menu BOM'!$A$5:$A$365,$A60)-$I60</f>
        <v/>
      </c>
      <c r="I60" s="150">
        <f>SUMIFS('11 Seasonal Menu BOM'!$K$5:$K$365,'11 Seasonal Menu BOM'!$A$5:$A$365,$A60,'11 Seasonal Menu BOM'!$D$5:$D$365,"Packaging")</f>
        <v/>
      </c>
      <c r="J60" s="181">
        <f>$H60+$I60</f>
        <v/>
      </c>
      <c r="K60" s="150">
        <f>$H60*'01 Control'!$C$16</f>
        <v/>
      </c>
      <c r="L60" s="150">
        <f>$J60+$K60</f>
        <v/>
      </c>
      <c r="M60" s="153">
        <f>'01 Control'!$C$18</f>
        <v/>
      </c>
      <c r="N60" s="150">
        <f>IF($J60=0,"",$J60/(1-$M60))</f>
        <v/>
      </c>
      <c r="O60" s="150">
        <f>IF($N60="","",$N60*(1+'01 Control'!$C$6))</f>
        <v/>
      </c>
      <c r="P60" s="148" t="n"/>
      <c r="Q60" s="151">
        <f>IF(N($P60)&gt;0,$P60,IF($O60="","",$O60))</f>
        <v/>
      </c>
      <c r="R60" s="182">
        <f>IF(OR($Q60="",$Q60=0),"",($Q60/(1+'01 Control'!$C$6)-$J60)/($Q60/(1+'01 Control'!$C$6)))</f>
        <v/>
      </c>
      <c r="S60" s="152">
        <f>COUNTIFS('11 Seasonal Menu BOM'!$A$5:$A$365,$A60)-COUNTIFS('11 Seasonal Menu BOM'!$A$5:$A$365,$A60,'11 Seasonal Menu BOM'!$I$5:$I$365,"&gt;=0")</f>
        <v/>
      </c>
      <c r="T60" s="162">
        <f>IF($S60&gt;0,"INCOMPLETE - "&amp;$S60&amp;" line(s) unpriced",IF($J60=0,"BOM COST MISSING",IF($R60&lt;$M60-0.02,"BELOW GP TARGET","READY")))</f>
        <v/>
      </c>
      <c r="U60" s="146" t="n">
        <v>0</v>
      </c>
      <c r="V60" s="153">
        <f>IF($J60=0,"",('01 Control'!$C$29/(1+'01 Control'!$C$6)-$J60)/('01 Control'!$C$29/(1+'01 Control'!$C$6)))</f>
        <v/>
      </c>
      <c r="W60" s="153">
        <f>IF($J60=0,"",('01 Control'!$C$30/(1+'01 Control'!$C$6)-$J60)/('01 Control'!$C$30/(1+'01 Control'!$C$6)))</f>
        <v/>
      </c>
      <c r="X60" s="153">
        <f>IF($J60=0,"",('01 Control'!$C$31/(1+'01 Control'!$C$6)-$J60)/('01 Control'!$C$31/(1+'01 Control'!$C$6)))</f>
        <v/>
      </c>
      <c r="Y60" s="183">
        <f>IF(ISNUMBER($Q60),$Q60,0)*N($U60)</f>
        <v/>
      </c>
      <c r="Z60" s="183">
        <f>IF(ISNUMBER($H60),$H60,0)*N($U60)</f>
        <v/>
      </c>
      <c r="AA60" s="183">
        <f>IF(ISNUMBER($I60),$I60,0)*N($U60)</f>
        <v/>
      </c>
      <c r="AB60" s="184" t="inlineStr">
        <is>
          <t>No board price - model recommendation only</t>
        </is>
      </c>
    </row>
    <row r="61" ht="19.4" customHeight="1" s="106">
      <c r="A61" s="134" t="inlineStr">
        <is>
          <t>PP-SEA-Y1W-CURR</t>
        </is>
      </c>
      <c r="B61" s="113" t="inlineStr">
        <is>
          <t>Durban-Curry Beef</t>
        </is>
      </c>
      <c r="C61" s="138" t="inlineStr">
        <is>
          <t>Seasonal - Year 1</t>
        </is>
      </c>
      <c r="D61" s="138" t="inlineStr">
        <is>
          <t>Winter (Jun-Aug) - Potjie</t>
        </is>
      </c>
      <c r="E61" s="180" t="inlineStr">
        <is>
          <t>Rigatoni</t>
        </is>
      </c>
      <c r="F61" s="138" t="inlineStr">
        <is>
          <t>Bokgat Base</t>
        </is>
      </c>
      <c r="G61" s="138" t="inlineStr">
        <is>
          <t>Durban Curry-Tomato Base (seasonal CK)</t>
        </is>
      </c>
      <c r="H61" s="150">
        <f>SUMIFS('11 Seasonal Menu BOM'!$K$5:$K$365,'11 Seasonal Menu BOM'!$A$5:$A$365,$A61)-$I61</f>
        <v/>
      </c>
      <c r="I61" s="150">
        <f>SUMIFS('11 Seasonal Menu BOM'!$K$5:$K$365,'11 Seasonal Menu BOM'!$A$5:$A$365,$A61,'11 Seasonal Menu BOM'!$D$5:$D$365,"Packaging")</f>
        <v/>
      </c>
      <c r="J61" s="181">
        <f>$H61+$I61</f>
        <v/>
      </c>
      <c r="K61" s="150">
        <f>$H61*'01 Control'!$C$16</f>
        <v/>
      </c>
      <c r="L61" s="150">
        <f>$J61+$K61</f>
        <v/>
      </c>
      <c r="M61" s="153">
        <f>'01 Control'!$C$18</f>
        <v/>
      </c>
      <c r="N61" s="150">
        <f>IF($J61=0,"",$J61/(1-$M61))</f>
        <v/>
      </c>
      <c r="O61" s="150">
        <f>IF($N61="","",$N61*(1+'01 Control'!$C$6))</f>
        <v/>
      </c>
      <c r="P61" s="148" t="n"/>
      <c r="Q61" s="151">
        <f>IF(N($P61)&gt;0,$P61,IF($O61="","",$O61))</f>
        <v/>
      </c>
      <c r="R61" s="182">
        <f>IF(OR($Q61="",$Q61=0),"",($Q61/(1+'01 Control'!$C$6)-$J61)/($Q61/(1+'01 Control'!$C$6)))</f>
        <v/>
      </c>
      <c r="S61" s="152">
        <f>COUNTIFS('11 Seasonal Menu BOM'!$A$5:$A$365,$A61)-COUNTIFS('11 Seasonal Menu BOM'!$A$5:$A$365,$A61,'11 Seasonal Menu BOM'!$I$5:$I$365,"&gt;=0")</f>
        <v/>
      </c>
      <c r="T61" s="162">
        <f>IF($S61&gt;0,"INCOMPLETE - "&amp;$S61&amp;" line(s) unpriced",IF($J61=0,"BOM COST MISSING",IF($R61&lt;$M61-0.02,"BELOW GP TARGET","READY")))</f>
        <v/>
      </c>
      <c r="U61" s="146" t="n">
        <v>0</v>
      </c>
      <c r="V61" s="153">
        <f>IF($J61=0,"",('01 Control'!$C$29/(1+'01 Control'!$C$6)-$J61)/('01 Control'!$C$29/(1+'01 Control'!$C$6)))</f>
        <v/>
      </c>
      <c r="W61" s="153">
        <f>IF($J61=0,"",('01 Control'!$C$30/(1+'01 Control'!$C$6)-$J61)/('01 Control'!$C$30/(1+'01 Control'!$C$6)))</f>
        <v/>
      </c>
      <c r="X61" s="153">
        <f>IF($J61=0,"",('01 Control'!$C$31/(1+'01 Control'!$C$6)-$J61)/('01 Control'!$C$31/(1+'01 Control'!$C$6)))</f>
        <v/>
      </c>
      <c r="Y61" s="183">
        <f>IF(ISNUMBER($Q61),$Q61,0)*N($U61)</f>
        <v/>
      </c>
      <c r="Z61" s="183">
        <f>IF(ISNUMBER($H61),$H61,0)*N($U61)</f>
        <v/>
      </c>
      <c r="AA61" s="183">
        <f>IF(ISNUMBER($I61),$I61,0)*N($U61)</f>
        <v/>
      </c>
      <c r="AB61" s="184" t="inlineStr">
        <is>
          <t>No board price - model recommendation only</t>
        </is>
      </c>
    </row>
    <row r="62" ht="19.4" customHeight="1" s="106">
      <c r="A62" s="134" t="inlineStr">
        <is>
          <t>PP-SEA-Y1W-BILT</t>
        </is>
      </c>
      <c r="B62" s="113" t="inlineStr">
        <is>
          <t>Three-Cheese &amp; Biltong Bake</t>
        </is>
      </c>
      <c r="C62" s="138" t="inlineStr">
        <is>
          <t>Seasonal - Year 1</t>
        </is>
      </c>
      <c r="D62" s="138" t="inlineStr">
        <is>
          <t>Winter (Jun-Aug) - Potjie</t>
        </is>
      </c>
      <c r="E62" s="180" t="inlineStr">
        <is>
          <t>Rigatoni</t>
        </is>
      </c>
      <c r="F62" s="138" t="inlineStr">
        <is>
          <t>Bokgat Base</t>
        </is>
      </c>
      <c r="G62" s="138" t="inlineStr">
        <is>
          <t>Quattro Formaggi</t>
        </is>
      </c>
      <c r="H62" s="150">
        <f>SUMIFS('11 Seasonal Menu BOM'!$K$5:$K$365,'11 Seasonal Menu BOM'!$A$5:$A$365,$A62)-$I62</f>
        <v/>
      </c>
      <c r="I62" s="150">
        <f>SUMIFS('11 Seasonal Menu BOM'!$K$5:$K$365,'11 Seasonal Menu BOM'!$A$5:$A$365,$A62,'11 Seasonal Menu BOM'!$D$5:$D$365,"Packaging")</f>
        <v/>
      </c>
      <c r="J62" s="181">
        <f>$H62+$I62</f>
        <v/>
      </c>
      <c r="K62" s="150">
        <f>$H62*'01 Control'!$C$16</f>
        <v/>
      </c>
      <c r="L62" s="150">
        <f>$J62+$K62</f>
        <v/>
      </c>
      <c r="M62" s="153">
        <f>'01 Control'!$C$18</f>
        <v/>
      </c>
      <c r="N62" s="150">
        <f>IF($J62=0,"",$J62/(1-$M62))</f>
        <v/>
      </c>
      <c r="O62" s="150">
        <f>IF($N62="","",$N62*(1+'01 Control'!$C$6))</f>
        <v/>
      </c>
      <c r="P62" s="148" t="n"/>
      <c r="Q62" s="151">
        <f>IF(N($P62)&gt;0,$P62,IF($O62="","",$O62))</f>
        <v/>
      </c>
      <c r="R62" s="182">
        <f>IF(OR($Q62="",$Q62=0),"",($Q62/(1+'01 Control'!$C$6)-$J62)/($Q62/(1+'01 Control'!$C$6)))</f>
        <v/>
      </c>
      <c r="S62" s="152">
        <f>COUNTIFS('11 Seasonal Menu BOM'!$A$5:$A$365,$A62)-COUNTIFS('11 Seasonal Menu BOM'!$A$5:$A$365,$A62,'11 Seasonal Menu BOM'!$I$5:$I$365,"&gt;=0")</f>
        <v/>
      </c>
      <c r="T62" s="162">
        <f>IF($S62&gt;0,"INCOMPLETE - "&amp;$S62&amp;" line(s) unpriced",IF($J62=0,"BOM COST MISSING",IF($R62&lt;$M62-0.02,"BELOW GP TARGET","READY")))</f>
        <v/>
      </c>
      <c r="U62" s="146" t="n">
        <v>0</v>
      </c>
      <c r="V62" s="153">
        <f>IF($J62=0,"",('01 Control'!$C$29/(1+'01 Control'!$C$6)-$J62)/('01 Control'!$C$29/(1+'01 Control'!$C$6)))</f>
        <v/>
      </c>
      <c r="W62" s="153">
        <f>IF($J62=0,"",('01 Control'!$C$30/(1+'01 Control'!$C$6)-$J62)/('01 Control'!$C$30/(1+'01 Control'!$C$6)))</f>
        <v/>
      </c>
      <c r="X62" s="153">
        <f>IF($J62=0,"",('01 Control'!$C$31/(1+'01 Control'!$C$6)-$J62)/('01 Control'!$C$31/(1+'01 Control'!$C$6)))</f>
        <v/>
      </c>
      <c r="Y62" s="183">
        <f>IF(ISNUMBER($Q62),$Q62,0)*N($U62)</f>
        <v/>
      </c>
      <c r="Z62" s="183">
        <f>IF(ISNUMBER($H62),$H62,0)*N($U62)</f>
        <v/>
      </c>
      <c r="AA62" s="183">
        <f>IF(ISNUMBER($I62),$I62,0)*N($U62)</f>
        <v/>
      </c>
      <c r="AB62" s="184" t="inlineStr">
        <is>
          <t>No board price - model recommendation only</t>
        </is>
      </c>
    </row>
    <row r="63" ht="19.4" customHeight="1" s="106">
      <c r="A63" s="134" t="inlineStr">
        <is>
          <t>PP-SEA-Y1W-OXTL</t>
        </is>
      </c>
      <c r="B63" s="113" t="inlineStr">
        <is>
          <t>Slow-Braised Beef (Oxtail-style) Ragu</t>
        </is>
      </c>
      <c r="C63" s="138" t="inlineStr">
        <is>
          <t>Seasonal - Year 1</t>
        </is>
      </c>
      <c r="D63" s="138" t="inlineStr">
        <is>
          <t>Winter (Jun-Aug) - Potjie</t>
        </is>
      </c>
      <c r="E63" s="180" t="inlineStr">
        <is>
          <t>Spaghetti</t>
        </is>
      </c>
      <c r="F63" s="138" t="inlineStr">
        <is>
          <t>Bokgat Base</t>
        </is>
      </c>
      <c r="G63" s="138" t="inlineStr">
        <is>
          <t>Slow-Braised Oxtail-Style Ragu (seasonal CK)</t>
        </is>
      </c>
      <c r="H63" s="150">
        <f>SUMIFS('11 Seasonal Menu BOM'!$K$5:$K$365,'11 Seasonal Menu BOM'!$A$5:$A$365,$A63)-$I63</f>
        <v/>
      </c>
      <c r="I63" s="150">
        <f>SUMIFS('11 Seasonal Menu BOM'!$K$5:$K$365,'11 Seasonal Menu BOM'!$A$5:$A$365,$A63,'11 Seasonal Menu BOM'!$D$5:$D$365,"Packaging")</f>
        <v/>
      </c>
      <c r="J63" s="181">
        <f>$H63+$I63</f>
        <v/>
      </c>
      <c r="K63" s="150">
        <f>$H63*'01 Control'!$C$16</f>
        <v/>
      </c>
      <c r="L63" s="150">
        <f>$J63+$K63</f>
        <v/>
      </c>
      <c r="M63" s="153">
        <f>'01 Control'!$C$18</f>
        <v/>
      </c>
      <c r="N63" s="150">
        <f>IF($J63=0,"",$J63/(1-$M63))</f>
        <v/>
      </c>
      <c r="O63" s="150">
        <f>IF($N63="","",$N63*(1+'01 Control'!$C$6))</f>
        <v/>
      </c>
      <c r="P63" s="148" t="n"/>
      <c r="Q63" s="151">
        <f>IF(N($P63)&gt;0,$P63,IF($O63="","",$O63))</f>
        <v/>
      </c>
      <c r="R63" s="182">
        <f>IF(OR($Q63="",$Q63=0),"",($Q63/(1+'01 Control'!$C$6)-$J63)/($Q63/(1+'01 Control'!$C$6)))</f>
        <v/>
      </c>
      <c r="S63" s="152">
        <f>COUNTIFS('11 Seasonal Menu BOM'!$A$5:$A$365,$A63)-COUNTIFS('11 Seasonal Menu BOM'!$A$5:$A$365,$A63,'11 Seasonal Menu BOM'!$I$5:$I$365,"&gt;=0")</f>
        <v/>
      </c>
      <c r="T63" s="162">
        <f>IF($S63&gt;0,"INCOMPLETE - "&amp;$S63&amp;" line(s) unpriced",IF($J63=0,"BOM COST MISSING",IF($R63&lt;$M63-0.02,"BELOW GP TARGET","READY")))</f>
        <v/>
      </c>
      <c r="U63" s="146" t="n">
        <v>0</v>
      </c>
      <c r="V63" s="153">
        <f>IF($J63=0,"",('01 Control'!$C$29/(1+'01 Control'!$C$6)-$J63)/('01 Control'!$C$29/(1+'01 Control'!$C$6)))</f>
        <v/>
      </c>
      <c r="W63" s="153">
        <f>IF($J63=0,"",('01 Control'!$C$30/(1+'01 Control'!$C$6)-$J63)/('01 Control'!$C$30/(1+'01 Control'!$C$6)))</f>
        <v/>
      </c>
      <c r="X63" s="153">
        <f>IF($J63=0,"",('01 Control'!$C$31/(1+'01 Control'!$C$6)-$J63)/('01 Control'!$C$31/(1+'01 Control'!$C$6)))</f>
        <v/>
      </c>
      <c r="Y63" s="183">
        <f>IF(ISNUMBER($Q63),$Q63,0)*N($U63)</f>
        <v/>
      </c>
      <c r="Z63" s="183">
        <f>IF(ISNUMBER($H63),$H63,0)*N($U63)</f>
        <v/>
      </c>
      <c r="AA63" s="183">
        <f>IF(ISNUMBER($I63),$I63,0)*N($U63)</f>
        <v/>
      </c>
      <c r="AB63" s="184" t="inlineStr">
        <is>
          <t>No board price - model recommendation only</t>
        </is>
      </c>
    </row>
    <row r="64" ht="19.4" customHeight="1" s="106">
      <c r="A64" s="134" t="inlineStr">
        <is>
          <t>PP-SEA-Y1P-PEA</t>
        </is>
      </c>
      <c r="B64" s="113" t="inlineStr">
        <is>
          <t>Lemon &amp; Pea Spring</t>
        </is>
      </c>
      <c r="C64" s="138" t="inlineStr">
        <is>
          <t>Seasonal - Year 1</t>
        </is>
      </c>
      <c r="D64" s="138" t="inlineStr">
        <is>
          <t>Spring (Sep-Nov) - Green &amp; Gold</t>
        </is>
      </c>
      <c r="E64" s="180" t="inlineStr">
        <is>
          <t>Fusilli</t>
        </is>
      </c>
      <c r="F64" s="138" t="inlineStr">
        <is>
          <t>Chickpea Power Pro</t>
        </is>
      </c>
      <c r="G64" s="138" t="inlineStr">
        <is>
          <t>Aglio e Olio Kit</t>
        </is>
      </c>
      <c r="H64" s="150">
        <f>SUMIFS('11 Seasonal Menu BOM'!$K$5:$K$365,'11 Seasonal Menu BOM'!$A$5:$A$365,$A64)-$I64</f>
        <v/>
      </c>
      <c r="I64" s="150">
        <f>SUMIFS('11 Seasonal Menu BOM'!$K$5:$K$365,'11 Seasonal Menu BOM'!$A$5:$A$365,$A64,'11 Seasonal Menu BOM'!$D$5:$D$365,"Packaging")</f>
        <v/>
      </c>
      <c r="J64" s="181">
        <f>$H64+$I64</f>
        <v/>
      </c>
      <c r="K64" s="150">
        <f>$H64*'01 Control'!$C$16</f>
        <v/>
      </c>
      <c r="L64" s="150">
        <f>$J64+$K64</f>
        <v/>
      </c>
      <c r="M64" s="153">
        <f>'01 Control'!$C$18</f>
        <v/>
      </c>
      <c r="N64" s="150">
        <f>IF($J64=0,"",$J64/(1-$M64))</f>
        <v/>
      </c>
      <c r="O64" s="150">
        <f>IF($N64="","",$N64*(1+'01 Control'!$C$6))</f>
        <v/>
      </c>
      <c r="P64" s="148" t="n"/>
      <c r="Q64" s="151">
        <f>IF(N($P64)&gt;0,$P64,IF($O64="","",$O64))</f>
        <v/>
      </c>
      <c r="R64" s="182">
        <f>IF(OR($Q64="",$Q64=0),"",($Q64/(1+'01 Control'!$C$6)-$J64)/($Q64/(1+'01 Control'!$C$6)))</f>
        <v/>
      </c>
      <c r="S64" s="152">
        <f>COUNTIFS('11 Seasonal Menu BOM'!$A$5:$A$365,$A64)-COUNTIFS('11 Seasonal Menu BOM'!$A$5:$A$365,$A64,'11 Seasonal Menu BOM'!$I$5:$I$365,"&gt;=0")</f>
        <v/>
      </c>
      <c r="T64" s="162">
        <f>IF($S64&gt;0,"INCOMPLETE - "&amp;$S64&amp;" line(s) unpriced",IF($J64=0,"BOM COST MISSING",IF($R64&lt;$M64-0.02,"BELOW GP TARGET","READY")))</f>
        <v/>
      </c>
      <c r="U64" s="146" t="n">
        <v>0</v>
      </c>
      <c r="V64" s="153">
        <f>IF($J64=0,"",('01 Control'!$C$29/(1+'01 Control'!$C$6)-$J64)/('01 Control'!$C$29/(1+'01 Control'!$C$6)))</f>
        <v/>
      </c>
      <c r="W64" s="153">
        <f>IF($J64=0,"",('01 Control'!$C$30/(1+'01 Control'!$C$6)-$J64)/('01 Control'!$C$30/(1+'01 Control'!$C$6)))</f>
        <v/>
      </c>
      <c r="X64" s="153">
        <f>IF($J64=0,"",('01 Control'!$C$31/(1+'01 Control'!$C$6)-$J64)/('01 Control'!$C$31/(1+'01 Control'!$C$6)))</f>
        <v/>
      </c>
      <c r="Y64" s="183">
        <f>IF(ISNUMBER($Q64),$Q64,0)*N($U64)</f>
        <v/>
      </c>
      <c r="Z64" s="183">
        <f>IF(ISNUMBER($H64),$H64,0)*N($U64)</f>
        <v/>
      </c>
      <c r="AA64" s="183">
        <f>IF(ISNUMBER($I64),$I64,0)*N($U64)</f>
        <v/>
      </c>
      <c r="AB64" s="184" t="inlineStr">
        <is>
          <t>No board price - model recommendation only</t>
        </is>
      </c>
    </row>
    <row r="65" ht="19.4" customHeight="1" s="106">
      <c r="A65" s="134" t="inlineStr">
        <is>
          <t>PP-SEA-Y1P-PEST</t>
        </is>
      </c>
      <c r="B65" s="113" t="inlineStr">
        <is>
          <t>Pesto &amp; Grilled Beef</t>
        </is>
      </c>
      <c r="C65" s="138" t="inlineStr">
        <is>
          <t>Seasonal - Year 1</t>
        </is>
      </c>
      <c r="D65" s="138" t="inlineStr">
        <is>
          <t>Spring (Sep-Nov) - Green &amp; Gold</t>
        </is>
      </c>
      <c r="E65" s="180" t="inlineStr">
        <is>
          <t>Casarecce</t>
        </is>
      </c>
      <c r="F65" s="138" t="inlineStr">
        <is>
          <t>Protein+ Pro</t>
        </is>
      </c>
      <c r="G65" s="138" t="inlineStr">
        <is>
          <t>Basil Pesto</t>
        </is>
      </c>
      <c r="H65" s="150">
        <f>SUMIFS('11 Seasonal Menu BOM'!$K$5:$K$365,'11 Seasonal Menu BOM'!$A$5:$A$365,$A65)-$I65</f>
        <v/>
      </c>
      <c r="I65" s="150">
        <f>SUMIFS('11 Seasonal Menu BOM'!$K$5:$K$365,'11 Seasonal Menu BOM'!$A$5:$A$365,$A65,'11 Seasonal Menu BOM'!$D$5:$D$365,"Packaging")</f>
        <v/>
      </c>
      <c r="J65" s="181">
        <f>$H65+$I65</f>
        <v/>
      </c>
      <c r="K65" s="150">
        <f>$H65*'01 Control'!$C$16</f>
        <v/>
      </c>
      <c r="L65" s="150">
        <f>$J65+$K65</f>
        <v/>
      </c>
      <c r="M65" s="153">
        <f>'01 Control'!$C$18</f>
        <v/>
      </c>
      <c r="N65" s="150">
        <f>IF($J65=0,"",$J65/(1-$M65))</f>
        <v/>
      </c>
      <c r="O65" s="150">
        <f>IF($N65="","",$N65*(1+'01 Control'!$C$6))</f>
        <v/>
      </c>
      <c r="P65" s="148" t="n"/>
      <c r="Q65" s="151">
        <f>IF(N($P65)&gt;0,$P65,IF($O65="","",$O65))</f>
        <v/>
      </c>
      <c r="R65" s="182">
        <f>IF(OR($Q65="",$Q65=0),"",($Q65/(1+'01 Control'!$C$6)-$J65)/($Q65/(1+'01 Control'!$C$6)))</f>
        <v/>
      </c>
      <c r="S65" s="152">
        <f>COUNTIFS('11 Seasonal Menu BOM'!$A$5:$A$365,$A65)-COUNTIFS('11 Seasonal Menu BOM'!$A$5:$A$365,$A65,'11 Seasonal Menu BOM'!$I$5:$I$365,"&gt;=0")</f>
        <v/>
      </c>
      <c r="T65" s="162">
        <f>IF($S65&gt;0,"INCOMPLETE - "&amp;$S65&amp;" line(s) unpriced",IF($J65=0,"BOM COST MISSING",IF($R65&lt;$M65-0.02,"BELOW GP TARGET","READY")))</f>
        <v/>
      </c>
      <c r="U65" s="146" t="n">
        <v>0</v>
      </c>
      <c r="V65" s="153">
        <f>IF($J65=0,"",('01 Control'!$C$29/(1+'01 Control'!$C$6)-$J65)/('01 Control'!$C$29/(1+'01 Control'!$C$6)))</f>
        <v/>
      </c>
      <c r="W65" s="153">
        <f>IF($J65=0,"",('01 Control'!$C$30/(1+'01 Control'!$C$6)-$J65)/('01 Control'!$C$30/(1+'01 Control'!$C$6)))</f>
        <v/>
      </c>
      <c r="X65" s="153">
        <f>IF($J65=0,"",('01 Control'!$C$31/(1+'01 Control'!$C$6)-$J65)/('01 Control'!$C$31/(1+'01 Control'!$C$6)))</f>
        <v/>
      </c>
      <c r="Y65" s="183">
        <f>IF(ISNUMBER($Q65),$Q65,0)*N($U65)</f>
        <v/>
      </c>
      <c r="Z65" s="183">
        <f>IF(ISNUMBER($H65),$H65,0)*N($U65)</f>
        <v/>
      </c>
      <c r="AA65" s="183">
        <f>IF(ISNUMBER($I65),$I65,0)*N($U65)</f>
        <v/>
      </c>
      <c r="AB65" s="184" t="inlineStr">
        <is>
          <t>No board price - model recommendation only</t>
        </is>
      </c>
    </row>
    <row r="66" ht="19.4" customHeight="1" s="106">
      <c r="A66" s="134" t="inlineStr">
        <is>
          <t>PP-SEA-Y1P-CHAK</t>
        </is>
      </c>
      <c r="B66" s="113" t="inlineStr">
        <is>
          <t>Chakalaka Arrabbiata</t>
        </is>
      </c>
      <c r="C66" s="138" t="inlineStr">
        <is>
          <t>Seasonal - Year 1</t>
        </is>
      </c>
      <c r="D66" s="138" t="inlineStr">
        <is>
          <t>Spring (Sep-Nov) - Green &amp; Gold</t>
        </is>
      </c>
      <c r="E66" s="180" t="inlineStr">
        <is>
          <t>Casarecce</t>
        </is>
      </c>
      <c r="F66" s="138" t="inlineStr">
        <is>
          <t>Bokgat Base</t>
        </is>
      </c>
      <c r="G66" s="138" t="inlineStr">
        <is>
          <t>Arrabbiata + Chakalaka Relish Base (seasonal CK)</t>
        </is>
      </c>
      <c r="H66" s="150">
        <f>SUMIFS('11 Seasonal Menu BOM'!$K$5:$K$365,'11 Seasonal Menu BOM'!$A$5:$A$365,$A66)-$I66</f>
        <v/>
      </c>
      <c r="I66" s="150">
        <f>SUMIFS('11 Seasonal Menu BOM'!$K$5:$K$365,'11 Seasonal Menu BOM'!$A$5:$A$365,$A66,'11 Seasonal Menu BOM'!$D$5:$D$365,"Packaging")</f>
        <v/>
      </c>
      <c r="J66" s="181">
        <f>$H66+$I66</f>
        <v/>
      </c>
      <c r="K66" s="150">
        <f>$H66*'01 Control'!$C$16</f>
        <v/>
      </c>
      <c r="L66" s="150">
        <f>$J66+$K66</f>
        <v/>
      </c>
      <c r="M66" s="153">
        <f>'01 Control'!$C$18</f>
        <v/>
      </c>
      <c r="N66" s="150">
        <f>IF($J66=0,"",$J66/(1-$M66))</f>
        <v/>
      </c>
      <c r="O66" s="150">
        <f>IF($N66="","",$N66*(1+'01 Control'!$C$6))</f>
        <v/>
      </c>
      <c r="P66" s="148" t="n"/>
      <c r="Q66" s="151">
        <f>IF(N($P66)&gt;0,$P66,IF($O66="","",$O66))</f>
        <v/>
      </c>
      <c r="R66" s="182">
        <f>IF(OR($Q66="",$Q66=0),"",($Q66/(1+'01 Control'!$C$6)-$J66)/($Q66/(1+'01 Control'!$C$6)))</f>
        <v/>
      </c>
      <c r="S66" s="152">
        <f>COUNTIFS('11 Seasonal Menu BOM'!$A$5:$A$365,$A66)-COUNTIFS('11 Seasonal Menu BOM'!$A$5:$A$365,$A66,'11 Seasonal Menu BOM'!$I$5:$I$365,"&gt;=0")</f>
        <v/>
      </c>
      <c r="T66" s="162">
        <f>IF($S66&gt;0,"INCOMPLETE - "&amp;$S66&amp;" line(s) unpriced",IF($J66=0,"BOM COST MISSING",IF($R66&lt;$M66-0.02,"BELOW GP TARGET","READY")))</f>
        <v/>
      </c>
      <c r="U66" s="146" t="n">
        <v>0</v>
      </c>
      <c r="V66" s="153">
        <f>IF($J66=0,"",('01 Control'!$C$29/(1+'01 Control'!$C$6)-$J66)/('01 Control'!$C$29/(1+'01 Control'!$C$6)))</f>
        <v/>
      </c>
      <c r="W66" s="153">
        <f>IF($J66=0,"",('01 Control'!$C$30/(1+'01 Control'!$C$6)-$J66)/('01 Control'!$C$30/(1+'01 Control'!$C$6)))</f>
        <v/>
      </c>
      <c r="X66" s="153">
        <f>IF($J66=0,"",('01 Control'!$C$31/(1+'01 Control'!$C$6)-$J66)/('01 Control'!$C$31/(1+'01 Control'!$C$6)))</f>
        <v/>
      </c>
      <c r="Y66" s="183">
        <f>IF(ISNUMBER($Q66),$Q66,0)*N($U66)</f>
        <v/>
      </c>
      <c r="Z66" s="183">
        <f>IF(ISNUMBER($H66),$H66,0)*N($U66)</f>
        <v/>
      </c>
      <c r="AA66" s="183">
        <f>IF(ISNUMBER($I66),$I66,0)*N($U66)</f>
        <v/>
      </c>
      <c r="AB66" s="184" t="inlineStr">
        <is>
          <t>No board price - model recommendation only</t>
        </is>
      </c>
    </row>
    <row r="67" ht="19.4" customHeight="1" s="106">
      <c r="A67" s="134" t="inlineStr">
        <is>
          <t>PP-SEA-Y2S-PRWN</t>
        </is>
      </c>
      <c r="B67" s="113" t="inlineStr">
        <is>
          <t>Mozambican Peri-Peri Prawn</t>
        </is>
      </c>
      <c r="C67" s="138" t="inlineStr">
        <is>
          <t>Seasonal - Year 2</t>
        </is>
      </c>
      <c r="D67" s="138" t="inlineStr">
        <is>
          <t>Summer (Dec-Feb) - The Coast</t>
        </is>
      </c>
      <c r="E67" s="180" t="inlineStr">
        <is>
          <t>Spaghetti</t>
        </is>
      </c>
      <c r="F67" s="138" t="inlineStr">
        <is>
          <t>Bokgat Base</t>
        </is>
      </c>
      <c r="G67" s="138" t="inlineStr">
        <is>
          <t>Aglio e Olio Kit</t>
        </is>
      </c>
      <c r="H67" s="150">
        <f>SUMIFS('11 Seasonal Menu BOM'!$K$5:$K$365,'11 Seasonal Menu BOM'!$A$5:$A$365,$A67)-$I67</f>
        <v/>
      </c>
      <c r="I67" s="150">
        <f>SUMIFS('11 Seasonal Menu BOM'!$K$5:$K$365,'11 Seasonal Menu BOM'!$A$5:$A$365,$A67,'11 Seasonal Menu BOM'!$D$5:$D$365,"Packaging")</f>
        <v/>
      </c>
      <c r="J67" s="181">
        <f>$H67+$I67</f>
        <v/>
      </c>
      <c r="K67" s="150">
        <f>$H67*'01 Control'!$C$16</f>
        <v/>
      </c>
      <c r="L67" s="150">
        <f>$J67+$K67</f>
        <v/>
      </c>
      <c r="M67" s="153">
        <f>'01 Control'!$C$18</f>
        <v/>
      </c>
      <c r="N67" s="150">
        <f>IF($J67=0,"",$J67/(1-$M67))</f>
        <v/>
      </c>
      <c r="O67" s="150">
        <f>IF($N67="","",$N67*(1+'01 Control'!$C$6))</f>
        <v/>
      </c>
      <c r="P67" s="148" t="n"/>
      <c r="Q67" s="151">
        <f>IF(N($P67)&gt;0,$P67,IF($O67="","",$O67))</f>
        <v/>
      </c>
      <c r="R67" s="182">
        <f>IF(OR($Q67="",$Q67=0),"",($Q67/(1+'01 Control'!$C$6)-$J67)/($Q67/(1+'01 Control'!$C$6)))</f>
        <v/>
      </c>
      <c r="S67" s="152">
        <f>COUNTIFS('11 Seasonal Menu BOM'!$A$5:$A$365,$A67)-COUNTIFS('11 Seasonal Menu BOM'!$A$5:$A$365,$A67,'11 Seasonal Menu BOM'!$I$5:$I$365,"&gt;=0")</f>
        <v/>
      </c>
      <c r="T67" s="162">
        <f>IF($S67&gt;0,"INCOMPLETE - "&amp;$S67&amp;" line(s) unpriced",IF($J67=0,"BOM COST MISSING",IF($R67&lt;$M67-0.02,"BELOW GP TARGET","READY")))</f>
        <v/>
      </c>
      <c r="U67" s="146" t="n">
        <v>0</v>
      </c>
      <c r="V67" s="153">
        <f>IF($J67=0,"",('01 Control'!$C$29/(1+'01 Control'!$C$6)-$J67)/('01 Control'!$C$29/(1+'01 Control'!$C$6)))</f>
        <v/>
      </c>
      <c r="W67" s="153">
        <f>IF($J67=0,"",('01 Control'!$C$30/(1+'01 Control'!$C$6)-$J67)/('01 Control'!$C$30/(1+'01 Control'!$C$6)))</f>
        <v/>
      </c>
      <c r="X67" s="153">
        <f>IF($J67=0,"",('01 Control'!$C$31/(1+'01 Control'!$C$6)-$J67)/('01 Control'!$C$31/(1+'01 Control'!$C$6)))</f>
        <v/>
      </c>
      <c r="Y67" s="183">
        <f>IF(ISNUMBER($Q67),$Q67,0)*N($U67)</f>
        <v/>
      </c>
      <c r="Z67" s="183">
        <f>IF(ISNUMBER($H67),$H67,0)*N($U67)</f>
        <v/>
      </c>
      <c r="AA67" s="183">
        <f>IF(ISNUMBER($I67),$I67,0)*N($U67)</f>
        <v/>
      </c>
      <c r="AB67" s="184" t="inlineStr">
        <is>
          <t>No board price - model recommendation only</t>
        </is>
      </c>
    </row>
    <row r="68" ht="19.4" customHeight="1" s="106">
      <c r="A68" s="134" t="inlineStr">
        <is>
          <t>PP-SEA-Y2S-COCO</t>
        </is>
      </c>
      <c r="B68" s="113" t="inlineStr">
        <is>
          <t>Coconut-Lime Beef</t>
        </is>
      </c>
      <c r="C68" s="138" t="inlineStr">
        <is>
          <t>Seasonal - Year 2</t>
        </is>
      </c>
      <c r="D68" s="138" t="inlineStr">
        <is>
          <t>Summer (Dec-Feb) - The Coast</t>
        </is>
      </c>
      <c r="E68" s="180" t="inlineStr">
        <is>
          <t>Casarecce</t>
        </is>
      </c>
      <c r="F68" s="138" t="inlineStr">
        <is>
          <t>Bokgat Base</t>
        </is>
      </c>
      <c r="G68" s="138" t="inlineStr">
        <is>
          <t>Coconut-Cream Base (seasonal CK)</t>
        </is>
      </c>
      <c r="H68" s="150">
        <f>SUMIFS('11 Seasonal Menu BOM'!$K$5:$K$365,'11 Seasonal Menu BOM'!$A$5:$A$365,$A68)-$I68</f>
        <v/>
      </c>
      <c r="I68" s="150">
        <f>SUMIFS('11 Seasonal Menu BOM'!$K$5:$K$365,'11 Seasonal Menu BOM'!$A$5:$A$365,$A68,'11 Seasonal Menu BOM'!$D$5:$D$365,"Packaging")</f>
        <v/>
      </c>
      <c r="J68" s="181">
        <f>$H68+$I68</f>
        <v/>
      </c>
      <c r="K68" s="150">
        <f>$H68*'01 Control'!$C$16</f>
        <v/>
      </c>
      <c r="L68" s="150">
        <f>$J68+$K68</f>
        <v/>
      </c>
      <c r="M68" s="153">
        <f>'01 Control'!$C$18</f>
        <v/>
      </c>
      <c r="N68" s="150">
        <f>IF($J68=0,"",$J68/(1-$M68))</f>
        <v/>
      </c>
      <c r="O68" s="150">
        <f>IF($N68="","",$N68*(1+'01 Control'!$C$6))</f>
        <v/>
      </c>
      <c r="P68" s="148" t="n"/>
      <c r="Q68" s="151">
        <f>IF(N($P68)&gt;0,$P68,IF($O68="","",$O68))</f>
        <v/>
      </c>
      <c r="R68" s="182">
        <f>IF(OR($Q68="",$Q68=0),"",($Q68/(1+'01 Control'!$C$6)-$J68)/($Q68/(1+'01 Control'!$C$6)))</f>
        <v/>
      </c>
      <c r="S68" s="152">
        <f>COUNTIFS('11 Seasonal Menu BOM'!$A$5:$A$365,$A68)-COUNTIFS('11 Seasonal Menu BOM'!$A$5:$A$365,$A68,'11 Seasonal Menu BOM'!$I$5:$I$365,"&gt;=0")</f>
        <v/>
      </c>
      <c r="T68" s="162">
        <f>IF($S68&gt;0,"INCOMPLETE - "&amp;$S68&amp;" line(s) unpriced",IF($J68=0,"BOM COST MISSING",IF($R68&lt;$M68-0.02,"BELOW GP TARGET","READY")))</f>
        <v/>
      </c>
      <c r="U68" s="146" t="n">
        <v>0</v>
      </c>
      <c r="V68" s="153">
        <f>IF($J68=0,"",('01 Control'!$C$29/(1+'01 Control'!$C$6)-$J68)/('01 Control'!$C$29/(1+'01 Control'!$C$6)))</f>
        <v/>
      </c>
      <c r="W68" s="153">
        <f>IF($J68=0,"",('01 Control'!$C$30/(1+'01 Control'!$C$6)-$J68)/('01 Control'!$C$30/(1+'01 Control'!$C$6)))</f>
        <v/>
      </c>
      <c r="X68" s="153">
        <f>IF($J68=0,"",('01 Control'!$C$31/(1+'01 Control'!$C$6)-$J68)/('01 Control'!$C$31/(1+'01 Control'!$C$6)))</f>
        <v/>
      </c>
      <c r="Y68" s="183">
        <f>IF(ISNUMBER($Q68),$Q68,0)*N($U68)</f>
        <v/>
      </c>
      <c r="Z68" s="183">
        <f>IF(ISNUMBER($H68),$H68,0)*N($U68)</f>
        <v/>
      </c>
      <c r="AA68" s="183">
        <f>IF(ISNUMBER($I68),$I68,0)*N($U68)</f>
        <v/>
      </c>
      <c r="AB68" s="184" t="inlineStr">
        <is>
          <t>No board price - model recommendation only</t>
        </is>
      </c>
    </row>
    <row r="69" ht="19.4" customHeight="1" s="106">
      <c r="A69" s="134" t="inlineStr">
        <is>
          <t>PP-SEA-Y2S-CITR</t>
        </is>
      </c>
      <c r="B69" s="113" t="inlineStr">
        <is>
          <t>Chilled Citrus &amp; Herb Salad</t>
        </is>
      </c>
      <c r="C69" s="138" t="inlineStr">
        <is>
          <t>Seasonal - Year 2</t>
        </is>
      </c>
      <c r="D69" s="138" t="inlineStr">
        <is>
          <t>Summer (Dec-Feb) - The Coast</t>
        </is>
      </c>
      <c r="E69" s="180" t="inlineStr">
        <is>
          <t>Fusilli</t>
        </is>
      </c>
      <c r="F69" s="138" t="inlineStr">
        <is>
          <t>Bokgat Base</t>
        </is>
      </c>
      <c r="G69" s="138" t="inlineStr">
        <is>
          <t>-</t>
        </is>
      </c>
      <c r="H69" s="150">
        <f>SUMIFS('11 Seasonal Menu BOM'!$K$5:$K$365,'11 Seasonal Menu BOM'!$A$5:$A$365,$A69)-$I69</f>
        <v/>
      </c>
      <c r="I69" s="150">
        <f>SUMIFS('11 Seasonal Menu BOM'!$K$5:$K$365,'11 Seasonal Menu BOM'!$A$5:$A$365,$A69,'11 Seasonal Menu BOM'!$D$5:$D$365,"Packaging")</f>
        <v/>
      </c>
      <c r="J69" s="181">
        <f>$H69+$I69</f>
        <v/>
      </c>
      <c r="K69" s="150">
        <f>$H69*'01 Control'!$C$16</f>
        <v/>
      </c>
      <c r="L69" s="150">
        <f>$J69+$K69</f>
        <v/>
      </c>
      <c r="M69" s="153">
        <f>'01 Control'!$C$18</f>
        <v/>
      </c>
      <c r="N69" s="150">
        <f>IF($J69=0,"",$J69/(1-$M69))</f>
        <v/>
      </c>
      <c r="O69" s="150">
        <f>IF($N69="","",$N69*(1+'01 Control'!$C$6))</f>
        <v/>
      </c>
      <c r="P69" s="148" t="n"/>
      <c r="Q69" s="151">
        <f>IF(N($P69)&gt;0,$P69,IF($O69="","",$O69))</f>
        <v/>
      </c>
      <c r="R69" s="182">
        <f>IF(OR($Q69="",$Q69=0),"",($Q69/(1+'01 Control'!$C$6)-$J69)/($Q69/(1+'01 Control'!$C$6)))</f>
        <v/>
      </c>
      <c r="S69" s="152">
        <f>COUNTIFS('11 Seasonal Menu BOM'!$A$5:$A$365,$A69)-COUNTIFS('11 Seasonal Menu BOM'!$A$5:$A$365,$A69,'11 Seasonal Menu BOM'!$I$5:$I$365,"&gt;=0")</f>
        <v/>
      </c>
      <c r="T69" s="162">
        <f>IF($S69&gt;0,"INCOMPLETE - "&amp;$S69&amp;" line(s) unpriced",IF($J69=0,"BOM COST MISSING",IF($R69&lt;$M69-0.02,"BELOW GP TARGET","READY")))</f>
        <v/>
      </c>
      <c r="U69" s="146" t="n">
        <v>0</v>
      </c>
      <c r="V69" s="153">
        <f>IF($J69=0,"",('01 Control'!$C$29/(1+'01 Control'!$C$6)-$J69)/('01 Control'!$C$29/(1+'01 Control'!$C$6)))</f>
        <v/>
      </c>
      <c r="W69" s="153">
        <f>IF($J69=0,"",('01 Control'!$C$30/(1+'01 Control'!$C$6)-$J69)/('01 Control'!$C$30/(1+'01 Control'!$C$6)))</f>
        <v/>
      </c>
      <c r="X69" s="153">
        <f>IF($J69=0,"",('01 Control'!$C$31/(1+'01 Control'!$C$6)-$J69)/('01 Control'!$C$31/(1+'01 Control'!$C$6)))</f>
        <v/>
      </c>
      <c r="Y69" s="183">
        <f>IF(ISNUMBER($Q69),$Q69,0)*N($U69)</f>
        <v/>
      </c>
      <c r="Z69" s="183">
        <f>IF(ISNUMBER($H69),$H69,0)*N($U69)</f>
        <v/>
      </c>
      <c r="AA69" s="183">
        <f>IF(ISNUMBER($I69),$I69,0)*N($U69)</f>
        <v/>
      </c>
      <c r="AB69" s="184" t="inlineStr">
        <is>
          <t>No board price - model recommendation only</t>
        </is>
      </c>
    </row>
    <row r="70" ht="19.4" customHeight="1" s="106">
      <c r="A70" s="134" t="inlineStr">
        <is>
          <t>PP-SEA-Y2A-CURR</t>
        </is>
      </c>
      <c r="B70" s="113" t="inlineStr">
        <is>
          <t>Cape Malay Curry Beef</t>
        </is>
      </c>
      <c r="C70" s="138" t="inlineStr">
        <is>
          <t>Seasonal - Year 2</t>
        </is>
      </c>
      <c r="D70" s="138" t="inlineStr">
        <is>
          <t>Autumn (Mar-May) - Cape Malay</t>
        </is>
      </c>
      <c r="E70" s="180" t="inlineStr">
        <is>
          <t>Fusilli</t>
        </is>
      </c>
      <c r="F70" s="138" t="inlineStr">
        <is>
          <t>Bokgat Base</t>
        </is>
      </c>
      <c r="G70" s="138" t="inlineStr">
        <is>
          <t>Cape Malay Curry-Cream Base (seasonal CK)</t>
        </is>
      </c>
      <c r="H70" s="150">
        <f>SUMIFS('11 Seasonal Menu BOM'!$K$5:$K$365,'11 Seasonal Menu BOM'!$A$5:$A$365,$A70)-$I70</f>
        <v/>
      </c>
      <c r="I70" s="150">
        <f>SUMIFS('11 Seasonal Menu BOM'!$K$5:$K$365,'11 Seasonal Menu BOM'!$A$5:$A$365,$A70,'11 Seasonal Menu BOM'!$D$5:$D$365,"Packaging")</f>
        <v/>
      </c>
      <c r="J70" s="181">
        <f>$H70+$I70</f>
        <v/>
      </c>
      <c r="K70" s="150">
        <f>$H70*'01 Control'!$C$16</f>
        <v/>
      </c>
      <c r="L70" s="150">
        <f>$J70+$K70</f>
        <v/>
      </c>
      <c r="M70" s="153">
        <f>'01 Control'!$C$18</f>
        <v/>
      </c>
      <c r="N70" s="150">
        <f>IF($J70=0,"",$J70/(1-$M70))</f>
        <v/>
      </c>
      <c r="O70" s="150">
        <f>IF($N70="","",$N70*(1+'01 Control'!$C$6))</f>
        <v/>
      </c>
      <c r="P70" s="148" t="n"/>
      <c r="Q70" s="151">
        <f>IF(N($P70)&gt;0,$P70,IF($O70="","",$O70))</f>
        <v/>
      </c>
      <c r="R70" s="182">
        <f>IF(OR($Q70="",$Q70=0),"",($Q70/(1+'01 Control'!$C$6)-$J70)/($Q70/(1+'01 Control'!$C$6)))</f>
        <v/>
      </c>
      <c r="S70" s="152">
        <f>COUNTIFS('11 Seasonal Menu BOM'!$A$5:$A$365,$A70)-COUNTIFS('11 Seasonal Menu BOM'!$A$5:$A$365,$A70,'11 Seasonal Menu BOM'!$I$5:$I$365,"&gt;=0")</f>
        <v/>
      </c>
      <c r="T70" s="162">
        <f>IF($S70&gt;0,"INCOMPLETE - "&amp;$S70&amp;" line(s) unpriced",IF($J70=0,"BOM COST MISSING",IF($R70&lt;$M70-0.02,"BELOW GP TARGET","READY")))</f>
        <v/>
      </c>
      <c r="U70" s="146" t="n">
        <v>0</v>
      </c>
      <c r="V70" s="153">
        <f>IF($J70=0,"",('01 Control'!$C$29/(1+'01 Control'!$C$6)-$J70)/('01 Control'!$C$29/(1+'01 Control'!$C$6)))</f>
        <v/>
      </c>
      <c r="W70" s="153">
        <f>IF($J70=0,"",('01 Control'!$C$30/(1+'01 Control'!$C$6)-$J70)/('01 Control'!$C$30/(1+'01 Control'!$C$6)))</f>
        <v/>
      </c>
      <c r="X70" s="153">
        <f>IF($J70=0,"",('01 Control'!$C$31/(1+'01 Control'!$C$6)-$J70)/('01 Control'!$C$31/(1+'01 Control'!$C$6)))</f>
        <v/>
      </c>
      <c r="Y70" s="183">
        <f>IF(ISNUMBER($Q70),$Q70,0)*N($U70)</f>
        <v/>
      </c>
      <c r="Z70" s="183">
        <f>IF(ISNUMBER($H70),$H70,0)*N($U70)</f>
        <v/>
      </c>
      <c r="AA70" s="183">
        <f>IF(ISNUMBER($I70),$I70,0)*N($U70)</f>
        <v/>
      </c>
      <c r="AB70" s="184" t="inlineStr">
        <is>
          <t>No board price - model recommendation only</t>
        </is>
      </c>
    </row>
    <row r="71" ht="19.4" customHeight="1" s="106">
      <c r="A71" s="134" t="inlineStr">
        <is>
          <t>PP-SEA-Y2A-APRI</t>
        </is>
      </c>
      <c r="B71" s="113" t="inlineStr">
        <is>
          <t>Apricot &amp; Spiced Beef</t>
        </is>
      </c>
      <c r="C71" s="138" t="inlineStr">
        <is>
          <t>Seasonal - Year 2</t>
        </is>
      </c>
      <c r="D71" s="138" t="inlineStr">
        <is>
          <t>Autumn (Mar-May) - Cape Malay</t>
        </is>
      </c>
      <c r="E71" s="180" t="inlineStr">
        <is>
          <t>Rigatoni</t>
        </is>
      </c>
      <c r="F71" s="138" t="inlineStr">
        <is>
          <t>Bokgat Base</t>
        </is>
      </c>
      <c r="G71" s="138" t="inlineStr">
        <is>
          <t>Papa's Bolognese</t>
        </is>
      </c>
      <c r="H71" s="150">
        <f>SUMIFS('11 Seasonal Menu BOM'!$K$5:$K$365,'11 Seasonal Menu BOM'!$A$5:$A$365,$A71)-$I71</f>
        <v/>
      </c>
      <c r="I71" s="150">
        <f>SUMIFS('11 Seasonal Menu BOM'!$K$5:$K$365,'11 Seasonal Menu BOM'!$A$5:$A$365,$A71,'11 Seasonal Menu BOM'!$D$5:$D$365,"Packaging")</f>
        <v/>
      </c>
      <c r="J71" s="181">
        <f>$H71+$I71</f>
        <v/>
      </c>
      <c r="K71" s="150">
        <f>$H71*'01 Control'!$C$16</f>
        <v/>
      </c>
      <c r="L71" s="150">
        <f>$J71+$K71</f>
        <v/>
      </c>
      <c r="M71" s="153">
        <f>'01 Control'!$C$18</f>
        <v/>
      </c>
      <c r="N71" s="150">
        <f>IF($J71=0,"",$J71/(1-$M71))</f>
        <v/>
      </c>
      <c r="O71" s="150">
        <f>IF($N71="","",$N71*(1+'01 Control'!$C$6))</f>
        <v/>
      </c>
      <c r="P71" s="148" t="n"/>
      <c r="Q71" s="151">
        <f>IF(N($P71)&gt;0,$P71,IF($O71="","",$O71))</f>
        <v/>
      </c>
      <c r="R71" s="182">
        <f>IF(OR($Q71="",$Q71=0),"",($Q71/(1+'01 Control'!$C$6)-$J71)/($Q71/(1+'01 Control'!$C$6)))</f>
        <v/>
      </c>
      <c r="S71" s="152">
        <f>COUNTIFS('11 Seasonal Menu BOM'!$A$5:$A$365,$A71)-COUNTIFS('11 Seasonal Menu BOM'!$A$5:$A$365,$A71,'11 Seasonal Menu BOM'!$I$5:$I$365,"&gt;=0")</f>
        <v/>
      </c>
      <c r="T71" s="162">
        <f>IF($S71&gt;0,"INCOMPLETE - "&amp;$S71&amp;" line(s) unpriced",IF($J71=0,"BOM COST MISSING",IF($R71&lt;$M71-0.02,"BELOW GP TARGET","READY")))</f>
        <v/>
      </c>
      <c r="U71" s="146" t="n">
        <v>0</v>
      </c>
      <c r="V71" s="153">
        <f>IF($J71=0,"",('01 Control'!$C$29/(1+'01 Control'!$C$6)-$J71)/('01 Control'!$C$29/(1+'01 Control'!$C$6)))</f>
        <v/>
      </c>
      <c r="W71" s="153">
        <f>IF($J71=0,"",('01 Control'!$C$30/(1+'01 Control'!$C$6)-$J71)/('01 Control'!$C$30/(1+'01 Control'!$C$6)))</f>
        <v/>
      </c>
      <c r="X71" s="153">
        <f>IF($J71=0,"",('01 Control'!$C$31/(1+'01 Control'!$C$6)-$J71)/('01 Control'!$C$31/(1+'01 Control'!$C$6)))</f>
        <v/>
      </c>
      <c r="Y71" s="183">
        <f>IF(ISNUMBER($Q71),$Q71,0)*N($U71)</f>
        <v/>
      </c>
      <c r="Z71" s="183">
        <f>IF(ISNUMBER($H71),$H71,0)*N($U71)</f>
        <v/>
      </c>
      <c r="AA71" s="183">
        <f>IF(ISNUMBER($I71),$I71,0)*N($U71)</f>
        <v/>
      </c>
      <c r="AB71" s="184" t="inlineStr">
        <is>
          <t>No board price - model recommendation only</t>
        </is>
      </c>
    </row>
    <row r="72" ht="19.4" customHeight="1" s="106">
      <c r="A72" s="134" t="inlineStr">
        <is>
          <t>PP-SEA-Y2A-TURM</t>
        </is>
      </c>
      <c r="B72" s="113" t="inlineStr">
        <is>
          <t>Turmeric Roast Veg</t>
        </is>
      </c>
      <c r="C72" s="138" t="inlineStr">
        <is>
          <t>Seasonal - Year 2</t>
        </is>
      </c>
      <c r="D72" s="138" t="inlineStr">
        <is>
          <t>Autumn (Mar-May) - Cape Malay</t>
        </is>
      </c>
      <c r="E72" s="180" t="inlineStr">
        <is>
          <t>Casarecce</t>
        </is>
      </c>
      <c r="F72" s="138" t="inlineStr">
        <is>
          <t>Chickpea Power Pro</t>
        </is>
      </c>
      <c r="G72" s="138" t="inlineStr">
        <is>
          <t>Aglio e Olio Kit</t>
        </is>
      </c>
      <c r="H72" s="150">
        <f>SUMIFS('11 Seasonal Menu BOM'!$K$5:$K$365,'11 Seasonal Menu BOM'!$A$5:$A$365,$A72)-$I72</f>
        <v/>
      </c>
      <c r="I72" s="150">
        <f>SUMIFS('11 Seasonal Menu BOM'!$K$5:$K$365,'11 Seasonal Menu BOM'!$A$5:$A$365,$A72,'11 Seasonal Menu BOM'!$D$5:$D$365,"Packaging")</f>
        <v/>
      </c>
      <c r="J72" s="181">
        <f>$H72+$I72</f>
        <v/>
      </c>
      <c r="K72" s="150">
        <f>$H72*'01 Control'!$C$16</f>
        <v/>
      </c>
      <c r="L72" s="150">
        <f>$J72+$K72</f>
        <v/>
      </c>
      <c r="M72" s="153">
        <f>'01 Control'!$C$18</f>
        <v/>
      </c>
      <c r="N72" s="150">
        <f>IF($J72=0,"",$J72/(1-$M72))</f>
        <v/>
      </c>
      <c r="O72" s="150">
        <f>IF($N72="","",$N72*(1+'01 Control'!$C$6))</f>
        <v/>
      </c>
      <c r="P72" s="148" t="n"/>
      <c r="Q72" s="151">
        <f>IF(N($P72)&gt;0,$P72,IF($O72="","",$O72))</f>
        <v/>
      </c>
      <c r="R72" s="182">
        <f>IF(OR($Q72="",$Q72=0),"",($Q72/(1+'01 Control'!$C$6)-$J72)/($Q72/(1+'01 Control'!$C$6)))</f>
        <v/>
      </c>
      <c r="S72" s="152">
        <f>COUNTIFS('11 Seasonal Menu BOM'!$A$5:$A$365,$A72)-COUNTIFS('11 Seasonal Menu BOM'!$A$5:$A$365,$A72,'11 Seasonal Menu BOM'!$I$5:$I$365,"&gt;=0")</f>
        <v/>
      </c>
      <c r="T72" s="162">
        <f>IF($S72&gt;0,"INCOMPLETE - "&amp;$S72&amp;" line(s) unpriced",IF($J72=0,"BOM COST MISSING",IF($R72&lt;$M72-0.02,"BELOW GP TARGET","READY")))</f>
        <v/>
      </c>
      <c r="U72" s="146" t="n">
        <v>0</v>
      </c>
      <c r="V72" s="153">
        <f>IF($J72=0,"",('01 Control'!$C$29/(1+'01 Control'!$C$6)-$J72)/('01 Control'!$C$29/(1+'01 Control'!$C$6)))</f>
        <v/>
      </c>
      <c r="W72" s="153">
        <f>IF($J72=0,"",('01 Control'!$C$30/(1+'01 Control'!$C$6)-$J72)/('01 Control'!$C$30/(1+'01 Control'!$C$6)))</f>
        <v/>
      </c>
      <c r="X72" s="153">
        <f>IF($J72=0,"",('01 Control'!$C$31/(1+'01 Control'!$C$6)-$J72)/('01 Control'!$C$31/(1+'01 Control'!$C$6)))</f>
        <v/>
      </c>
      <c r="Y72" s="183">
        <f>IF(ISNUMBER($Q72),$Q72,0)*N($U72)</f>
        <v/>
      </c>
      <c r="Z72" s="183">
        <f>IF(ISNUMBER($H72),$H72,0)*N($U72)</f>
        <v/>
      </c>
      <c r="AA72" s="183">
        <f>IF(ISNUMBER($I72),$I72,0)*N($U72)</f>
        <v/>
      </c>
      <c r="AB72" s="184" t="inlineStr">
        <is>
          <t>No board price - model recommendation only</t>
        </is>
      </c>
    </row>
    <row r="73" ht="19.4" customHeight="1" s="106">
      <c r="A73" s="134" t="inlineStr">
        <is>
          <t>PP-SEA-Y2W-HARI</t>
        </is>
      </c>
      <c r="B73" s="113" t="inlineStr">
        <is>
          <t>Harissa Slow-Beef</t>
        </is>
      </c>
      <c r="C73" s="138" t="inlineStr">
        <is>
          <t>Seasonal - Year 2</t>
        </is>
      </c>
      <c r="D73" s="138" t="inlineStr">
        <is>
          <t>Winter (Jun-Aug) - North Africa</t>
        </is>
      </c>
      <c r="E73" s="180" t="inlineStr">
        <is>
          <t>Rigatoni</t>
        </is>
      </c>
      <c r="F73" s="138" t="inlineStr">
        <is>
          <t>Bokgat Base</t>
        </is>
      </c>
      <c r="G73" s="138" t="inlineStr">
        <is>
          <t>Napoletana (Pomodoro)</t>
        </is>
      </c>
      <c r="H73" s="150">
        <f>SUMIFS('11 Seasonal Menu BOM'!$K$5:$K$365,'11 Seasonal Menu BOM'!$A$5:$A$365,$A73)-$I73</f>
        <v/>
      </c>
      <c r="I73" s="150">
        <f>SUMIFS('11 Seasonal Menu BOM'!$K$5:$K$365,'11 Seasonal Menu BOM'!$A$5:$A$365,$A73,'11 Seasonal Menu BOM'!$D$5:$D$365,"Packaging")</f>
        <v/>
      </c>
      <c r="J73" s="181">
        <f>$H73+$I73</f>
        <v/>
      </c>
      <c r="K73" s="150">
        <f>$H73*'01 Control'!$C$16</f>
        <v/>
      </c>
      <c r="L73" s="150">
        <f>$J73+$K73</f>
        <v/>
      </c>
      <c r="M73" s="153">
        <f>'01 Control'!$C$18</f>
        <v/>
      </c>
      <c r="N73" s="150">
        <f>IF($J73=0,"",$J73/(1-$M73))</f>
        <v/>
      </c>
      <c r="O73" s="150">
        <f>IF($N73="","",$N73*(1+'01 Control'!$C$6))</f>
        <v/>
      </c>
      <c r="P73" s="148" t="n"/>
      <c r="Q73" s="151">
        <f>IF(N($P73)&gt;0,$P73,IF($O73="","",$O73))</f>
        <v/>
      </c>
      <c r="R73" s="182">
        <f>IF(OR($Q73="",$Q73=0),"",($Q73/(1+'01 Control'!$C$6)-$J73)/($Q73/(1+'01 Control'!$C$6)))</f>
        <v/>
      </c>
      <c r="S73" s="152">
        <f>COUNTIFS('11 Seasonal Menu BOM'!$A$5:$A$365,$A73)-COUNTIFS('11 Seasonal Menu BOM'!$A$5:$A$365,$A73,'11 Seasonal Menu BOM'!$I$5:$I$365,"&gt;=0")</f>
        <v/>
      </c>
      <c r="T73" s="162">
        <f>IF($S73&gt;0,"INCOMPLETE - "&amp;$S73&amp;" line(s) unpriced",IF($J73=0,"BOM COST MISSING",IF($R73&lt;$M73-0.02,"BELOW GP TARGET","READY")))</f>
        <v/>
      </c>
      <c r="U73" s="146" t="n">
        <v>0</v>
      </c>
      <c r="V73" s="153">
        <f>IF($J73=0,"",('01 Control'!$C$29/(1+'01 Control'!$C$6)-$J73)/('01 Control'!$C$29/(1+'01 Control'!$C$6)))</f>
        <v/>
      </c>
      <c r="W73" s="153">
        <f>IF($J73=0,"",('01 Control'!$C$30/(1+'01 Control'!$C$6)-$J73)/('01 Control'!$C$30/(1+'01 Control'!$C$6)))</f>
        <v/>
      </c>
      <c r="X73" s="153">
        <f>IF($J73=0,"",('01 Control'!$C$31/(1+'01 Control'!$C$6)-$J73)/('01 Control'!$C$31/(1+'01 Control'!$C$6)))</f>
        <v/>
      </c>
      <c r="Y73" s="183">
        <f>IF(ISNUMBER($Q73),$Q73,0)*N($U73)</f>
        <v/>
      </c>
      <c r="Z73" s="183">
        <f>IF(ISNUMBER($H73),$H73,0)*N($U73)</f>
        <v/>
      </c>
      <c r="AA73" s="183">
        <f>IF(ISNUMBER($I73),$I73,0)*N($U73)</f>
        <v/>
      </c>
      <c r="AB73" s="184" t="inlineStr">
        <is>
          <t>No board price - model recommendation only</t>
        </is>
      </c>
    </row>
    <row r="74" ht="19.4" customHeight="1" s="106">
      <c r="A74" s="134" t="inlineStr">
        <is>
          <t>PP-SEA-Y2W-BERB</t>
        </is>
      </c>
      <c r="B74" s="113" t="inlineStr">
        <is>
          <t>Berbere Spiced Tomato</t>
        </is>
      </c>
      <c r="C74" s="138" t="inlineStr">
        <is>
          <t>Seasonal - Year 2</t>
        </is>
      </c>
      <c r="D74" s="138" t="inlineStr">
        <is>
          <t>Winter (Jun-Aug) - North Africa</t>
        </is>
      </c>
      <c r="E74" s="180" t="inlineStr">
        <is>
          <t>Casarecce</t>
        </is>
      </c>
      <c r="F74" s="138" t="inlineStr">
        <is>
          <t>Bokgat Base</t>
        </is>
      </c>
      <c r="G74" s="138" t="inlineStr">
        <is>
          <t>Arrabbiata</t>
        </is>
      </c>
      <c r="H74" s="150">
        <f>SUMIFS('11 Seasonal Menu BOM'!$K$5:$K$365,'11 Seasonal Menu BOM'!$A$5:$A$365,$A74)-$I74</f>
        <v/>
      </c>
      <c r="I74" s="150">
        <f>SUMIFS('11 Seasonal Menu BOM'!$K$5:$K$365,'11 Seasonal Menu BOM'!$A$5:$A$365,$A74,'11 Seasonal Menu BOM'!$D$5:$D$365,"Packaging")</f>
        <v/>
      </c>
      <c r="J74" s="181">
        <f>$H74+$I74</f>
        <v/>
      </c>
      <c r="K74" s="150">
        <f>$H74*'01 Control'!$C$16</f>
        <v/>
      </c>
      <c r="L74" s="150">
        <f>$J74+$K74</f>
        <v/>
      </c>
      <c r="M74" s="153">
        <f>'01 Control'!$C$18</f>
        <v/>
      </c>
      <c r="N74" s="150">
        <f>IF($J74=0,"",$J74/(1-$M74))</f>
        <v/>
      </c>
      <c r="O74" s="150">
        <f>IF($N74="","",$N74*(1+'01 Control'!$C$6))</f>
        <v/>
      </c>
      <c r="P74" s="148" t="n"/>
      <c r="Q74" s="151">
        <f>IF(N($P74)&gt;0,$P74,IF($O74="","",$O74))</f>
        <v/>
      </c>
      <c r="R74" s="182">
        <f>IF(OR($Q74="",$Q74=0),"",($Q74/(1+'01 Control'!$C$6)-$J74)/($Q74/(1+'01 Control'!$C$6)))</f>
        <v/>
      </c>
      <c r="S74" s="152">
        <f>COUNTIFS('11 Seasonal Menu BOM'!$A$5:$A$365,$A74)-COUNTIFS('11 Seasonal Menu BOM'!$A$5:$A$365,$A74,'11 Seasonal Menu BOM'!$I$5:$I$365,"&gt;=0")</f>
        <v/>
      </c>
      <c r="T74" s="162">
        <f>IF($S74&gt;0,"INCOMPLETE - "&amp;$S74&amp;" line(s) unpriced",IF($J74=0,"BOM COST MISSING",IF($R74&lt;$M74-0.02,"BELOW GP TARGET","READY")))</f>
        <v/>
      </c>
      <c r="U74" s="146" t="n">
        <v>0</v>
      </c>
      <c r="V74" s="153">
        <f>IF($J74=0,"",('01 Control'!$C$29/(1+'01 Control'!$C$6)-$J74)/('01 Control'!$C$29/(1+'01 Control'!$C$6)))</f>
        <v/>
      </c>
      <c r="W74" s="153">
        <f>IF($J74=0,"",('01 Control'!$C$30/(1+'01 Control'!$C$6)-$J74)/('01 Control'!$C$30/(1+'01 Control'!$C$6)))</f>
        <v/>
      </c>
      <c r="X74" s="153">
        <f>IF($J74=0,"",('01 Control'!$C$31/(1+'01 Control'!$C$6)-$J74)/('01 Control'!$C$31/(1+'01 Control'!$C$6)))</f>
        <v/>
      </c>
      <c r="Y74" s="183">
        <f>IF(ISNUMBER($Q74),$Q74,0)*N($U74)</f>
        <v/>
      </c>
      <c r="Z74" s="183">
        <f>IF(ISNUMBER($H74),$H74,0)*N($U74)</f>
        <v/>
      </c>
      <c r="AA74" s="183">
        <f>IF(ISNUMBER($I74),$I74,0)*N($U74)</f>
        <v/>
      </c>
      <c r="AB74" s="184" t="inlineStr">
        <is>
          <t>No board price - model recommendation only</t>
        </is>
      </c>
    </row>
    <row r="75" ht="19.4" customHeight="1" s="106">
      <c r="A75" s="134" t="inlineStr">
        <is>
          <t>PP-SEA-Y2W-CHER</t>
        </is>
      </c>
      <c r="B75" s="113" t="inlineStr">
        <is>
          <t>Chermoula Beef</t>
        </is>
      </c>
      <c r="C75" s="138" t="inlineStr">
        <is>
          <t>Seasonal - Year 2</t>
        </is>
      </c>
      <c r="D75" s="138" t="inlineStr">
        <is>
          <t>Winter (Jun-Aug) - North Africa</t>
        </is>
      </c>
      <c r="E75" s="180" t="inlineStr">
        <is>
          <t>Casarecce</t>
        </is>
      </c>
      <c r="F75" s="138" t="inlineStr">
        <is>
          <t>Bokgat Base</t>
        </is>
      </c>
      <c r="G75" s="138" t="inlineStr">
        <is>
          <t>Aglio e Olio Kit + Chermoula Herb Paste (seasonal CK)</t>
        </is>
      </c>
      <c r="H75" s="150">
        <f>SUMIFS('11 Seasonal Menu BOM'!$K$5:$K$365,'11 Seasonal Menu BOM'!$A$5:$A$365,$A75)-$I75</f>
        <v/>
      </c>
      <c r="I75" s="150">
        <f>SUMIFS('11 Seasonal Menu BOM'!$K$5:$K$365,'11 Seasonal Menu BOM'!$A$5:$A$365,$A75,'11 Seasonal Menu BOM'!$D$5:$D$365,"Packaging")</f>
        <v/>
      </c>
      <c r="J75" s="181">
        <f>$H75+$I75</f>
        <v/>
      </c>
      <c r="K75" s="150">
        <f>$H75*'01 Control'!$C$16</f>
        <v/>
      </c>
      <c r="L75" s="150">
        <f>$J75+$K75</f>
        <v/>
      </c>
      <c r="M75" s="153">
        <f>'01 Control'!$C$18</f>
        <v/>
      </c>
      <c r="N75" s="150">
        <f>IF($J75=0,"",$J75/(1-$M75))</f>
        <v/>
      </c>
      <c r="O75" s="150">
        <f>IF($N75="","",$N75*(1+'01 Control'!$C$6))</f>
        <v/>
      </c>
      <c r="P75" s="148" t="n"/>
      <c r="Q75" s="151">
        <f>IF(N($P75)&gt;0,$P75,IF($O75="","",$O75))</f>
        <v/>
      </c>
      <c r="R75" s="182">
        <f>IF(OR($Q75="",$Q75=0),"",($Q75/(1+'01 Control'!$C$6)-$J75)/($Q75/(1+'01 Control'!$C$6)))</f>
        <v/>
      </c>
      <c r="S75" s="152">
        <f>COUNTIFS('11 Seasonal Menu BOM'!$A$5:$A$365,$A75)-COUNTIFS('11 Seasonal Menu BOM'!$A$5:$A$365,$A75,'11 Seasonal Menu BOM'!$I$5:$I$365,"&gt;=0")</f>
        <v/>
      </c>
      <c r="T75" s="162">
        <f>IF($S75&gt;0,"INCOMPLETE - "&amp;$S75&amp;" line(s) unpriced",IF($J75=0,"BOM COST MISSING",IF($R75&lt;$M75-0.02,"BELOW GP TARGET","READY")))</f>
        <v/>
      </c>
      <c r="U75" s="146" t="n">
        <v>0</v>
      </c>
      <c r="V75" s="153">
        <f>IF($J75=0,"",('01 Control'!$C$29/(1+'01 Control'!$C$6)-$J75)/('01 Control'!$C$29/(1+'01 Control'!$C$6)))</f>
        <v/>
      </c>
      <c r="W75" s="153">
        <f>IF($J75=0,"",('01 Control'!$C$30/(1+'01 Control'!$C$6)-$J75)/('01 Control'!$C$30/(1+'01 Control'!$C$6)))</f>
        <v/>
      </c>
      <c r="X75" s="153">
        <f>IF($J75=0,"",('01 Control'!$C$31/(1+'01 Control'!$C$6)-$J75)/('01 Control'!$C$31/(1+'01 Control'!$C$6)))</f>
        <v/>
      </c>
      <c r="Y75" s="183">
        <f>IF(ISNUMBER($Q75),$Q75,0)*N($U75)</f>
        <v/>
      </c>
      <c r="Z75" s="183">
        <f>IF(ISNUMBER($H75),$H75,0)*N($U75)</f>
        <v/>
      </c>
      <c r="AA75" s="183">
        <f>IF(ISNUMBER($I75),$I75,0)*N($U75)</f>
        <v/>
      </c>
      <c r="AB75" s="184" t="inlineStr">
        <is>
          <t>No board price - model recommendation only</t>
        </is>
      </c>
    </row>
    <row r="76" ht="19.4" customHeight="1" s="106">
      <c r="A76" s="134" t="inlineStr">
        <is>
          <t>PP-SEA-Y2P-JOLL</t>
        </is>
      </c>
      <c r="B76" s="113" t="inlineStr">
        <is>
          <t>Jollof-Spiced Tomato</t>
        </is>
      </c>
      <c r="C76" s="138" t="inlineStr">
        <is>
          <t>Seasonal - Year 2</t>
        </is>
      </c>
      <c r="D76" s="138" t="inlineStr">
        <is>
          <t>Spring (Sep-Nov) - West Africa</t>
        </is>
      </c>
      <c r="E76" s="180" t="inlineStr">
        <is>
          <t>Rigatoni</t>
        </is>
      </c>
      <c r="F76" s="138" t="inlineStr">
        <is>
          <t>Bokgat Base</t>
        </is>
      </c>
      <c r="G76" s="138" t="inlineStr">
        <is>
          <t>Napoletana (Pomodoro)</t>
        </is>
      </c>
      <c r="H76" s="150">
        <f>SUMIFS('11 Seasonal Menu BOM'!$K$5:$K$365,'11 Seasonal Menu BOM'!$A$5:$A$365,$A76)-$I76</f>
        <v/>
      </c>
      <c r="I76" s="150">
        <f>SUMIFS('11 Seasonal Menu BOM'!$K$5:$K$365,'11 Seasonal Menu BOM'!$A$5:$A$365,$A76,'11 Seasonal Menu BOM'!$D$5:$D$365,"Packaging")</f>
        <v/>
      </c>
      <c r="J76" s="181">
        <f>$H76+$I76</f>
        <v/>
      </c>
      <c r="K76" s="150">
        <f>$H76*'01 Control'!$C$16</f>
        <v/>
      </c>
      <c r="L76" s="150">
        <f>$J76+$K76</f>
        <v/>
      </c>
      <c r="M76" s="153">
        <f>'01 Control'!$C$18</f>
        <v/>
      </c>
      <c r="N76" s="150">
        <f>IF($J76=0,"",$J76/(1-$M76))</f>
        <v/>
      </c>
      <c r="O76" s="150">
        <f>IF($N76="","",$N76*(1+'01 Control'!$C$6))</f>
        <v/>
      </c>
      <c r="P76" s="148" t="n"/>
      <c r="Q76" s="151">
        <f>IF(N($P76)&gt;0,$P76,IF($O76="","",$O76))</f>
        <v/>
      </c>
      <c r="R76" s="182">
        <f>IF(OR($Q76="",$Q76=0),"",($Q76/(1+'01 Control'!$C$6)-$J76)/($Q76/(1+'01 Control'!$C$6)))</f>
        <v/>
      </c>
      <c r="S76" s="152">
        <f>COUNTIFS('11 Seasonal Menu BOM'!$A$5:$A$365,$A76)-COUNTIFS('11 Seasonal Menu BOM'!$A$5:$A$365,$A76,'11 Seasonal Menu BOM'!$I$5:$I$365,"&gt;=0")</f>
        <v/>
      </c>
      <c r="T76" s="162">
        <f>IF($S76&gt;0,"INCOMPLETE - "&amp;$S76&amp;" line(s) unpriced",IF($J76=0,"BOM COST MISSING",IF($R76&lt;$M76-0.02,"BELOW GP TARGET","READY")))</f>
        <v/>
      </c>
      <c r="U76" s="146" t="n">
        <v>0</v>
      </c>
      <c r="V76" s="153">
        <f>IF($J76=0,"",('01 Control'!$C$29/(1+'01 Control'!$C$6)-$J76)/('01 Control'!$C$29/(1+'01 Control'!$C$6)))</f>
        <v/>
      </c>
      <c r="W76" s="153">
        <f>IF($J76=0,"",('01 Control'!$C$30/(1+'01 Control'!$C$6)-$J76)/('01 Control'!$C$30/(1+'01 Control'!$C$6)))</f>
        <v/>
      </c>
      <c r="X76" s="153">
        <f>IF($J76=0,"",('01 Control'!$C$31/(1+'01 Control'!$C$6)-$J76)/('01 Control'!$C$31/(1+'01 Control'!$C$6)))</f>
        <v/>
      </c>
      <c r="Y76" s="183">
        <f>IF(ISNUMBER($Q76),$Q76,0)*N($U76)</f>
        <v/>
      </c>
      <c r="Z76" s="183">
        <f>IF(ISNUMBER($H76),$H76,0)*N($U76)</f>
        <v/>
      </c>
      <c r="AA76" s="183">
        <f>IF(ISNUMBER($I76),$I76,0)*N($U76)</f>
        <v/>
      </c>
      <c r="AB76" s="184" t="inlineStr">
        <is>
          <t>No board price - model recommendation only</t>
        </is>
      </c>
    </row>
    <row r="77" ht="19.4" customHeight="1" s="106">
      <c r="A77" s="134" t="inlineStr">
        <is>
          <t>PP-SEA-Y2P-SUYA</t>
        </is>
      </c>
      <c r="B77" s="113" t="inlineStr">
        <is>
          <t>Suya Grilled Beef</t>
        </is>
      </c>
      <c r="C77" s="138" t="inlineStr">
        <is>
          <t>Seasonal - Year 2</t>
        </is>
      </c>
      <c r="D77" s="138" t="inlineStr">
        <is>
          <t>Spring (Sep-Nov) - West Africa</t>
        </is>
      </c>
      <c r="E77" s="180" t="inlineStr">
        <is>
          <t>Spaghetti</t>
        </is>
      </c>
      <c r="F77" s="138" t="inlineStr">
        <is>
          <t>Protein+ Pro</t>
        </is>
      </c>
      <c r="G77" s="138" t="inlineStr">
        <is>
          <t>Aglio e Olio Kit</t>
        </is>
      </c>
      <c r="H77" s="150">
        <f>SUMIFS('11 Seasonal Menu BOM'!$K$5:$K$365,'11 Seasonal Menu BOM'!$A$5:$A$365,$A77)-$I77</f>
        <v/>
      </c>
      <c r="I77" s="150">
        <f>SUMIFS('11 Seasonal Menu BOM'!$K$5:$K$365,'11 Seasonal Menu BOM'!$A$5:$A$365,$A77,'11 Seasonal Menu BOM'!$D$5:$D$365,"Packaging")</f>
        <v/>
      </c>
      <c r="J77" s="181">
        <f>$H77+$I77</f>
        <v/>
      </c>
      <c r="K77" s="150">
        <f>$H77*'01 Control'!$C$16</f>
        <v/>
      </c>
      <c r="L77" s="150">
        <f>$J77+$K77</f>
        <v/>
      </c>
      <c r="M77" s="153">
        <f>'01 Control'!$C$18</f>
        <v/>
      </c>
      <c r="N77" s="150">
        <f>IF($J77=0,"",$J77/(1-$M77))</f>
        <v/>
      </c>
      <c r="O77" s="150">
        <f>IF($N77="","",$N77*(1+'01 Control'!$C$6))</f>
        <v/>
      </c>
      <c r="P77" s="148" t="n"/>
      <c r="Q77" s="151">
        <f>IF(N($P77)&gt;0,$P77,IF($O77="","",$O77))</f>
        <v/>
      </c>
      <c r="R77" s="182">
        <f>IF(OR($Q77="",$Q77=0),"",($Q77/(1+'01 Control'!$C$6)-$J77)/($Q77/(1+'01 Control'!$C$6)))</f>
        <v/>
      </c>
      <c r="S77" s="152">
        <f>COUNTIFS('11 Seasonal Menu BOM'!$A$5:$A$365,$A77)-COUNTIFS('11 Seasonal Menu BOM'!$A$5:$A$365,$A77,'11 Seasonal Menu BOM'!$I$5:$I$365,"&gt;=0")</f>
        <v/>
      </c>
      <c r="T77" s="162">
        <f>IF($S77&gt;0,"INCOMPLETE - "&amp;$S77&amp;" line(s) unpriced",IF($J77=0,"BOM COST MISSING",IF($R77&lt;$M77-0.02,"BELOW GP TARGET","READY")))</f>
        <v/>
      </c>
      <c r="U77" s="146" t="n">
        <v>0</v>
      </c>
      <c r="V77" s="153">
        <f>IF($J77=0,"",('01 Control'!$C$29/(1+'01 Control'!$C$6)-$J77)/('01 Control'!$C$29/(1+'01 Control'!$C$6)))</f>
        <v/>
      </c>
      <c r="W77" s="153">
        <f>IF($J77=0,"",('01 Control'!$C$30/(1+'01 Control'!$C$6)-$J77)/('01 Control'!$C$30/(1+'01 Control'!$C$6)))</f>
        <v/>
      </c>
      <c r="X77" s="153">
        <f>IF($J77=0,"",('01 Control'!$C$31/(1+'01 Control'!$C$6)-$J77)/('01 Control'!$C$31/(1+'01 Control'!$C$6)))</f>
        <v/>
      </c>
      <c r="Y77" s="183">
        <f>IF(ISNUMBER($Q77),$Q77,0)*N($U77)</f>
        <v/>
      </c>
      <c r="Z77" s="183">
        <f>IF(ISNUMBER($H77),$H77,0)*N($U77)</f>
        <v/>
      </c>
      <c r="AA77" s="183">
        <f>IF(ISNUMBER($I77),$I77,0)*N($U77)</f>
        <v/>
      </c>
      <c r="AB77" s="184" t="inlineStr">
        <is>
          <t>No board price - model recommendation only</t>
        </is>
      </c>
    </row>
    <row r="78" ht="19.4" customHeight="1" s="106">
      <c r="A78" s="134" t="inlineStr">
        <is>
          <t>PP-SEA-Y2P-GNUT</t>
        </is>
      </c>
      <c r="B78" s="113" t="inlineStr">
        <is>
          <t>Groundnut Creamy Beef</t>
        </is>
      </c>
      <c r="C78" s="138" t="inlineStr">
        <is>
          <t>Seasonal - Year 2</t>
        </is>
      </c>
      <c r="D78" s="138" t="inlineStr">
        <is>
          <t>Spring (Sep-Nov) - West Africa</t>
        </is>
      </c>
      <c r="E78" s="180" t="inlineStr">
        <is>
          <t>Fusilli</t>
        </is>
      </c>
      <c r="F78" s="138" t="inlineStr">
        <is>
          <t>Bokgat Base</t>
        </is>
      </c>
      <c r="G78" s="138" t="inlineStr">
        <is>
          <t>Groundnut Cream Base (seasonal CK)</t>
        </is>
      </c>
      <c r="H78" s="150">
        <f>SUMIFS('11 Seasonal Menu BOM'!$K$5:$K$365,'11 Seasonal Menu BOM'!$A$5:$A$365,$A78)-$I78</f>
        <v/>
      </c>
      <c r="I78" s="150">
        <f>SUMIFS('11 Seasonal Menu BOM'!$K$5:$K$365,'11 Seasonal Menu BOM'!$A$5:$A$365,$A78,'11 Seasonal Menu BOM'!$D$5:$D$365,"Packaging")</f>
        <v/>
      </c>
      <c r="J78" s="181">
        <f>$H78+$I78</f>
        <v/>
      </c>
      <c r="K78" s="150">
        <f>$H78*'01 Control'!$C$16</f>
        <v/>
      </c>
      <c r="L78" s="150">
        <f>$J78+$K78</f>
        <v/>
      </c>
      <c r="M78" s="153">
        <f>'01 Control'!$C$18</f>
        <v/>
      </c>
      <c r="N78" s="150">
        <f>IF($J78=0,"",$J78/(1-$M78))</f>
        <v/>
      </c>
      <c r="O78" s="150">
        <f>IF($N78="","",$N78*(1+'01 Control'!$C$6))</f>
        <v/>
      </c>
      <c r="P78" s="148" t="n"/>
      <c r="Q78" s="151">
        <f>IF(N($P78)&gt;0,$P78,IF($O78="","",$O78))</f>
        <v/>
      </c>
      <c r="R78" s="182">
        <f>IF(OR($Q78="",$Q78=0),"",($Q78/(1+'01 Control'!$C$6)-$J78)/($Q78/(1+'01 Control'!$C$6)))</f>
        <v/>
      </c>
      <c r="S78" s="152">
        <f>COUNTIFS('11 Seasonal Menu BOM'!$A$5:$A$365,$A78)-COUNTIFS('11 Seasonal Menu BOM'!$A$5:$A$365,$A78,'11 Seasonal Menu BOM'!$I$5:$I$365,"&gt;=0")</f>
        <v/>
      </c>
      <c r="T78" s="162">
        <f>IF($S78&gt;0,"INCOMPLETE - "&amp;$S78&amp;" line(s) unpriced",IF($J78=0,"BOM COST MISSING",IF($R78&lt;$M78-0.02,"BELOW GP TARGET","READY")))</f>
        <v/>
      </c>
      <c r="U78" s="146" t="n">
        <v>0</v>
      </c>
      <c r="V78" s="153">
        <f>IF($J78=0,"",('01 Control'!$C$29/(1+'01 Control'!$C$6)-$J78)/('01 Control'!$C$29/(1+'01 Control'!$C$6)))</f>
        <v/>
      </c>
      <c r="W78" s="153">
        <f>IF($J78=0,"",('01 Control'!$C$30/(1+'01 Control'!$C$6)-$J78)/('01 Control'!$C$30/(1+'01 Control'!$C$6)))</f>
        <v/>
      </c>
      <c r="X78" s="153">
        <f>IF($J78=0,"",('01 Control'!$C$31/(1+'01 Control'!$C$6)-$J78)/('01 Control'!$C$31/(1+'01 Control'!$C$6)))</f>
        <v/>
      </c>
      <c r="Y78" s="183">
        <f>IF(ISNUMBER($Q78),$Q78,0)*N($U78)</f>
        <v/>
      </c>
      <c r="Z78" s="183">
        <f>IF(ISNUMBER($H78),$H78,0)*N($U78)</f>
        <v/>
      </c>
      <c r="AA78" s="183">
        <f>IF(ISNUMBER($I78),$I78,0)*N($U78)</f>
        <v/>
      </c>
      <c r="AB78" s="184" t="inlineStr">
        <is>
          <t>No board price - model recommendation only</t>
        </is>
      </c>
    </row>
    <row r="79" ht="19.4" customHeight="1" s="106">
      <c r="A79" s="134" t="inlineStr">
        <is>
          <t>PP-SEA-Y3S-PRWN</t>
        </is>
      </c>
      <c r="B79" s="113" t="inlineStr">
        <is>
          <t>Lemon-Garlic Prawn</t>
        </is>
      </c>
      <c r="C79" s="138" t="inlineStr">
        <is>
          <t>Seasonal - Year 3</t>
        </is>
      </c>
      <c r="D79" s="138" t="inlineStr">
        <is>
          <t>Summer (Dec-Feb) - Mediterranean</t>
        </is>
      </c>
      <c r="E79" s="180" t="inlineStr">
        <is>
          <t>Spaghetti</t>
        </is>
      </c>
      <c r="F79" s="138" t="inlineStr">
        <is>
          <t>Bokgat Base</t>
        </is>
      </c>
      <c r="G79" s="138" t="inlineStr">
        <is>
          <t>Aglio e Olio Kit</t>
        </is>
      </c>
      <c r="H79" s="150">
        <f>SUMIFS('11 Seasonal Menu BOM'!$K$5:$K$365,'11 Seasonal Menu BOM'!$A$5:$A$365,$A79)-$I79</f>
        <v/>
      </c>
      <c r="I79" s="150">
        <f>SUMIFS('11 Seasonal Menu BOM'!$K$5:$K$365,'11 Seasonal Menu BOM'!$A$5:$A$365,$A79,'11 Seasonal Menu BOM'!$D$5:$D$365,"Packaging")</f>
        <v/>
      </c>
      <c r="J79" s="181">
        <f>$H79+$I79</f>
        <v/>
      </c>
      <c r="K79" s="150">
        <f>$H79*'01 Control'!$C$16</f>
        <v/>
      </c>
      <c r="L79" s="150">
        <f>$J79+$K79</f>
        <v/>
      </c>
      <c r="M79" s="153">
        <f>'01 Control'!$C$18</f>
        <v/>
      </c>
      <c r="N79" s="150">
        <f>IF($J79=0,"",$J79/(1-$M79))</f>
        <v/>
      </c>
      <c r="O79" s="150">
        <f>IF($N79="","",$N79*(1+'01 Control'!$C$6))</f>
        <v/>
      </c>
      <c r="P79" s="148" t="n"/>
      <c r="Q79" s="151">
        <f>IF(N($P79)&gt;0,$P79,IF($O79="","",$O79))</f>
        <v/>
      </c>
      <c r="R79" s="182">
        <f>IF(OR($Q79="",$Q79=0),"",($Q79/(1+'01 Control'!$C$6)-$J79)/($Q79/(1+'01 Control'!$C$6)))</f>
        <v/>
      </c>
      <c r="S79" s="152">
        <f>COUNTIFS('11 Seasonal Menu BOM'!$A$5:$A$365,$A79)-COUNTIFS('11 Seasonal Menu BOM'!$A$5:$A$365,$A79,'11 Seasonal Menu BOM'!$I$5:$I$365,"&gt;=0")</f>
        <v/>
      </c>
      <c r="T79" s="162">
        <f>IF($S79&gt;0,"INCOMPLETE - "&amp;$S79&amp;" line(s) unpriced",IF($J79=0,"BOM COST MISSING",IF($R79&lt;$M79-0.02,"BELOW GP TARGET","READY")))</f>
        <v/>
      </c>
      <c r="U79" s="146" t="n">
        <v>0</v>
      </c>
      <c r="V79" s="153">
        <f>IF($J79=0,"",('01 Control'!$C$29/(1+'01 Control'!$C$6)-$J79)/('01 Control'!$C$29/(1+'01 Control'!$C$6)))</f>
        <v/>
      </c>
      <c r="W79" s="153">
        <f>IF($J79=0,"",('01 Control'!$C$30/(1+'01 Control'!$C$6)-$J79)/('01 Control'!$C$30/(1+'01 Control'!$C$6)))</f>
        <v/>
      </c>
      <c r="X79" s="153">
        <f>IF($J79=0,"",('01 Control'!$C$31/(1+'01 Control'!$C$6)-$J79)/('01 Control'!$C$31/(1+'01 Control'!$C$6)))</f>
        <v/>
      </c>
      <c r="Y79" s="183">
        <f>IF(ISNUMBER($Q79),$Q79,0)*N($U79)</f>
        <v/>
      </c>
      <c r="Z79" s="183">
        <f>IF(ISNUMBER($H79),$H79,0)*N($U79)</f>
        <v/>
      </c>
      <c r="AA79" s="183">
        <f>IF(ISNUMBER($I79),$I79,0)*N($U79)</f>
        <v/>
      </c>
      <c r="AB79" s="184" t="inlineStr">
        <is>
          <t>No board price - model recommendation only</t>
        </is>
      </c>
    </row>
    <row r="80" ht="19.4" customHeight="1" s="106">
      <c r="A80" s="134" t="inlineStr">
        <is>
          <t>PP-SEA-Y3S-SUND</t>
        </is>
      </c>
      <c r="B80" s="113" t="inlineStr">
        <is>
          <t>Sundried Tomato &amp; Olive</t>
        </is>
      </c>
      <c r="C80" s="138" t="inlineStr">
        <is>
          <t>Seasonal - Year 3</t>
        </is>
      </c>
      <c r="D80" s="138" t="inlineStr">
        <is>
          <t>Summer (Dec-Feb) - Mediterranean</t>
        </is>
      </c>
      <c r="E80" s="180" t="inlineStr">
        <is>
          <t>Casarecce</t>
        </is>
      </c>
      <c r="F80" s="138" t="inlineStr">
        <is>
          <t>Chickpea Power Pro</t>
        </is>
      </c>
      <c r="G80" s="138" t="inlineStr">
        <is>
          <t>Aglio e Olio Kit</t>
        </is>
      </c>
      <c r="H80" s="150">
        <f>SUMIFS('11 Seasonal Menu BOM'!$K$5:$K$365,'11 Seasonal Menu BOM'!$A$5:$A$365,$A80)-$I80</f>
        <v/>
      </c>
      <c r="I80" s="150">
        <f>SUMIFS('11 Seasonal Menu BOM'!$K$5:$K$365,'11 Seasonal Menu BOM'!$A$5:$A$365,$A80,'11 Seasonal Menu BOM'!$D$5:$D$365,"Packaging")</f>
        <v/>
      </c>
      <c r="J80" s="181">
        <f>$H80+$I80</f>
        <v/>
      </c>
      <c r="K80" s="150">
        <f>$H80*'01 Control'!$C$16</f>
        <v/>
      </c>
      <c r="L80" s="150">
        <f>$J80+$K80</f>
        <v/>
      </c>
      <c r="M80" s="153">
        <f>'01 Control'!$C$18</f>
        <v/>
      </c>
      <c r="N80" s="150">
        <f>IF($J80=0,"",$J80/(1-$M80))</f>
        <v/>
      </c>
      <c r="O80" s="150">
        <f>IF($N80="","",$N80*(1+'01 Control'!$C$6))</f>
        <v/>
      </c>
      <c r="P80" s="148" t="n"/>
      <c r="Q80" s="151">
        <f>IF(N($P80)&gt;0,$P80,IF($O80="","",$O80))</f>
        <v/>
      </c>
      <c r="R80" s="182">
        <f>IF(OR($Q80="",$Q80=0),"",($Q80/(1+'01 Control'!$C$6)-$J80)/($Q80/(1+'01 Control'!$C$6)))</f>
        <v/>
      </c>
      <c r="S80" s="152">
        <f>COUNTIFS('11 Seasonal Menu BOM'!$A$5:$A$365,$A80)-COUNTIFS('11 Seasonal Menu BOM'!$A$5:$A$365,$A80,'11 Seasonal Menu BOM'!$I$5:$I$365,"&gt;=0")</f>
        <v/>
      </c>
      <c r="T80" s="162">
        <f>IF($S80&gt;0,"INCOMPLETE - "&amp;$S80&amp;" line(s) unpriced",IF($J80=0,"BOM COST MISSING",IF($R80&lt;$M80-0.02,"BELOW GP TARGET","READY")))</f>
        <v/>
      </c>
      <c r="U80" s="146" t="n">
        <v>0</v>
      </c>
      <c r="V80" s="153">
        <f>IF($J80=0,"",('01 Control'!$C$29/(1+'01 Control'!$C$6)-$J80)/('01 Control'!$C$29/(1+'01 Control'!$C$6)))</f>
        <v/>
      </c>
      <c r="W80" s="153">
        <f>IF($J80=0,"",('01 Control'!$C$30/(1+'01 Control'!$C$6)-$J80)/('01 Control'!$C$30/(1+'01 Control'!$C$6)))</f>
        <v/>
      </c>
      <c r="X80" s="153">
        <f>IF($J80=0,"",('01 Control'!$C$31/(1+'01 Control'!$C$6)-$J80)/('01 Control'!$C$31/(1+'01 Control'!$C$6)))</f>
        <v/>
      </c>
      <c r="Y80" s="183">
        <f>IF(ISNUMBER($Q80),$Q80,0)*N($U80)</f>
        <v/>
      </c>
      <c r="Z80" s="183">
        <f>IF(ISNUMBER($H80),$H80,0)*N($U80)</f>
        <v/>
      </c>
      <c r="AA80" s="183">
        <f>IF(ISNUMBER($I80),$I80,0)*N($U80)</f>
        <v/>
      </c>
      <c r="AB80" s="184" t="inlineStr">
        <is>
          <t>No board price - model recommendation only</t>
        </is>
      </c>
    </row>
    <row r="81" ht="19.4" customHeight="1" s="106">
      <c r="A81" s="134" t="inlineStr">
        <is>
          <t>PP-SEA-Y3S-CAPR</t>
        </is>
      </c>
      <c r="B81" s="113" t="inlineStr">
        <is>
          <t>Caprese 2.0 (chilled)</t>
        </is>
      </c>
      <c r="C81" s="138" t="inlineStr">
        <is>
          <t>Seasonal - Year 3</t>
        </is>
      </c>
      <c r="D81" s="138" t="inlineStr">
        <is>
          <t>Summer (Dec-Feb) - Mediterranean</t>
        </is>
      </c>
      <c r="E81" s="180" t="inlineStr">
        <is>
          <t>Fusilli</t>
        </is>
      </c>
      <c r="F81" s="138" t="inlineStr">
        <is>
          <t>Bokgat Base</t>
        </is>
      </c>
      <c r="G81" s="138" t="inlineStr">
        <is>
          <t>-</t>
        </is>
      </c>
      <c r="H81" s="150">
        <f>SUMIFS('11 Seasonal Menu BOM'!$K$5:$K$365,'11 Seasonal Menu BOM'!$A$5:$A$365,$A81)-$I81</f>
        <v/>
      </c>
      <c r="I81" s="150">
        <f>SUMIFS('11 Seasonal Menu BOM'!$K$5:$K$365,'11 Seasonal Menu BOM'!$A$5:$A$365,$A81,'11 Seasonal Menu BOM'!$D$5:$D$365,"Packaging")</f>
        <v/>
      </c>
      <c r="J81" s="181">
        <f>$H81+$I81</f>
        <v/>
      </c>
      <c r="K81" s="150">
        <f>$H81*'01 Control'!$C$16</f>
        <v/>
      </c>
      <c r="L81" s="150">
        <f>$J81+$K81</f>
        <v/>
      </c>
      <c r="M81" s="153">
        <f>'01 Control'!$C$18</f>
        <v/>
      </c>
      <c r="N81" s="150">
        <f>IF($J81=0,"",$J81/(1-$M81))</f>
        <v/>
      </c>
      <c r="O81" s="150">
        <f>IF($N81="","",$N81*(1+'01 Control'!$C$6))</f>
        <v/>
      </c>
      <c r="P81" s="148" t="n"/>
      <c r="Q81" s="151">
        <f>IF(N($P81)&gt;0,$P81,IF($O81="","",$O81))</f>
        <v/>
      </c>
      <c r="R81" s="182">
        <f>IF(OR($Q81="",$Q81=0),"",($Q81/(1+'01 Control'!$C$6)-$J81)/($Q81/(1+'01 Control'!$C$6)))</f>
        <v/>
      </c>
      <c r="S81" s="152">
        <f>COUNTIFS('11 Seasonal Menu BOM'!$A$5:$A$365,$A81)-COUNTIFS('11 Seasonal Menu BOM'!$A$5:$A$365,$A81,'11 Seasonal Menu BOM'!$I$5:$I$365,"&gt;=0")</f>
        <v/>
      </c>
      <c r="T81" s="162">
        <f>IF($S81&gt;0,"INCOMPLETE - "&amp;$S81&amp;" line(s) unpriced",IF($J81=0,"BOM COST MISSING",IF($R81&lt;$M81-0.02,"BELOW GP TARGET","READY")))</f>
        <v/>
      </c>
      <c r="U81" s="146" t="n">
        <v>0</v>
      </c>
      <c r="V81" s="153">
        <f>IF($J81=0,"",('01 Control'!$C$29/(1+'01 Control'!$C$6)-$J81)/('01 Control'!$C$29/(1+'01 Control'!$C$6)))</f>
        <v/>
      </c>
      <c r="W81" s="153">
        <f>IF($J81=0,"",('01 Control'!$C$30/(1+'01 Control'!$C$6)-$J81)/('01 Control'!$C$30/(1+'01 Control'!$C$6)))</f>
        <v/>
      </c>
      <c r="X81" s="153">
        <f>IF($J81=0,"",('01 Control'!$C$31/(1+'01 Control'!$C$6)-$J81)/('01 Control'!$C$31/(1+'01 Control'!$C$6)))</f>
        <v/>
      </c>
      <c r="Y81" s="183">
        <f>IF(ISNUMBER($Q81),$Q81,0)*N($U81)</f>
        <v/>
      </c>
      <c r="Z81" s="183">
        <f>IF(ISNUMBER($H81),$H81,0)*N($U81)</f>
        <v/>
      </c>
      <c r="AA81" s="183">
        <f>IF(ISNUMBER($I81),$I81,0)*N($U81)</f>
        <v/>
      </c>
      <c r="AB81" s="184" t="inlineStr">
        <is>
          <t>No board price - model recommendation only</t>
        </is>
      </c>
    </row>
    <row r="82" ht="19.4" customHeight="1" s="106">
      <c r="A82" s="134" t="inlineStr">
        <is>
          <t>PP-SEA-Y3A-BBQ</t>
        </is>
      </c>
      <c r="B82" s="113" t="inlineStr">
        <is>
          <t>Smoky BBQ Pulled-Beef</t>
        </is>
      </c>
      <c r="C82" s="138" t="inlineStr">
        <is>
          <t>Seasonal - Year 3</t>
        </is>
      </c>
      <c r="D82" s="138" t="inlineStr">
        <is>
          <t>Autumn (Mar-May) - Americana</t>
        </is>
      </c>
      <c r="E82" s="180" t="inlineStr">
        <is>
          <t>Rigatoni</t>
        </is>
      </c>
      <c r="F82" s="138" t="inlineStr">
        <is>
          <t>Bokgat Base</t>
        </is>
      </c>
      <c r="G82" s="138" t="inlineStr">
        <is>
          <t>Napoletana (Pomodoro)</t>
        </is>
      </c>
      <c r="H82" s="150">
        <f>SUMIFS('11 Seasonal Menu BOM'!$K$5:$K$365,'11 Seasonal Menu BOM'!$A$5:$A$365,$A82)-$I82</f>
        <v/>
      </c>
      <c r="I82" s="150">
        <f>SUMIFS('11 Seasonal Menu BOM'!$K$5:$K$365,'11 Seasonal Menu BOM'!$A$5:$A$365,$A82,'11 Seasonal Menu BOM'!$D$5:$D$365,"Packaging")</f>
        <v/>
      </c>
      <c r="J82" s="181">
        <f>$H82+$I82</f>
        <v/>
      </c>
      <c r="K82" s="150">
        <f>$H82*'01 Control'!$C$16</f>
        <v/>
      </c>
      <c r="L82" s="150">
        <f>$J82+$K82</f>
        <v/>
      </c>
      <c r="M82" s="153">
        <f>'01 Control'!$C$18</f>
        <v/>
      </c>
      <c r="N82" s="150">
        <f>IF($J82=0,"",$J82/(1-$M82))</f>
        <v/>
      </c>
      <c r="O82" s="150">
        <f>IF($N82="","",$N82*(1+'01 Control'!$C$6))</f>
        <v/>
      </c>
      <c r="P82" s="148" t="n"/>
      <c r="Q82" s="151">
        <f>IF(N($P82)&gt;0,$P82,IF($O82="","",$O82))</f>
        <v/>
      </c>
      <c r="R82" s="182">
        <f>IF(OR($Q82="",$Q82=0),"",($Q82/(1+'01 Control'!$C$6)-$J82)/($Q82/(1+'01 Control'!$C$6)))</f>
        <v/>
      </c>
      <c r="S82" s="152">
        <f>COUNTIFS('11 Seasonal Menu BOM'!$A$5:$A$365,$A82)-COUNTIFS('11 Seasonal Menu BOM'!$A$5:$A$365,$A82,'11 Seasonal Menu BOM'!$I$5:$I$365,"&gt;=0")</f>
        <v/>
      </c>
      <c r="T82" s="162">
        <f>IF($S82&gt;0,"INCOMPLETE - "&amp;$S82&amp;" line(s) unpriced",IF($J82=0,"BOM COST MISSING",IF($R82&lt;$M82-0.02,"BELOW GP TARGET","READY")))</f>
        <v/>
      </c>
      <c r="U82" s="146" t="n">
        <v>0</v>
      </c>
      <c r="V82" s="153">
        <f>IF($J82=0,"",('01 Control'!$C$29/(1+'01 Control'!$C$6)-$J82)/('01 Control'!$C$29/(1+'01 Control'!$C$6)))</f>
        <v/>
      </c>
      <c r="W82" s="153">
        <f>IF($J82=0,"",('01 Control'!$C$30/(1+'01 Control'!$C$6)-$J82)/('01 Control'!$C$30/(1+'01 Control'!$C$6)))</f>
        <v/>
      </c>
      <c r="X82" s="153">
        <f>IF($J82=0,"",('01 Control'!$C$31/(1+'01 Control'!$C$6)-$J82)/('01 Control'!$C$31/(1+'01 Control'!$C$6)))</f>
        <v/>
      </c>
      <c r="Y82" s="183">
        <f>IF(ISNUMBER($Q82),$Q82,0)*N($U82)</f>
        <v/>
      </c>
      <c r="Z82" s="183">
        <f>IF(ISNUMBER($H82),$H82,0)*N($U82)</f>
        <v/>
      </c>
      <c r="AA82" s="183">
        <f>IF(ISNUMBER($I82),$I82,0)*N($U82)</f>
        <v/>
      </c>
      <c r="AB82" s="184" t="inlineStr">
        <is>
          <t>No board price - model recommendation only</t>
        </is>
      </c>
    </row>
    <row r="83" ht="19.4" customHeight="1" s="106">
      <c r="A83" s="134" t="inlineStr">
        <is>
          <t>PP-SEA-Y3A-BUFF</t>
        </is>
      </c>
      <c r="B83" s="113" t="inlineStr">
        <is>
          <t>Buffalo Beef Mac Bake</t>
        </is>
      </c>
      <c r="C83" s="138" t="inlineStr">
        <is>
          <t>Seasonal - Year 3</t>
        </is>
      </c>
      <c r="D83" s="138" t="inlineStr">
        <is>
          <t>Autumn (Mar-May) - Americana</t>
        </is>
      </c>
      <c r="E83" s="180" t="inlineStr">
        <is>
          <t>Rigatoni</t>
        </is>
      </c>
      <c r="F83" s="138" t="inlineStr">
        <is>
          <t>Bokgat Base</t>
        </is>
      </c>
      <c r="G83" s="138" t="inlineStr">
        <is>
          <t>Quattro Formaggi</t>
        </is>
      </c>
      <c r="H83" s="150">
        <f>SUMIFS('11 Seasonal Menu BOM'!$K$5:$K$365,'11 Seasonal Menu BOM'!$A$5:$A$365,$A83)-$I83</f>
        <v/>
      </c>
      <c r="I83" s="150">
        <f>SUMIFS('11 Seasonal Menu BOM'!$K$5:$K$365,'11 Seasonal Menu BOM'!$A$5:$A$365,$A83,'11 Seasonal Menu BOM'!$D$5:$D$365,"Packaging")</f>
        <v/>
      </c>
      <c r="J83" s="181">
        <f>$H83+$I83</f>
        <v/>
      </c>
      <c r="K83" s="150">
        <f>$H83*'01 Control'!$C$16</f>
        <v/>
      </c>
      <c r="L83" s="150">
        <f>$J83+$K83</f>
        <v/>
      </c>
      <c r="M83" s="153">
        <f>'01 Control'!$C$18</f>
        <v/>
      </c>
      <c r="N83" s="150">
        <f>IF($J83=0,"",$J83/(1-$M83))</f>
        <v/>
      </c>
      <c r="O83" s="150">
        <f>IF($N83="","",$N83*(1+'01 Control'!$C$6))</f>
        <v/>
      </c>
      <c r="P83" s="148" t="n"/>
      <c r="Q83" s="151">
        <f>IF(N($P83)&gt;0,$P83,IF($O83="","",$O83))</f>
        <v/>
      </c>
      <c r="R83" s="182">
        <f>IF(OR($Q83="",$Q83=0),"",($Q83/(1+'01 Control'!$C$6)-$J83)/($Q83/(1+'01 Control'!$C$6)))</f>
        <v/>
      </c>
      <c r="S83" s="152">
        <f>COUNTIFS('11 Seasonal Menu BOM'!$A$5:$A$365,$A83)-COUNTIFS('11 Seasonal Menu BOM'!$A$5:$A$365,$A83,'11 Seasonal Menu BOM'!$I$5:$I$365,"&gt;=0")</f>
        <v/>
      </c>
      <c r="T83" s="162">
        <f>IF($S83&gt;0,"INCOMPLETE - "&amp;$S83&amp;" line(s) unpriced",IF($J83=0,"BOM COST MISSING",IF($R83&lt;$M83-0.02,"BELOW GP TARGET","READY")))</f>
        <v/>
      </c>
      <c r="U83" s="146" t="n">
        <v>0</v>
      </c>
      <c r="V83" s="153">
        <f>IF($J83=0,"",('01 Control'!$C$29/(1+'01 Control'!$C$6)-$J83)/('01 Control'!$C$29/(1+'01 Control'!$C$6)))</f>
        <v/>
      </c>
      <c r="W83" s="153">
        <f>IF($J83=0,"",('01 Control'!$C$30/(1+'01 Control'!$C$6)-$J83)/('01 Control'!$C$30/(1+'01 Control'!$C$6)))</f>
        <v/>
      </c>
      <c r="X83" s="153">
        <f>IF($J83=0,"",('01 Control'!$C$31/(1+'01 Control'!$C$6)-$J83)/('01 Control'!$C$31/(1+'01 Control'!$C$6)))</f>
        <v/>
      </c>
      <c r="Y83" s="183">
        <f>IF(ISNUMBER($Q83),$Q83,0)*N($U83)</f>
        <v/>
      </c>
      <c r="Z83" s="183">
        <f>IF(ISNUMBER($H83),$H83,0)*N($U83)</f>
        <v/>
      </c>
      <c r="AA83" s="183">
        <f>IF(ISNUMBER($I83),$I83,0)*N($U83)</f>
        <v/>
      </c>
      <c r="AB83" s="184" t="inlineStr">
        <is>
          <t>No board price - model recommendation only</t>
        </is>
      </c>
    </row>
    <row r="84" ht="19.4" customHeight="1" s="106">
      <c r="A84" s="134" t="inlineStr">
        <is>
          <t>PP-SEA-Y3A-CAJU</t>
        </is>
      </c>
      <c r="B84" s="113" t="inlineStr">
        <is>
          <t>Cajun Beef &amp; Pepper</t>
        </is>
      </c>
      <c r="C84" s="138" t="inlineStr">
        <is>
          <t>Seasonal - Year 3</t>
        </is>
      </c>
      <c r="D84" s="138" t="inlineStr">
        <is>
          <t>Autumn (Mar-May) - Americana</t>
        </is>
      </c>
      <c r="E84" s="180" t="inlineStr">
        <is>
          <t>Fusilli</t>
        </is>
      </c>
      <c r="F84" s="138" t="inlineStr">
        <is>
          <t>Bokgat Base</t>
        </is>
      </c>
      <c r="G84" s="138" t="inlineStr">
        <is>
          <t>Creamy Alfredo</t>
        </is>
      </c>
      <c r="H84" s="150">
        <f>SUMIFS('11 Seasonal Menu BOM'!$K$5:$K$365,'11 Seasonal Menu BOM'!$A$5:$A$365,$A84)-$I84</f>
        <v/>
      </c>
      <c r="I84" s="150">
        <f>SUMIFS('11 Seasonal Menu BOM'!$K$5:$K$365,'11 Seasonal Menu BOM'!$A$5:$A$365,$A84,'11 Seasonal Menu BOM'!$D$5:$D$365,"Packaging")</f>
        <v/>
      </c>
      <c r="J84" s="181">
        <f>$H84+$I84</f>
        <v/>
      </c>
      <c r="K84" s="150">
        <f>$H84*'01 Control'!$C$16</f>
        <v/>
      </c>
      <c r="L84" s="150">
        <f>$J84+$K84</f>
        <v/>
      </c>
      <c r="M84" s="153">
        <f>'01 Control'!$C$18</f>
        <v/>
      </c>
      <c r="N84" s="150">
        <f>IF($J84=0,"",$J84/(1-$M84))</f>
        <v/>
      </c>
      <c r="O84" s="150">
        <f>IF($N84="","",$N84*(1+'01 Control'!$C$6))</f>
        <v/>
      </c>
      <c r="P84" s="148" t="n"/>
      <c r="Q84" s="151">
        <f>IF(N($P84)&gt;0,$P84,IF($O84="","",$O84))</f>
        <v/>
      </c>
      <c r="R84" s="182">
        <f>IF(OR($Q84="",$Q84=0),"",($Q84/(1+'01 Control'!$C$6)-$J84)/($Q84/(1+'01 Control'!$C$6)))</f>
        <v/>
      </c>
      <c r="S84" s="152">
        <f>COUNTIFS('11 Seasonal Menu BOM'!$A$5:$A$365,$A84)-COUNTIFS('11 Seasonal Menu BOM'!$A$5:$A$365,$A84,'11 Seasonal Menu BOM'!$I$5:$I$365,"&gt;=0")</f>
        <v/>
      </c>
      <c r="T84" s="162">
        <f>IF($S84&gt;0,"INCOMPLETE - "&amp;$S84&amp;" line(s) unpriced",IF($J84=0,"BOM COST MISSING",IF($R84&lt;$M84-0.02,"BELOW GP TARGET","READY")))</f>
        <v/>
      </c>
      <c r="U84" s="146" t="n">
        <v>0</v>
      </c>
      <c r="V84" s="153">
        <f>IF($J84=0,"",('01 Control'!$C$29/(1+'01 Control'!$C$6)-$J84)/('01 Control'!$C$29/(1+'01 Control'!$C$6)))</f>
        <v/>
      </c>
      <c r="W84" s="153">
        <f>IF($J84=0,"",('01 Control'!$C$30/(1+'01 Control'!$C$6)-$J84)/('01 Control'!$C$30/(1+'01 Control'!$C$6)))</f>
        <v/>
      </c>
      <c r="X84" s="153">
        <f>IF($J84=0,"",('01 Control'!$C$31/(1+'01 Control'!$C$6)-$J84)/('01 Control'!$C$31/(1+'01 Control'!$C$6)))</f>
        <v/>
      </c>
      <c r="Y84" s="183">
        <f>IF(ISNUMBER($Q84),$Q84,0)*N($U84)</f>
        <v/>
      </c>
      <c r="Z84" s="183">
        <f>IF(ISNUMBER($H84),$H84,0)*N($U84)</f>
        <v/>
      </c>
      <c r="AA84" s="183">
        <f>IF(ISNUMBER($I84),$I84,0)*N($U84)</f>
        <v/>
      </c>
      <c r="AB84" s="184" t="inlineStr">
        <is>
          <t>No board price - model recommendation only</t>
        </is>
      </c>
    </row>
    <row r="85" ht="19.4" customHeight="1" s="106">
      <c r="A85" s="134" t="inlineStr">
        <is>
          <t>PP-SEA-Y3W-CURR</t>
        </is>
      </c>
      <c r="B85" s="113" t="inlineStr">
        <is>
          <t>Durban-Curry Beef (return)</t>
        </is>
      </c>
      <c r="C85" s="138" t="inlineStr">
        <is>
          <t>Seasonal - Year 3</t>
        </is>
      </c>
      <c r="D85" s="138" t="inlineStr">
        <is>
          <t>Winter (Jun-Aug) - Fan Favourites</t>
        </is>
      </c>
      <c r="E85" s="180" t="inlineStr">
        <is>
          <t>Rigatoni</t>
        </is>
      </c>
      <c r="F85" s="138" t="inlineStr">
        <is>
          <t>Bokgat Base</t>
        </is>
      </c>
      <c r="G85" s="138" t="inlineStr">
        <is>
          <t>Durban Curry-Tomato Base (seasonal CK)</t>
        </is>
      </c>
      <c r="H85" s="150">
        <f>SUMIFS('11 Seasonal Menu BOM'!$K$5:$K$365,'11 Seasonal Menu BOM'!$A$5:$A$365,$A85)-$I85</f>
        <v/>
      </c>
      <c r="I85" s="150">
        <f>SUMIFS('11 Seasonal Menu BOM'!$K$5:$K$365,'11 Seasonal Menu BOM'!$A$5:$A$365,$A85,'11 Seasonal Menu BOM'!$D$5:$D$365,"Packaging")</f>
        <v/>
      </c>
      <c r="J85" s="181">
        <f>$H85+$I85</f>
        <v/>
      </c>
      <c r="K85" s="150">
        <f>$H85*'01 Control'!$C$16</f>
        <v/>
      </c>
      <c r="L85" s="150">
        <f>$J85+$K85</f>
        <v/>
      </c>
      <c r="M85" s="153">
        <f>'01 Control'!$C$18</f>
        <v/>
      </c>
      <c r="N85" s="150">
        <f>IF($J85=0,"",$J85/(1-$M85))</f>
        <v/>
      </c>
      <c r="O85" s="150">
        <f>IF($N85="","",$N85*(1+'01 Control'!$C$6))</f>
        <v/>
      </c>
      <c r="P85" s="148" t="n"/>
      <c r="Q85" s="151">
        <f>IF(N($P85)&gt;0,$P85,IF($O85="","",$O85))</f>
        <v/>
      </c>
      <c r="R85" s="182">
        <f>IF(OR($Q85="",$Q85=0),"",($Q85/(1+'01 Control'!$C$6)-$J85)/($Q85/(1+'01 Control'!$C$6)))</f>
        <v/>
      </c>
      <c r="S85" s="152">
        <f>COUNTIFS('11 Seasonal Menu BOM'!$A$5:$A$365,$A85)-COUNTIFS('11 Seasonal Menu BOM'!$A$5:$A$365,$A85,'11 Seasonal Menu BOM'!$I$5:$I$365,"&gt;=0")</f>
        <v/>
      </c>
      <c r="T85" s="162">
        <f>IF($S85&gt;0,"INCOMPLETE - "&amp;$S85&amp;" line(s) unpriced",IF($J85=0,"BOM COST MISSING",IF($R85&lt;$M85-0.02,"BELOW GP TARGET","READY")))</f>
        <v/>
      </c>
      <c r="U85" s="146" t="n">
        <v>0</v>
      </c>
      <c r="V85" s="153">
        <f>IF($J85=0,"",('01 Control'!$C$29/(1+'01 Control'!$C$6)-$J85)/('01 Control'!$C$29/(1+'01 Control'!$C$6)))</f>
        <v/>
      </c>
      <c r="W85" s="153">
        <f>IF($J85=0,"",('01 Control'!$C$30/(1+'01 Control'!$C$6)-$J85)/('01 Control'!$C$30/(1+'01 Control'!$C$6)))</f>
        <v/>
      </c>
      <c r="X85" s="153">
        <f>IF($J85=0,"",('01 Control'!$C$31/(1+'01 Control'!$C$6)-$J85)/('01 Control'!$C$31/(1+'01 Control'!$C$6)))</f>
        <v/>
      </c>
      <c r="Y85" s="183">
        <f>IF(ISNUMBER($Q85),$Q85,0)*N($U85)</f>
        <v/>
      </c>
      <c r="Z85" s="183">
        <f>IF(ISNUMBER($H85),$H85,0)*N($U85)</f>
        <v/>
      </c>
      <c r="AA85" s="183">
        <f>IF(ISNUMBER($I85),$I85,0)*N($U85)</f>
        <v/>
      </c>
      <c r="AB85" s="184" t="inlineStr">
        <is>
          <t>No board price - model recommendation only</t>
        </is>
      </c>
    </row>
    <row r="86" ht="19.4" customHeight="1" s="106">
      <c r="A86" s="134" t="inlineStr">
        <is>
          <t>PP-SEA-Y3W-BOER</t>
        </is>
      </c>
      <c r="B86" s="113" t="inlineStr">
        <is>
          <t>Boerewors Beef Ragu (return)</t>
        </is>
      </c>
      <c r="C86" s="138" t="inlineStr">
        <is>
          <t>Seasonal - Year 3</t>
        </is>
      </c>
      <c r="D86" s="138" t="inlineStr">
        <is>
          <t>Winter (Jun-Aug) - Fan Favourites</t>
        </is>
      </c>
      <c r="E86" s="180" t="inlineStr">
        <is>
          <t>Rigatoni</t>
        </is>
      </c>
      <c r="F86" s="138" t="inlineStr">
        <is>
          <t>Bokgat Base</t>
        </is>
      </c>
      <c r="G86" s="138" t="inlineStr">
        <is>
          <t>Papa's Bolognese</t>
        </is>
      </c>
      <c r="H86" s="150">
        <f>SUMIFS('11 Seasonal Menu BOM'!$K$5:$K$365,'11 Seasonal Menu BOM'!$A$5:$A$365,$A86)-$I86</f>
        <v/>
      </c>
      <c r="I86" s="150">
        <f>SUMIFS('11 Seasonal Menu BOM'!$K$5:$K$365,'11 Seasonal Menu BOM'!$A$5:$A$365,$A86,'11 Seasonal Menu BOM'!$D$5:$D$365,"Packaging")</f>
        <v/>
      </c>
      <c r="J86" s="181">
        <f>$H86+$I86</f>
        <v/>
      </c>
      <c r="K86" s="150">
        <f>$H86*'01 Control'!$C$16</f>
        <v/>
      </c>
      <c r="L86" s="150">
        <f>$J86+$K86</f>
        <v/>
      </c>
      <c r="M86" s="153">
        <f>'01 Control'!$C$18</f>
        <v/>
      </c>
      <c r="N86" s="150">
        <f>IF($J86=0,"",$J86/(1-$M86))</f>
        <v/>
      </c>
      <c r="O86" s="150">
        <f>IF($N86="","",$N86*(1+'01 Control'!$C$6))</f>
        <v/>
      </c>
      <c r="P86" s="148" t="n"/>
      <c r="Q86" s="151">
        <f>IF(N($P86)&gt;0,$P86,IF($O86="","",$O86))</f>
        <v/>
      </c>
      <c r="R86" s="182">
        <f>IF(OR($Q86="",$Q86=0),"",($Q86/(1+'01 Control'!$C$6)-$J86)/($Q86/(1+'01 Control'!$C$6)))</f>
        <v/>
      </c>
      <c r="S86" s="152">
        <f>COUNTIFS('11 Seasonal Menu BOM'!$A$5:$A$365,$A86)-COUNTIFS('11 Seasonal Menu BOM'!$A$5:$A$365,$A86,'11 Seasonal Menu BOM'!$I$5:$I$365,"&gt;=0")</f>
        <v/>
      </c>
      <c r="T86" s="162">
        <f>IF($S86&gt;0,"INCOMPLETE - "&amp;$S86&amp;" line(s) unpriced",IF($J86=0,"BOM COST MISSING",IF($R86&lt;$M86-0.02,"BELOW GP TARGET","READY")))</f>
        <v/>
      </c>
      <c r="U86" s="146" t="n">
        <v>0</v>
      </c>
      <c r="V86" s="153">
        <f>IF($J86=0,"",('01 Control'!$C$29/(1+'01 Control'!$C$6)-$J86)/('01 Control'!$C$29/(1+'01 Control'!$C$6)))</f>
        <v/>
      </c>
      <c r="W86" s="153">
        <f>IF($J86=0,"",('01 Control'!$C$30/(1+'01 Control'!$C$6)-$J86)/('01 Control'!$C$30/(1+'01 Control'!$C$6)))</f>
        <v/>
      </c>
      <c r="X86" s="153">
        <f>IF($J86=0,"",('01 Control'!$C$31/(1+'01 Control'!$C$6)-$J86)/('01 Control'!$C$31/(1+'01 Control'!$C$6)))</f>
        <v/>
      </c>
      <c r="Y86" s="183">
        <f>IF(ISNUMBER($Q86),$Q86,0)*N($U86)</f>
        <v/>
      </c>
      <c r="Z86" s="183">
        <f>IF(ISNUMBER($H86),$H86,0)*N($U86)</f>
        <v/>
      </c>
      <c r="AA86" s="183">
        <f>IF(ISNUMBER($I86),$I86,0)*N($U86)</f>
        <v/>
      </c>
      <c r="AB86" s="184" t="inlineStr">
        <is>
          <t>No board price - model recommendation only</t>
        </is>
      </c>
    </row>
    <row r="87" ht="19.4" customHeight="1" s="106">
      <c r="A87" s="134" t="inlineStr">
        <is>
          <t>PP-SEA-Y3W-TRUF</t>
        </is>
      </c>
      <c r="B87" s="113" t="inlineStr">
        <is>
          <t>Truffle-Mushroom Boscaiola</t>
        </is>
      </c>
      <c r="C87" s="138" t="inlineStr">
        <is>
          <t>Seasonal - Year 3</t>
        </is>
      </c>
      <c r="D87" s="138" t="inlineStr">
        <is>
          <t>Winter (Jun-Aug) - Fan Favourites</t>
        </is>
      </c>
      <c r="E87" s="180" t="inlineStr">
        <is>
          <t>Fusilli</t>
        </is>
      </c>
      <c r="F87" s="138" t="inlineStr">
        <is>
          <t>Farmhouse</t>
        </is>
      </c>
      <c r="G87" s="138" t="inlineStr">
        <is>
          <t>Boscaiola</t>
        </is>
      </c>
      <c r="H87" s="150">
        <f>SUMIFS('11 Seasonal Menu BOM'!$K$5:$K$365,'11 Seasonal Menu BOM'!$A$5:$A$365,$A87)-$I87</f>
        <v/>
      </c>
      <c r="I87" s="150">
        <f>SUMIFS('11 Seasonal Menu BOM'!$K$5:$K$365,'11 Seasonal Menu BOM'!$A$5:$A$365,$A87,'11 Seasonal Menu BOM'!$D$5:$D$365,"Packaging")</f>
        <v/>
      </c>
      <c r="J87" s="181">
        <f>$H87+$I87</f>
        <v/>
      </c>
      <c r="K87" s="150">
        <f>$H87*'01 Control'!$C$16</f>
        <v/>
      </c>
      <c r="L87" s="150">
        <f>$J87+$K87</f>
        <v/>
      </c>
      <c r="M87" s="153">
        <f>'01 Control'!$C$18</f>
        <v/>
      </c>
      <c r="N87" s="150">
        <f>IF($J87=0,"",$J87/(1-$M87))</f>
        <v/>
      </c>
      <c r="O87" s="150">
        <f>IF($N87="","",$N87*(1+'01 Control'!$C$6))</f>
        <v/>
      </c>
      <c r="P87" s="148" t="n"/>
      <c r="Q87" s="151">
        <f>IF(N($P87)&gt;0,$P87,IF($O87="","",$O87))</f>
        <v/>
      </c>
      <c r="R87" s="182">
        <f>IF(OR($Q87="",$Q87=0),"",($Q87/(1+'01 Control'!$C$6)-$J87)/($Q87/(1+'01 Control'!$C$6)))</f>
        <v/>
      </c>
      <c r="S87" s="152">
        <f>COUNTIFS('11 Seasonal Menu BOM'!$A$5:$A$365,$A87)-COUNTIFS('11 Seasonal Menu BOM'!$A$5:$A$365,$A87,'11 Seasonal Menu BOM'!$I$5:$I$365,"&gt;=0")</f>
        <v/>
      </c>
      <c r="T87" s="162">
        <f>IF($S87&gt;0,"INCOMPLETE - "&amp;$S87&amp;" line(s) unpriced",IF($J87=0,"BOM COST MISSING",IF($R87&lt;$M87-0.02,"BELOW GP TARGET","READY")))</f>
        <v/>
      </c>
      <c r="U87" s="146" t="n">
        <v>0</v>
      </c>
      <c r="V87" s="153">
        <f>IF($J87=0,"",('01 Control'!$C$29/(1+'01 Control'!$C$6)-$J87)/('01 Control'!$C$29/(1+'01 Control'!$C$6)))</f>
        <v/>
      </c>
      <c r="W87" s="153">
        <f>IF($J87=0,"",('01 Control'!$C$30/(1+'01 Control'!$C$6)-$J87)/('01 Control'!$C$30/(1+'01 Control'!$C$6)))</f>
        <v/>
      </c>
      <c r="X87" s="153">
        <f>IF($J87=0,"",('01 Control'!$C$31/(1+'01 Control'!$C$6)-$J87)/('01 Control'!$C$31/(1+'01 Control'!$C$6)))</f>
        <v/>
      </c>
      <c r="Y87" s="183">
        <f>IF(ISNUMBER($Q87),$Q87,0)*N($U87)</f>
        <v/>
      </c>
      <c r="Z87" s="183">
        <f>IF(ISNUMBER($H87),$H87,0)*N($U87)</f>
        <v/>
      </c>
      <c r="AA87" s="183">
        <f>IF(ISNUMBER($I87),$I87,0)*N($U87)</f>
        <v/>
      </c>
      <c r="AB87" s="184" t="inlineStr">
        <is>
          <t>No board price - model recommendation only</t>
        </is>
      </c>
    </row>
    <row r="88" ht="19.4" customHeight="1" s="106">
      <c r="A88" s="134" t="inlineStr">
        <is>
          <t>PP-SEA-Y3P-PEA</t>
        </is>
      </c>
      <c r="B88" s="113" t="inlineStr">
        <is>
          <t>Pea, Mint &amp; Ricotta</t>
        </is>
      </c>
      <c r="C88" s="138" t="inlineStr">
        <is>
          <t>Seasonal - Year 3</t>
        </is>
      </c>
      <c r="D88" s="138" t="inlineStr">
        <is>
          <t>Spring (Sep-Nov) - The Garden</t>
        </is>
      </c>
      <c r="E88" s="180" t="inlineStr">
        <is>
          <t>Fusilli</t>
        </is>
      </c>
      <c r="F88" s="138" t="inlineStr">
        <is>
          <t>Bokgat Base</t>
        </is>
      </c>
      <c r="G88" s="138" t="inlineStr">
        <is>
          <t>Creamy Alfredo</t>
        </is>
      </c>
      <c r="H88" s="150">
        <f>SUMIFS('11 Seasonal Menu BOM'!$K$5:$K$365,'11 Seasonal Menu BOM'!$A$5:$A$365,$A88)-$I88</f>
        <v/>
      </c>
      <c r="I88" s="150">
        <f>SUMIFS('11 Seasonal Menu BOM'!$K$5:$K$365,'11 Seasonal Menu BOM'!$A$5:$A$365,$A88,'11 Seasonal Menu BOM'!$D$5:$D$365,"Packaging")</f>
        <v/>
      </c>
      <c r="J88" s="181">
        <f>$H88+$I88</f>
        <v/>
      </c>
      <c r="K88" s="150">
        <f>$H88*'01 Control'!$C$16</f>
        <v/>
      </c>
      <c r="L88" s="150">
        <f>$J88+$K88</f>
        <v/>
      </c>
      <c r="M88" s="153">
        <f>'01 Control'!$C$18</f>
        <v/>
      </c>
      <c r="N88" s="150">
        <f>IF($J88=0,"",$J88/(1-$M88))</f>
        <v/>
      </c>
      <c r="O88" s="150">
        <f>IF($N88="","",$N88*(1+'01 Control'!$C$6))</f>
        <v/>
      </c>
      <c r="P88" s="148" t="n"/>
      <c r="Q88" s="151">
        <f>IF(N($P88)&gt;0,$P88,IF($O88="","",$O88))</f>
        <v/>
      </c>
      <c r="R88" s="182">
        <f>IF(OR($Q88="",$Q88=0),"",($Q88/(1+'01 Control'!$C$6)-$J88)/($Q88/(1+'01 Control'!$C$6)))</f>
        <v/>
      </c>
      <c r="S88" s="152">
        <f>COUNTIFS('11 Seasonal Menu BOM'!$A$5:$A$365,$A88)-COUNTIFS('11 Seasonal Menu BOM'!$A$5:$A$365,$A88,'11 Seasonal Menu BOM'!$I$5:$I$365,"&gt;=0")</f>
        <v/>
      </c>
      <c r="T88" s="162">
        <f>IF($S88&gt;0,"INCOMPLETE - "&amp;$S88&amp;" line(s) unpriced",IF($J88=0,"BOM COST MISSING",IF($R88&lt;$M88-0.02,"BELOW GP TARGET","READY")))</f>
        <v/>
      </c>
      <c r="U88" s="146" t="n">
        <v>0</v>
      </c>
      <c r="V88" s="153">
        <f>IF($J88=0,"",('01 Control'!$C$29/(1+'01 Control'!$C$6)-$J88)/('01 Control'!$C$29/(1+'01 Control'!$C$6)))</f>
        <v/>
      </c>
      <c r="W88" s="153">
        <f>IF($J88=0,"",('01 Control'!$C$30/(1+'01 Control'!$C$6)-$J88)/('01 Control'!$C$30/(1+'01 Control'!$C$6)))</f>
        <v/>
      </c>
      <c r="X88" s="153">
        <f>IF($J88=0,"",('01 Control'!$C$31/(1+'01 Control'!$C$6)-$J88)/('01 Control'!$C$31/(1+'01 Control'!$C$6)))</f>
        <v/>
      </c>
      <c r="Y88" s="183">
        <f>IF(ISNUMBER($Q88),$Q88,0)*N($U88)</f>
        <v/>
      </c>
      <c r="Z88" s="183">
        <f>IF(ISNUMBER($H88),$H88,0)*N($U88)</f>
        <v/>
      </c>
      <c r="AA88" s="183">
        <f>IF(ISNUMBER($I88),$I88,0)*N($U88)</f>
        <v/>
      </c>
      <c r="AB88" s="184" t="inlineStr">
        <is>
          <t>No board price - model recommendation only</t>
        </is>
      </c>
    </row>
    <row r="89" ht="19.4" customHeight="1" s="106">
      <c r="A89" s="134" t="inlineStr">
        <is>
          <t>PP-SEA-Y3P-PRIM</t>
        </is>
      </c>
      <c r="B89" s="113" t="inlineStr">
        <is>
          <t>Roast Veg Primavera</t>
        </is>
      </c>
      <c r="C89" s="138" t="inlineStr">
        <is>
          <t>Seasonal - Year 3</t>
        </is>
      </c>
      <c r="D89" s="138" t="inlineStr">
        <is>
          <t>Spring (Sep-Nov) - The Garden</t>
        </is>
      </c>
      <c r="E89" s="180" t="inlineStr">
        <is>
          <t>Casarecce</t>
        </is>
      </c>
      <c r="F89" s="138" t="inlineStr">
        <is>
          <t>Chickpea Power Pro</t>
        </is>
      </c>
      <c r="G89" s="138" t="inlineStr">
        <is>
          <t>Aglio e Olio Kit</t>
        </is>
      </c>
      <c r="H89" s="150">
        <f>SUMIFS('11 Seasonal Menu BOM'!$K$5:$K$365,'11 Seasonal Menu BOM'!$A$5:$A$365,$A89)-$I89</f>
        <v/>
      </c>
      <c r="I89" s="150">
        <f>SUMIFS('11 Seasonal Menu BOM'!$K$5:$K$365,'11 Seasonal Menu BOM'!$A$5:$A$365,$A89,'11 Seasonal Menu BOM'!$D$5:$D$365,"Packaging")</f>
        <v/>
      </c>
      <c r="J89" s="181">
        <f>$H89+$I89</f>
        <v/>
      </c>
      <c r="K89" s="150">
        <f>$H89*'01 Control'!$C$16</f>
        <v/>
      </c>
      <c r="L89" s="150">
        <f>$J89+$K89</f>
        <v/>
      </c>
      <c r="M89" s="153">
        <f>'01 Control'!$C$18</f>
        <v/>
      </c>
      <c r="N89" s="150">
        <f>IF($J89=0,"",$J89/(1-$M89))</f>
        <v/>
      </c>
      <c r="O89" s="150">
        <f>IF($N89="","",$N89*(1+'01 Control'!$C$6))</f>
        <v/>
      </c>
      <c r="P89" s="148" t="n"/>
      <c r="Q89" s="151">
        <f>IF(N($P89)&gt;0,$P89,IF($O89="","",$O89))</f>
        <v/>
      </c>
      <c r="R89" s="182">
        <f>IF(OR($Q89="",$Q89=0),"",($Q89/(1+'01 Control'!$C$6)-$J89)/($Q89/(1+'01 Control'!$C$6)))</f>
        <v/>
      </c>
      <c r="S89" s="152">
        <f>COUNTIFS('11 Seasonal Menu BOM'!$A$5:$A$365,$A89)-COUNTIFS('11 Seasonal Menu BOM'!$A$5:$A$365,$A89,'11 Seasonal Menu BOM'!$I$5:$I$365,"&gt;=0")</f>
        <v/>
      </c>
      <c r="T89" s="162">
        <f>IF($S89&gt;0,"INCOMPLETE - "&amp;$S89&amp;" line(s) unpriced",IF($J89=0,"BOM COST MISSING",IF($R89&lt;$M89-0.02,"BELOW GP TARGET","READY")))</f>
        <v/>
      </c>
      <c r="U89" s="146" t="n">
        <v>0</v>
      </c>
      <c r="V89" s="153">
        <f>IF($J89=0,"",('01 Control'!$C$29/(1+'01 Control'!$C$6)-$J89)/('01 Control'!$C$29/(1+'01 Control'!$C$6)))</f>
        <v/>
      </c>
      <c r="W89" s="153">
        <f>IF($J89=0,"",('01 Control'!$C$30/(1+'01 Control'!$C$6)-$J89)/('01 Control'!$C$30/(1+'01 Control'!$C$6)))</f>
        <v/>
      </c>
      <c r="X89" s="153">
        <f>IF($J89=0,"",('01 Control'!$C$31/(1+'01 Control'!$C$6)-$J89)/('01 Control'!$C$31/(1+'01 Control'!$C$6)))</f>
        <v/>
      </c>
      <c r="Y89" s="183">
        <f>IF(ISNUMBER($Q89),$Q89,0)*N($U89)</f>
        <v/>
      </c>
      <c r="Z89" s="183">
        <f>IF(ISNUMBER($H89),$H89,0)*N($U89)</f>
        <v/>
      </c>
      <c r="AA89" s="183">
        <f>IF(ISNUMBER($I89),$I89,0)*N($U89)</f>
        <v/>
      </c>
      <c r="AB89" s="184" t="inlineStr">
        <is>
          <t>No board price - model recommendation only</t>
        </is>
      </c>
    </row>
    <row r="90" ht="19.4" customHeight="1" s="106">
      <c r="A90" s="134" t="inlineStr">
        <is>
          <t>PP-SEA-Y3P-ASPA</t>
        </is>
      </c>
      <c r="B90" s="113" t="inlineStr">
        <is>
          <t>Pesto &amp; Asparagus</t>
        </is>
      </c>
      <c r="C90" s="138" t="inlineStr">
        <is>
          <t>Seasonal - Year 3</t>
        </is>
      </c>
      <c r="D90" s="138" t="inlineStr">
        <is>
          <t>Spring (Sep-Nov) - The Garden</t>
        </is>
      </c>
      <c r="E90" s="180" t="inlineStr">
        <is>
          <t>Casarecce</t>
        </is>
      </c>
      <c r="F90" s="138" t="inlineStr">
        <is>
          <t>Protein+ Pro</t>
        </is>
      </c>
      <c r="G90" s="138" t="inlineStr">
        <is>
          <t>Basil Pesto</t>
        </is>
      </c>
      <c r="H90" s="150">
        <f>SUMIFS('11 Seasonal Menu BOM'!$K$5:$K$365,'11 Seasonal Menu BOM'!$A$5:$A$365,$A90)-$I90</f>
        <v/>
      </c>
      <c r="I90" s="150">
        <f>SUMIFS('11 Seasonal Menu BOM'!$K$5:$K$365,'11 Seasonal Menu BOM'!$A$5:$A$365,$A90,'11 Seasonal Menu BOM'!$D$5:$D$365,"Packaging")</f>
        <v/>
      </c>
      <c r="J90" s="181">
        <f>$H90+$I90</f>
        <v/>
      </c>
      <c r="K90" s="150">
        <f>$H90*'01 Control'!$C$16</f>
        <v/>
      </c>
      <c r="L90" s="150">
        <f>$J90+$K90</f>
        <v/>
      </c>
      <c r="M90" s="153">
        <f>'01 Control'!$C$18</f>
        <v/>
      </c>
      <c r="N90" s="150">
        <f>IF($J90=0,"",$J90/(1-$M90))</f>
        <v/>
      </c>
      <c r="O90" s="150">
        <f>IF($N90="","",$N90*(1+'01 Control'!$C$6))</f>
        <v/>
      </c>
      <c r="P90" s="148" t="n"/>
      <c r="Q90" s="151">
        <f>IF(N($P90)&gt;0,$P90,IF($O90="","",$O90))</f>
        <v/>
      </c>
      <c r="R90" s="182">
        <f>IF(OR($Q90="",$Q90=0),"",($Q90/(1+'01 Control'!$C$6)-$J90)/($Q90/(1+'01 Control'!$C$6)))</f>
        <v/>
      </c>
      <c r="S90" s="152">
        <f>COUNTIFS('11 Seasonal Menu BOM'!$A$5:$A$365,$A90)-COUNTIFS('11 Seasonal Menu BOM'!$A$5:$A$365,$A90,'11 Seasonal Menu BOM'!$I$5:$I$365,"&gt;=0")</f>
        <v/>
      </c>
      <c r="T90" s="162">
        <f>IF($S90&gt;0,"INCOMPLETE - "&amp;$S90&amp;" line(s) unpriced",IF($J90=0,"BOM COST MISSING",IF($R90&lt;$M90-0.02,"BELOW GP TARGET","READY")))</f>
        <v/>
      </c>
      <c r="U90" s="146" t="n">
        <v>0</v>
      </c>
      <c r="V90" s="153">
        <f>IF($J90=0,"",('01 Control'!$C$29/(1+'01 Control'!$C$6)-$J90)/('01 Control'!$C$29/(1+'01 Control'!$C$6)))</f>
        <v/>
      </c>
      <c r="W90" s="153">
        <f>IF($J90=0,"",('01 Control'!$C$30/(1+'01 Control'!$C$6)-$J90)/('01 Control'!$C$30/(1+'01 Control'!$C$6)))</f>
        <v/>
      </c>
      <c r="X90" s="153">
        <f>IF($J90=0,"",('01 Control'!$C$31/(1+'01 Control'!$C$6)-$J90)/('01 Control'!$C$31/(1+'01 Control'!$C$6)))</f>
        <v/>
      </c>
      <c r="Y90" s="183">
        <f>IF(ISNUMBER($Q90),$Q90,0)*N($U90)</f>
        <v/>
      </c>
      <c r="Z90" s="183">
        <f>IF(ISNUMBER($H90),$H90,0)*N($U90)</f>
        <v/>
      </c>
      <c r="AA90" s="183">
        <f>IF(ISNUMBER($I90),$I90,0)*N($U90)</f>
        <v/>
      </c>
      <c r="AB90" s="184" t="inlineStr">
        <is>
          <t>No board price - model recommendation only</t>
        </is>
      </c>
    </row>
    <row r="92" ht="15" customHeight="1" s="106">
      <c r="A92" s="135" t="inlineStr">
        <is>
          <t>Reading this sheet: Total Direct Cost is food plus packaging - that is the basis for GP%. Fully Loaded Cost adds a store labour allowance so you can see the true plate economics. Cost Status says READY only when every BOM line behind the dish has a live supplier price. Approve a menu price only against a READY line.</t>
        </is>
      </c>
    </row>
  </sheetData>
  <sheetProtection selectLockedCells="0" selectUnlockedCells="0" sheet="1" objects="0" insertRows="1" insertHyperlinks="1" autoFilter="0" scenarios="0" formatColumns="0" deleteColumns="1" insertColumns="1" pivotTables="1" deleteRows="1" formatCells="0" formatRows="0" sort="0"/>
  <mergeCells count="9">
    <mergeCell ref="A1:T1"/>
    <mergeCell ref="A16:AB16"/>
    <mergeCell ref="A92:L92"/>
    <mergeCell ref="A33:AB33"/>
    <mergeCell ref="A37:AB37"/>
    <mergeCell ref="A2:T2"/>
    <mergeCell ref="A22:AB22"/>
    <mergeCell ref="A4:AB4"/>
    <mergeCell ref="A53:AB5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K59"/>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0" customWidth="1" style="105" min="1" max="1"/>
    <col width="18" customWidth="1" style="105" min="2" max="2"/>
    <col width="16" customWidth="1" style="105" min="3" max="8"/>
    <col width="18" customWidth="1" style="105" min="9" max="10"/>
    <col width="46" customWidth="1" style="105" min="11" max="11"/>
  </cols>
  <sheetData>
    <row r="1" ht="30" customHeight="1" s="106">
      <c r="A1" s="107" t="inlineStr">
        <is>
          <t>NETWORK ECONOMICS  -  STORE P&amp;L AND CENTRAL KITCHEN MARGIN</t>
        </is>
      </c>
    </row>
    <row r="2" ht="18" customHeight="1" s="106">
      <c r="A2" s="108" t="inlineStr">
        <is>
          <t>Volume in, money out. Everything here is driven by the four volume inputs on 01 Control and the MENU MIX % column on 12 Final Menu. Change a make point on 06/07/08 and both halves of this tab move: the store's food cost and the CK's revenue.</t>
        </is>
      </c>
    </row>
    <row r="4" ht="15" customHeight="1" s="106">
      <c r="A4" s="109" t="inlineStr">
        <is>
          <t>VOLUME  -  from 01 Control and the MENU MIX % on 12 Final Menu</t>
        </is>
      </c>
      <c r="B4" s="110" t="n"/>
      <c r="C4" s="110" t="n"/>
      <c r="D4" s="110" t="n"/>
      <c r="E4" s="110" t="n"/>
      <c r="F4" s="110" t="n"/>
      <c r="G4" s="110" t="n"/>
      <c r="H4" s="110" t="n"/>
      <c r="I4" s="110" t="n"/>
      <c r="J4" s="110" t="n"/>
      <c r="K4" s="111" t="n"/>
    </row>
    <row r="5" ht="15" customHeight="1" s="106">
      <c r="A5" s="113" t="inlineStr">
        <is>
          <t>Servings per store per day</t>
        </is>
      </c>
      <c r="B5" s="186">
        <f>'01 Control'!$C$26</f>
        <v/>
      </c>
    </row>
    <row r="6" ht="15" customHeight="1" s="106">
      <c r="A6" s="113" t="inlineStr">
        <is>
          <t>Trading days per month</t>
        </is>
      </c>
      <c r="B6" s="186">
        <f>'01 Control'!$C$27</f>
        <v/>
      </c>
    </row>
    <row r="7" ht="15" customHeight="1" s="106">
      <c r="A7" s="113" t="inlineStr">
        <is>
          <t>Servings per store per month</t>
        </is>
      </c>
      <c r="B7" s="186">
        <f>$B$5*$B$6</f>
        <v/>
      </c>
    </row>
    <row r="8" ht="15" customHeight="1" s="106">
      <c r="A8" s="113" t="inlineStr">
        <is>
          <t>Stores in the network</t>
        </is>
      </c>
      <c r="B8" s="186">
        <f>'01 Control'!$C$28</f>
        <v/>
      </c>
    </row>
    <row r="9" ht="15" customHeight="1" s="106">
      <c r="A9" s="113" t="inlineStr">
        <is>
          <t>Servings per month, whole network</t>
        </is>
      </c>
      <c r="B9" s="186">
        <f>$B$7*$B$8</f>
        <v/>
      </c>
    </row>
    <row r="10" ht="15" customHeight="1" s="106">
      <c r="A10" s="113" t="inlineStr">
        <is>
          <t>Menu mix total (must be 100%)</t>
        </is>
      </c>
      <c r="B10" s="187">
        <f>SUM('12 Final Menu'!$U$5:$U$200)</f>
        <v/>
      </c>
      <c r="C10" s="188">
        <f>IF(ROUND($B$10,4)=1,"OK","FIX THE MIX ON 12 FINAL MENU - it must sum to 100%")</f>
        <v/>
      </c>
    </row>
    <row r="12" ht="15" customHeight="1" s="106">
      <c r="A12" s="128" t="inlineStr">
        <is>
          <t>STORE P&amp;L  -  one store, one month, at the mix and volume above</t>
        </is>
      </c>
      <c r="B12" s="110" t="n"/>
      <c r="C12" s="110" t="n"/>
      <c r="D12" s="110" t="n"/>
      <c r="E12" s="110" t="n"/>
      <c r="F12" s="110" t="n"/>
      <c r="G12" s="110" t="n"/>
      <c r="H12" s="110" t="n"/>
      <c r="I12" s="110" t="n"/>
      <c r="J12" s="110" t="n"/>
      <c r="K12" s="111" t="n"/>
    </row>
    <row r="13" ht="25.5" customHeight="1" s="106">
      <c r="A13" s="112" t="inlineStr">
        <is>
          <t>Line</t>
        </is>
      </c>
      <c r="B13" s="112" t="inlineStr">
        <is>
          <t>Per Serving</t>
        </is>
      </c>
      <c r="C13" s="112" t="inlineStr">
        <is>
          <t>Per Store / Month</t>
        </is>
      </c>
      <c r="D13" s="112" t="inlineStr">
        <is>
          <t>% of Revenue</t>
        </is>
      </c>
      <c r="E13" s="112" t="n"/>
      <c r="F13" s="112" t="n"/>
      <c r="G13" s="112" t="n"/>
      <c r="H13" s="112" t="n"/>
      <c r="I13" s="112" t="n"/>
      <c r="J13" s="112" t="n"/>
      <c r="K13" s="112" t="inlineStr">
        <is>
          <t>Note</t>
        </is>
      </c>
    </row>
    <row r="14" ht="19.4" customHeight="1" s="106">
      <c r="A14" s="113" t="inlineStr">
        <is>
          <t>Revenue (incl VAT)</t>
        </is>
      </c>
      <c r="B14" s="150">
        <f>SUM('12 Final Menu'!$Y$5:$Y$200)</f>
        <v/>
      </c>
      <c r="C14" s="150">
        <f>$B14*$B$7</f>
        <v/>
      </c>
      <c r="D14" s="153">
        <f>IF($B$15=0,"",$B14/$B$15)</f>
        <v/>
      </c>
      <c r="K14" s="116" t="inlineStr">
        <is>
          <t>Weighted average menu price x servings. Uses FINAL SELL on 12 Final Menu.</t>
        </is>
      </c>
    </row>
    <row r="15" ht="15" customHeight="1" s="106">
      <c r="A15" s="113" t="inlineStr">
        <is>
          <t>Revenue (excl VAT)</t>
        </is>
      </c>
      <c r="B15" s="150">
        <f>$B$14/(1+'01 Control'!$C$6)</f>
        <v/>
      </c>
      <c r="C15" s="150">
        <f>$B15*$B$7</f>
        <v/>
      </c>
      <c r="D15" s="153">
        <f>IF($B$15=0,"",$B15/$B$15)</f>
        <v/>
      </c>
      <c r="K15" s="116" t="inlineStr">
        <is>
          <t>What the business actually earns. VAT rate is on 01 Control.</t>
        </is>
      </c>
    </row>
    <row r="16" ht="19.4" customHeight="1" s="106">
      <c r="A16" s="113" t="inlineStr">
        <is>
          <t>Pasta, sauce and food cost</t>
        </is>
      </c>
      <c r="B16" s="150">
        <f>SUM('12 Final Menu'!$Z$5:$Z$200)</f>
        <v/>
      </c>
      <c r="C16" s="150">
        <f>$B16*$B$7</f>
        <v/>
      </c>
      <c r="D16" s="153">
        <f>IF($B$15=0,"",$B16/$B$15)</f>
        <v/>
      </c>
      <c r="K16" s="116" t="inlineStr">
        <is>
          <t>Follows the make points. Switch a component to IN-STORE and this moves.</t>
        </is>
      </c>
    </row>
    <row r="17" ht="15" customHeight="1" s="106">
      <c r="A17" s="113" t="inlineStr">
        <is>
          <t>Packaging cost</t>
        </is>
      </c>
      <c r="B17" s="150">
        <f>SUM('12 Final Menu'!$AA$5:$AA$200)</f>
        <v/>
      </c>
      <c r="C17" s="150">
        <f>$B17*$B$7</f>
        <v/>
      </c>
      <c r="D17" s="153">
        <f>IF($B$15=0,"",$B17/$B$15)</f>
        <v/>
      </c>
      <c r="K17" s="116" t="inlineStr">
        <is>
          <t>From 05 Packaging Master via the menu BOMs.</t>
        </is>
      </c>
    </row>
    <row r="18" ht="15" customHeight="1" s="106">
      <c r="A18" s="113" t="inlineStr">
        <is>
          <t>Total direct cost</t>
        </is>
      </c>
      <c r="B18" s="150">
        <f>$B$16+$B$17</f>
        <v/>
      </c>
      <c r="C18" s="150">
        <f>$B18*$B$7</f>
        <v/>
      </c>
      <c r="D18" s="153">
        <f>IF($B$15=0,"",$B18/$B$15)</f>
        <v/>
      </c>
      <c r="K18" s="116" t="inlineStr">
        <is>
          <t>Food plus packaging - the GP basis.</t>
        </is>
      </c>
    </row>
    <row r="19" ht="15" customHeight="1" s="106">
      <c r="A19" s="134" t="inlineStr">
        <is>
          <t>GROSS PROFIT</t>
        </is>
      </c>
      <c r="B19" s="151">
        <f>$B$15-$B$18</f>
        <v/>
      </c>
      <c r="C19" s="151">
        <f>$B19*$B$7</f>
        <v/>
      </c>
      <c r="D19" s="153">
        <f>IF($B$15=0,"",$B19/$B$15)</f>
        <v/>
      </c>
      <c r="K19" s="116" t="inlineStr">
        <is>
          <t>Revenue excl VAT less direct cost.</t>
        </is>
      </c>
    </row>
    <row r="20" ht="19.4" customHeight="1" s="106">
      <c r="A20" s="113" t="inlineStr">
        <is>
          <t>Store labour allowance</t>
        </is>
      </c>
      <c r="B20" s="150">
        <f>$B$16*'01 Control'!$C$16</f>
        <v/>
      </c>
      <c r="C20" s="150">
        <f>$B20*$B$7</f>
        <v/>
      </c>
      <c r="D20" s="153">
        <f>IF($B$15=0,"",$B20/$B$15)</f>
        <v/>
      </c>
      <c r="K20" s="116" t="inlineStr">
        <is>
          <t>Percentage of food cost, set on 01 Control. Not a full wage bill - an allowance.</t>
        </is>
      </c>
    </row>
    <row r="21" ht="15" customHeight="1" s="106">
      <c r="A21" s="134" t="inlineStr">
        <is>
          <t>CONTRIBUTION after labour</t>
        </is>
      </c>
      <c r="B21" s="151">
        <f>$B$19-$B$20</f>
        <v/>
      </c>
      <c r="C21" s="151">
        <f>$B21*$B$7</f>
        <v/>
      </c>
      <c r="D21" s="153">
        <f>IF($B$15=0,"",$B21/$B$15)</f>
        <v/>
      </c>
      <c r="K21" s="116" t="inlineStr">
        <is>
          <t>Before rent, utilities, royalties and marketing. Not net profit.</t>
        </is>
      </c>
    </row>
    <row r="24" ht="15" customHeight="1" s="106">
      <c r="A24" s="185" t="inlineStr">
        <is>
          <t>CENTRAL KITCHEN  -  what the franchisor earns on every component it makes</t>
        </is>
      </c>
      <c r="B24" s="110" t="n"/>
      <c r="C24" s="110" t="n"/>
      <c r="D24" s="110" t="n"/>
      <c r="E24" s="110" t="n"/>
      <c r="F24" s="110" t="n"/>
      <c r="G24" s="110" t="n"/>
      <c r="H24" s="110" t="n"/>
      <c r="I24" s="110" t="n"/>
      <c r="J24" s="110" t="n"/>
      <c r="K24" s="111" t="n"/>
    </row>
    <row r="25" ht="39.75" customHeight="1" s="106">
      <c r="A25" s="112" t="inlineStr">
        <is>
          <t>Component</t>
        </is>
      </c>
      <c r="B25" s="112" t="inlineStr">
        <is>
          <t>Make Point</t>
        </is>
      </c>
      <c r="C25" s="112" t="inlineStr">
        <is>
          <t>Grams per
1,000 Servings</t>
        </is>
      </c>
      <c r="D25" s="112" t="inlineStr">
        <is>
          <t>kg per Store
/ Month</t>
        </is>
      </c>
      <c r="E25" s="112" t="inlineStr">
        <is>
          <t>kg per Network
/ Month</t>
        </is>
      </c>
      <c r="F25" s="112" t="inlineStr">
        <is>
          <t>Batches per
Network / Month</t>
        </is>
      </c>
      <c r="G25" s="112" t="inlineStr">
        <is>
          <t>CK Revenue
/ Month</t>
        </is>
      </c>
      <c r="H25" s="112" t="inlineStr">
        <is>
          <t>CK Cost
/ Month</t>
        </is>
      </c>
      <c r="I25" s="112" t="inlineStr">
        <is>
          <t>CK MARGIN
/ Month</t>
        </is>
      </c>
      <c r="J25" s="112" t="inlineStr">
        <is>
          <t>Store Machine
Hours / Month</t>
        </is>
      </c>
      <c r="K25" s="112" t="inlineStr">
        <is>
          <t>Note</t>
        </is>
      </c>
    </row>
    <row r="26" ht="19.4" customHeight="1" s="106">
      <c r="A26" s="113" t="inlineStr">
        <is>
          <t>Bokgat Base (dough)  -  PP-DOUGH-BOKGAT</t>
        </is>
      </c>
      <c r="B26" s="189">
        <f>'06 Pasta Dough BOM'!$D$47</f>
        <v/>
      </c>
      <c r="C26" s="165">
        <f>SUMIF('10 Core Menu BOM'!$E$5:$E$300,"PP-DOUGH-BOKGAT",'10 Core Menu BOM'!$N$5:$N$300)+SUMIF('11 Seasonal Menu BOM'!$E$5:$E$365,"PP-DOUGH-BOKGAT",'11 Seasonal Menu BOM'!$N$5:$N$365)</f>
        <v/>
      </c>
      <c r="D26" s="165">
        <f>$C26/1000*$B$7/1000</f>
        <v/>
      </c>
      <c r="E26" s="165">
        <f>$D26*'01 Control'!$C$28</f>
        <v/>
      </c>
      <c r="F26" s="165">
        <f>IF('06 Pasta Dough BOM'!$D$28=0,"",$E26*1000/'06 Pasta Dough BOM'!$D$28)</f>
        <v/>
      </c>
      <c r="G26" s="150">
        <f>IF(OR('06 Pasta Dough BOM'!$D$47&lt;&gt;"CENTRAL KITCHEN",'06 Pasta Dough BOM'!$D$56=""),0,$E26*1000/'01 Control'!$C$8*'06 Pasta Dough BOM'!$D$56)</f>
        <v/>
      </c>
      <c r="H26" s="150">
        <f>$G26-$I26</f>
        <v/>
      </c>
      <c r="I26" s="151">
        <f>IF(OR('06 Pasta Dough BOM'!$D$47&lt;&gt;"CENTRAL KITCHEN",'06 Pasta Dough BOM'!$D$61=""),0,$E26*1000/'01 Control'!$C$8*'06 Pasta Dough BOM'!$D$61)</f>
        <v/>
      </c>
      <c r="J26" s="165">
        <f>IF('06 Pasta Dough BOM'!$D$47&lt;&gt;"IN-STORE",0,$D26*1000/'06 Pasta Dough BOM'!$D$28*0.6)</f>
        <v/>
      </c>
      <c r="K26" s="116" t="inlineStr">
        <is>
          <t>Made in store - no CK revenue, but it uses store machine time and labour.</t>
        </is>
      </c>
    </row>
    <row r="27" ht="15" customHeight="1" s="106">
      <c r="A27" s="113" t="inlineStr">
        <is>
          <t>Protein+ Pro (dough)  -  PP-DOUGH-PROTEIN</t>
        </is>
      </c>
      <c r="B27" s="189">
        <f>'06 Pasta Dough BOM'!$D$101</f>
        <v/>
      </c>
      <c r="C27" s="165">
        <f>SUMIF('10 Core Menu BOM'!$E$5:$E$300,"PP-DOUGH-PROTEIN",'10 Core Menu BOM'!$N$5:$N$300)+SUMIF('11 Seasonal Menu BOM'!$E$5:$E$365,"PP-DOUGH-PROTEIN",'11 Seasonal Menu BOM'!$N$5:$N$365)</f>
        <v/>
      </c>
      <c r="D27" s="165">
        <f>$C27/1000*$B$7/1000</f>
        <v/>
      </c>
      <c r="E27" s="165">
        <f>$D27*'01 Control'!$C$28</f>
        <v/>
      </c>
      <c r="F27" s="165">
        <f>IF('06 Pasta Dough BOM'!$D$82=0,"",$E27*1000/'06 Pasta Dough BOM'!$D$82)</f>
        <v/>
      </c>
      <c r="G27" s="150">
        <f>IF(OR('06 Pasta Dough BOM'!$D$101&lt;&gt;"CENTRAL KITCHEN",'06 Pasta Dough BOM'!$D$110=""),0,$E27*1000/'01 Control'!$C$8*'06 Pasta Dough BOM'!$D$110)</f>
        <v/>
      </c>
      <c r="H27" s="150">
        <f>$G27-$I27</f>
        <v/>
      </c>
      <c r="I27" s="151">
        <f>IF(OR('06 Pasta Dough BOM'!$D$101&lt;&gt;"CENTRAL KITCHEN",'06 Pasta Dough BOM'!$D$115=""),0,$E27*1000/'01 Control'!$C$8*'06 Pasta Dough BOM'!$D$115)</f>
        <v/>
      </c>
      <c r="J27" s="165">
        <f>IF('06 Pasta Dough BOM'!$D$101&lt;&gt;"IN-STORE",0,$D27*1000/'06 Pasta Dough BOM'!$D$82*0.6)</f>
        <v/>
      </c>
      <c r="K27" s="116" t="n"/>
    </row>
    <row r="28" ht="15" customHeight="1" s="106">
      <c r="A28" s="113" t="inlineStr">
        <is>
          <t>Farmhouse (dough)  -  PP-DOUGH-FARMHOUSE</t>
        </is>
      </c>
      <c r="B28" s="189">
        <f>'06 Pasta Dough BOM'!$D$155</f>
        <v/>
      </c>
      <c r="C28" s="165">
        <f>SUMIF('10 Core Menu BOM'!$E$5:$E$300,"PP-DOUGH-FARMHOUSE",'10 Core Menu BOM'!$N$5:$N$300)+SUMIF('11 Seasonal Menu BOM'!$E$5:$E$365,"PP-DOUGH-FARMHOUSE",'11 Seasonal Menu BOM'!$N$5:$N$365)</f>
        <v/>
      </c>
      <c r="D28" s="165">
        <f>$C28/1000*$B$7/1000</f>
        <v/>
      </c>
      <c r="E28" s="165">
        <f>$D28*'01 Control'!$C$28</f>
        <v/>
      </c>
      <c r="F28" s="165">
        <f>IF('06 Pasta Dough BOM'!$D$136=0,"",$E28*1000/'06 Pasta Dough BOM'!$D$136)</f>
        <v/>
      </c>
      <c r="G28" s="150">
        <f>IF(OR('06 Pasta Dough BOM'!$D$155&lt;&gt;"CENTRAL KITCHEN",'06 Pasta Dough BOM'!$D$164=""),0,$E28*1000/'01 Control'!$C$8*'06 Pasta Dough BOM'!$D$164)</f>
        <v/>
      </c>
      <c r="H28" s="150">
        <f>$G28-$I28</f>
        <v/>
      </c>
      <c r="I28" s="151">
        <f>IF(OR('06 Pasta Dough BOM'!$D$155&lt;&gt;"CENTRAL KITCHEN",'06 Pasta Dough BOM'!$D$169=""),0,$E28*1000/'01 Control'!$C$8*'06 Pasta Dough BOM'!$D$169)</f>
        <v/>
      </c>
      <c r="J28" s="165">
        <f>IF('06 Pasta Dough BOM'!$D$155&lt;&gt;"IN-STORE",0,$D28*1000/'06 Pasta Dough BOM'!$D$136*0.6)</f>
        <v/>
      </c>
      <c r="K28" s="116" t="n"/>
    </row>
    <row r="29" ht="15" customHeight="1" s="106">
      <c r="A29" s="113" t="inlineStr">
        <is>
          <t>Chickpea Power Pro (dough)  -  PP-DOUGH-CHICKPEA</t>
        </is>
      </c>
      <c r="B29" s="189">
        <f>'06 Pasta Dough BOM'!$D$208</f>
        <v/>
      </c>
      <c r="C29" s="165">
        <f>SUMIF('10 Core Menu BOM'!$E$5:$E$300,"PP-DOUGH-CHICKPEA",'10 Core Menu BOM'!$N$5:$N$300)+SUMIF('11 Seasonal Menu BOM'!$E$5:$E$365,"PP-DOUGH-CHICKPEA",'11 Seasonal Menu BOM'!$N$5:$N$365)</f>
        <v/>
      </c>
      <c r="D29" s="165">
        <f>$C29/1000*$B$7/1000</f>
        <v/>
      </c>
      <c r="E29" s="165">
        <f>$D29*'01 Control'!$C$28</f>
        <v/>
      </c>
      <c r="F29" s="165">
        <f>IF('06 Pasta Dough BOM'!$D$189=0,"",$E29*1000/'06 Pasta Dough BOM'!$D$189)</f>
        <v/>
      </c>
      <c r="G29" s="150">
        <f>IF(OR('06 Pasta Dough BOM'!$D$208&lt;&gt;"CENTRAL KITCHEN",'06 Pasta Dough BOM'!$D$217=""),0,$E29*1000/'01 Control'!$C$8*'06 Pasta Dough BOM'!$D$217)</f>
        <v/>
      </c>
      <c r="H29" s="150">
        <f>$G29-$I29</f>
        <v/>
      </c>
      <c r="I29" s="151">
        <f>IF(OR('06 Pasta Dough BOM'!$D$208&lt;&gt;"CENTRAL KITCHEN",'06 Pasta Dough BOM'!$D$222=""),0,$E29*1000/'01 Control'!$C$8*'06 Pasta Dough BOM'!$D$222)</f>
        <v/>
      </c>
      <c r="J29" s="165">
        <f>IF('06 Pasta Dough BOM'!$D$208&lt;&gt;"IN-STORE",0,$D29*1000/'06 Pasta Dough BOM'!$D$189*0.6)</f>
        <v/>
      </c>
      <c r="K29" s="116" t="n"/>
    </row>
    <row r="30" ht="15" customHeight="1" s="106">
      <c r="A30" s="113" t="inlineStr">
        <is>
          <t>Napoletana (Pomodoro) (core sauce)  -  PP-SAUCE-NAP</t>
        </is>
      </c>
      <c r="B30" s="189">
        <f>'07 Core Sauce BOM CK'!$D$44</f>
        <v/>
      </c>
      <c r="C30" s="165">
        <f>SUMIF('10 Core Menu BOM'!$E$5:$E$300,"PP-SAUCE-NAP",'10 Core Menu BOM'!$N$5:$N$300)+SUMIF('11 Seasonal Menu BOM'!$E$5:$E$365,"PP-SAUCE-NAP",'11 Seasonal Menu BOM'!$N$5:$N$365)</f>
        <v/>
      </c>
      <c r="D30" s="165">
        <f>$C30/1000*$B$7/1000</f>
        <v/>
      </c>
      <c r="E30" s="165">
        <f>$D30*'01 Control'!$C$28</f>
        <v/>
      </c>
      <c r="F30" s="165">
        <f>IF('07 Core Sauce BOM CK'!$D$30=0,"",$E30*1000/'07 Core Sauce BOM CK'!$D$30)</f>
        <v/>
      </c>
      <c r="G30" s="150">
        <f>IF(OR('07 Core Sauce BOM CK'!$D$44&lt;&gt;"CENTRAL KITCHEN",'07 Core Sauce BOM CK'!$D$53=""),0,$E30*1000/'07 Core Sauce BOM CK'!$D$42*'07 Core Sauce BOM CK'!$D$53)</f>
        <v/>
      </c>
      <c r="H30" s="150">
        <f>$G30-$I30</f>
        <v/>
      </c>
      <c r="I30" s="151">
        <f>IF(OR('07 Core Sauce BOM CK'!$D$44&lt;&gt;"CENTRAL KITCHEN",'07 Core Sauce BOM CK'!$D$57=""),0,$E30*1000/'07 Core Sauce BOM CK'!$D$42*'07 Core Sauce BOM CK'!$D$57)</f>
        <v/>
      </c>
      <c r="J30" s="165" t="n">
        <v>0</v>
      </c>
      <c r="K30" s="116" t="n"/>
    </row>
    <row r="31" ht="15" customHeight="1" s="106">
      <c r="A31" s="113" t="inlineStr">
        <is>
          <t>Papa's Bolognese (core sauce)  -  PP-SAUCE-BOL</t>
        </is>
      </c>
      <c r="B31" s="189">
        <f>'07 Core Sauce BOM CK'!$D$93</f>
        <v/>
      </c>
      <c r="C31" s="165">
        <f>SUMIF('10 Core Menu BOM'!$E$5:$E$300,"PP-SAUCE-BOL",'10 Core Menu BOM'!$N$5:$N$300)+SUMIF('11 Seasonal Menu BOM'!$E$5:$E$365,"PP-SAUCE-BOL",'11 Seasonal Menu BOM'!$N$5:$N$365)</f>
        <v/>
      </c>
      <c r="D31" s="165">
        <f>$C31/1000*$B$7/1000</f>
        <v/>
      </c>
      <c r="E31" s="165">
        <f>$D31*'01 Control'!$C$28</f>
        <v/>
      </c>
      <c r="F31" s="165">
        <f>IF('07 Core Sauce BOM CK'!$D$79=0,"",$E31*1000/'07 Core Sauce BOM CK'!$D$79)</f>
        <v/>
      </c>
      <c r="G31" s="150">
        <f>IF(OR('07 Core Sauce BOM CK'!$D$93&lt;&gt;"CENTRAL KITCHEN",'07 Core Sauce BOM CK'!$D$102=""),0,$E31*1000/'07 Core Sauce BOM CK'!$D$91*'07 Core Sauce BOM CK'!$D$102)</f>
        <v/>
      </c>
      <c r="H31" s="150">
        <f>$G31-$I31</f>
        <v/>
      </c>
      <c r="I31" s="151">
        <f>IF(OR('07 Core Sauce BOM CK'!$D$93&lt;&gt;"CENTRAL KITCHEN",'07 Core Sauce BOM CK'!$D$106=""),0,$E31*1000/'07 Core Sauce BOM CK'!$D$91*'07 Core Sauce BOM CK'!$D$106)</f>
        <v/>
      </c>
      <c r="J31" s="165" t="n">
        <v>0</v>
      </c>
      <c r="K31" s="116" t="n"/>
    </row>
    <row r="32" ht="15" customHeight="1" s="106">
      <c r="A32" s="113" t="inlineStr">
        <is>
          <t>Creamy Alfredo (core sauce)  -  PP-SAUCE-ALF</t>
        </is>
      </c>
      <c r="B32" s="189">
        <f>'07 Core Sauce BOM CK'!$D$137</f>
        <v/>
      </c>
      <c r="C32" s="165">
        <f>SUMIF('10 Core Menu BOM'!$E$5:$E$300,"PP-SAUCE-ALF",'10 Core Menu BOM'!$N$5:$N$300)+SUMIF('11 Seasonal Menu BOM'!$E$5:$E$365,"PP-SAUCE-ALF",'11 Seasonal Menu BOM'!$N$5:$N$365)</f>
        <v/>
      </c>
      <c r="D32" s="165">
        <f>$C32/1000*$B$7/1000</f>
        <v/>
      </c>
      <c r="E32" s="165">
        <f>$D32*'01 Control'!$C$28</f>
        <v/>
      </c>
      <c r="F32" s="165">
        <f>IF('07 Core Sauce BOM CK'!$D$123=0,"",$E32*1000/'07 Core Sauce BOM CK'!$D$123)</f>
        <v/>
      </c>
      <c r="G32" s="150">
        <f>IF(OR('07 Core Sauce BOM CK'!$D$137&lt;&gt;"CENTRAL KITCHEN",'07 Core Sauce BOM CK'!$D$146=""),0,$E32*1000/'07 Core Sauce BOM CK'!$D$135*'07 Core Sauce BOM CK'!$D$146)</f>
        <v/>
      </c>
      <c r="H32" s="150">
        <f>$G32-$I32</f>
        <v/>
      </c>
      <c r="I32" s="151">
        <f>IF(OR('07 Core Sauce BOM CK'!$D$137&lt;&gt;"CENTRAL KITCHEN",'07 Core Sauce BOM CK'!$D$150=""),0,$E32*1000/'07 Core Sauce BOM CK'!$D$135*'07 Core Sauce BOM CK'!$D$150)</f>
        <v/>
      </c>
      <c r="J32" s="165" t="n">
        <v>0</v>
      </c>
      <c r="K32" s="116" t="n"/>
    </row>
    <row r="33" ht="15" customHeight="1" s="106">
      <c r="A33" s="113" t="inlineStr">
        <is>
          <t>Carbonara Base (core sauce)  -  PP-SAUCE-CAR</t>
        </is>
      </c>
      <c r="B33" s="189">
        <f>'07 Core Sauce BOM CK'!$D$180</f>
        <v/>
      </c>
      <c r="C33" s="165">
        <f>SUMIF('10 Core Menu BOM'!$E$5:$E$300,"PP-SAUCE-CAR",'10 Core Menu BOM'!$N$5:$N$300)+SUMIF('11 Seasonal Menu BOM'!$E$5:$E$365,"PP-SAUCE-CAR",'11 Seasonal Menu BOM'!$N$5:$N$365)</f>
        <v/>
      </c>
      <c r="D33" s="165">
        <f>$C33/1000*$B$7/1000</f>
        <v/>
      </c>
      <c r="E33" s="165">
        <f>$D33*'01 Control'!$C$28</f>
        <v/>
      </c>
      <c r="F33" s="165">
        <f>IF('07 Core Sauce BOM CK'!$D$166=0,"",$E33*1000/'07 Core Sauce BOM CK'!$D$166)</f>
        <v/>
      </c>
      <c r="G33" s="150">
        <f>IF(OR('07 Core Sauce BOM CK'!$D$180&lt;&gt;"CENTRAL KITCHEN",'07 Core Sauce BOM CK'!$D$189=""),0,$E33*1000/'07 Core Sauce BOM CK'!$D$178*'07 Core Sauce BOM CK'!$D$189)</f>
        <v/>
      </c>
      <c r="H33" s="150">
        <f>$G33-$I33</f>
        <v/>
      </c>
      <c r="I33" s="151">
        <f>IF(OR('07 Core Sauce BOM CK'!$D$180&lt;&gt;"CENTRAL KITCHEN",'07 Core Sauce BOM CK'!$D$193=""),0,$E33*1000/'07 Core Sauce BOM CK'!$D$178*'07 Core Sauce BOM CK'!$D$193)</f>
        <v/>
      </c>
      <c r="J33" s="165" t="n">
        <v>0</v>
      </c>
      <c r="K33" s="116" t="n"/>
    </row>
    <row r="34" ht="15" customHeight="1" s="106">
      <c r="A34" s="113" t="inlineStr">
        <is>
          <t>Arrabbiata (core sauce)  -  PP-SAUCE-ARR</t>
        </is>
      </c>
      <c r="B34" s="189">
        <f>'07 Core Sauce BOM CK'!$D$227</f>
        <v/>
      </c>
      <c r="C34" s="165">
        <f>SUMIF('10 Core Menu BOM'!$E$5:$E$300,"PP-SAUCE-ARR",'10 Core Menu BOM'!$N$5:$N$300)+SUMIF('11 Seasonal Menu BOM'!$E$5:$E$365,"PP-SAUCE-ARR",'11 Seasonal Menu BOM'!$N$5:$N$365)</f>
        <v/>
      </c>
      <c r="D34" s="165">
        <f>$C34/1000*$B$7/1000</f>
        <v/>
      </c>
      <c r="E34" s="165">
        <f>$D34*'01 Control'!$C$28</f>
        <v/>
      </c>
      <c r="F34" s="165">
        <f>IF('07 Core Sauce BOM CK'!$D$213=0,"",$E34*1000/'07 Core Sauce BOM CK'!$D$213)</f>
        <v/>
      </c>
      <c r="G34" s="150">
        <f>IF(OR('07 Core Sauce BOM CK'!$D$227&lt;&gt;"CENTRAL KITCHEN",'07 Core Sauce BOM CK'!$D$236=""),0,$E34*1000/'07 Core Sauce BOM CK'!$D$225*'07 Core Sauce BOM CK'!$D$236)</f>
        <v/>
      </c>
      <c r="H34" s="150">
        <f>$G34-$I34</f>
        <v/>
      </c>
      <c r="I34" s="151">
        <f>IF(OR('07 Core Sauce BOM CK'!$D$227&lt;&gt;"CENTRAL KITCHEN",'07 Core Sauce BOM CK'!$D$240=""),0,$E34*1000/'07 Core Sauce BOM CK'!$D$225*'07 Core Sauce BOM CK'!$D$240)</f>
        <v/>
      </c>
      <c r="J34" s="165" t="n">
        <v>0</v>
      </c>
      <c r="K34" s="116" t="n"/>
    </row>
    <row r="35" ht="15" customHeight="1" s="106">
      <c r="A35" s="113" t="inlineStr">
        <is>
          <t>Basil Pesto (core sauce)  -  PP-SAUCE-PES</t>
        </is>
      </c>
      <c r="B35" s="189">
        <f>'07 Core Sauce BOM CK'!$D$271</f>
        <v/>
      </c>
      <c r="C35" s="165">
        <f>SUMIF('10 Core Menu BOM'!$E$5:$E$300,"PP-SAUCE-PES",'10 Core Menu BOM'!$N$5:$N$300)+SUMIF('11 Seasonal Menu BOM'!$E$5:$E$365,"PP-SAUCE-PES",'11 Seasonal Menu BOM'!$N$5:$N$365)</f>
        <v/>
      </c>
      <c r="D35" s="165">
        <f>$C35/1000*$B$7/1000</f>
        <v/>
      </c>
      <c r="E35" s="165">
        <f>$D35*'01 Control'!$C$28</f>
        <v/>
      </c>
      <c r="F35" s="165">
        <f>IF('07 Core Sauce BOM CK'!$D$257=0,"",$E35*1000/'07 Core Sauce BOM CK'!$D$257)</f>
        <v/>
      </c>
      <c r="G35" s="150">
        <f>IF(OR('07 Core Sauce BOM CK'!$D$271&lt;&gt;"CENTRAL KITCHEN",'07 Core Sauce BOM CK'!$D$280=""),0,$E35*1000/'07 Core Sauce BOM CK'!$D$269*'07 Core Sauce BOM CK'!$D$280)</f>
        <v/>
      </c>
      <c r="H35" s="150">
        <f>$G35-$I35</f>
        <v/>
      </c>
      <c r="I35" s="151">
        <f>IF(OR('07 Core Sauce BOM CK'!$D$271&lt;&gt;"CENTRAL KITCHEN",'07 Core Sauce BOM CK'!$D$284=""),0,$E35*1000/'07 Core Sauce BOM CK'!$D$269*'07 Core Sauce BOM CK'!$D$284)</f>
        <v/>
      </c>
      <c r="J35" s="165" t="n">
        <v>0</v>
      </c>
      <c r="K35" s="116" t="n"/>
    </row>
    <row r="36" ht="15" customHeight="1" s="106">
      <c r="A36" s="113" t="inlineStr">
        <is>
          <t>Boscaiola (core sauce)  -  PP-SAUCE-BOSC</t>
        </is>
      </c>
      <c r="B36" s="189">
        <f>'07 Core Sauce BOM CK'!$D$317</f>
        <v/>
      </c>
      <c r="C36" s="165">
        <f>SUMIF('10 Core Menu BOM'!$E$5:$E$300,"PP-SAUCE-BOSC",'10 Core Menu BOM'!$N$5:$N$300)+SUMIF('11 Seasonal Menu BOM'!$E$5:$E$365,"PP-SAUCE-BOSC",'11 Seasonal Menu BOM'!$N$5:$N$365)</f>
        <v/>
      </c>
      <c r="D36" s="165">
        <f>$C36/1000*$B$7/1000</f>
        <v/>
      </c>
      <c r="E36" s="165">
        <f>$D36*'01 Control'!$C$28</f>
        <v/>
      </c>
      <c r="F36" s="165">
        <f>IF('07 Core Sauce BOM CK'!$D$303=0,"",$E36*1000/'07 Core Sauce BOM CK'!$D$303)</f>
        <v/>
      </c>
      <c r="G36" s="150">
        <f>IF(OR('07 Core Sauce BOM CK'!$D$317&lt;&gt;"CENTRAL KITCHEN",'07 Core Sauce BOM CK'!$D$326=""),0,$E36*1000/'07 Core Sauce BOM CK'!$D$315*'07 Core Sauce BOM CK'!$D$326)</f>
        <v/>
      </c>
      <c r="H36" s="150">
        <f>$G36-$I36</f>
        <v/>
      </c>
      <c r="I36" s="151">
        <f>IF(OR('07 Core Sauce BOM CK'!$D$317&lt;&gt;"CENTRAL KITCHEN",'07 Core Sauce BOM CK'!$D$330=""),0,$E36*1000/'07 Core Sauce BOM CK'!$D$315*'07 Core Sauce BOM CK'!$D$330)</f>
        <v/>
      </c>
      <c r="J36" s="165" t="n">
        <v>0</v>
      </c>
      <c r="K36" s="116" t="n"/>
    </row>
    <row r="37" ht="15" customHeight="1" s="106">
      <c r="A37" s="113" t="inlineStr">
        <is>
          <t>Quattro Formaggi (core sauce)  -  PP-SAUCE-QF</t>
        </is>
      </c>
      <c r="B37" s="189">
        <f>'07 Core Sauce BOM CK'!$D$362</f>
        <v/>
      </c>
      <c r="C37" s="165">
        <f>SUMIF('10 Core Menu BOM'!$E$5:$E$300,"PP-SAUCE-QF",'10 Core Menu BOM'!$N$5:$N$300)+SUMIF('11 Seasonal Menu BOM'!$E$5:$E$365,"PP-SAUCE-QF",'11 Seasonal Menu BOM'!$N$5:$N$365)</f>
        <v/>
      </c>
      <c r="D37" s="165">
        <f>$C37/1000*$B$7/1000</f>
        <v/>
      </c>
      <c r="E37" s="165">
        <f>$D37*'01 Control'!$C$28</f>
        <v/>
      </c>
      <c r="F37" s="165">
        <f>IF('07 Core Sauce BOM CK'!$D$348=0,"",$E37*1000/'07 Core Sauce BOM CK'!$D$348)</f>
        <v/>
      </c>
      <c r="G37" s="150">
        <f>IF(OR('07 Core Sauce BOM CK'!$D$362&lt;&gt;"CENTRAL KITCHEN",'07 Core Sauce BOM CK'!$D$371=""),0,$E37*1000/'07 Core Sauce BOM CK'!$D$360*'07 Core Sauce BOM CK'!$D$371)</f>
        <v/>
      </c>
      <c r="H37" s="150">
        <f>$G37-$I37</f>
        <v/>
      </c>
      <c r="I37" s="151">
        <f>IF(OR('07 Core Sauce BOM CK'!$D$362&lt;&gt;"CENTRAL KITCHEN",'07 Core Sauce BOM CK'!$D$375=""),0,$E37*1000/'07 Core Sauce BOM CK'!$D$360*'07 Core Sauce BOM CK'!$D$375)</f>
        <v/>
      </c>
      <c r="J37" s="165" t="n">
        <v>0</v>
      </c>
      <c r="K37" s="116" t="n"/>
    </row>
    <row r="38" ht="15" customHeight="1" s="106">
      <c r="A38" s="113" t="inlineStr">
        <is>
          <t>Aglio e Olio Kit (core sauce)  -  PP-SAUCE-ALO</t>
        </is>
      </c>
      <c r="B38" s="189">
        <f>'07 Core Sauce BOM CK'!$D$404</f>
        <v/>
      </c>
      <c r="C38" s="165">
        <f>SUMIF('10 Core Menu BOM'!$E$5:$E$300,"PP-SAUCE-ALO",'10 Core Menu BOM'!$N$5:$N$300)+SUMIF('11 Seasonal Menu BOM'!$E$5:$E$365,"PP-SAUCE-ALO",'11 Seasonal Menu BOM'!$N$5:$N$365)</f>
        <v/>
      </c>
      <c r="D38" s="165">
        <f>$C38/1000*$B$7/1000</f>
        <v/>
      </c>
      <c r="E38" s="165">
        <f>$D38*'01 Control'!$C$28</f>
        <v/>
      </c>
      <c r="F38" s="165">
        <f>IF('07 Core Sauce BOM CK'!$D$390=0,"",$E38*1000/'07 Core Sauce BOM CK'!$D$390)</f>
        <v/>
      </c>
      <c r="G38" s="150">
        <f>IF(OR('07 Core Sauce BOM CK'!$D$404&lt;&gt;"CENTRAL KITCHEN",'07 Core Sauce BOM CK'!$D$413=""),0,$E38*1000/'07 Core Sauce BOM CK'!$D$402*'07 Core Sauce BOM CK'!$D$413)</f>
        <v/>
      </c>
      <c r="H38" s="150">
        <f>$G38-$I38</f>
        <v/>
      </c>
      <c r="I38" s="151">
        <f>IF(OR('07 Core Sauce BOM CK'!$D$404&lt;&gt;"CENTRAL KITCHEN",'07 Core Sauce BOM CK'!$D$417=""),0,$E38*1000/'07 Core Sauce BOM CK'!$D$402*'07 Core Sauce BOM CK'!$D$417)</f>
        <v/>
      </c>
      <c r="J38" s="165" t="n">
        <v>0</v>
      </c>
      <c r="K38" s="116" t="n"/>
    </row>
    <row r="39" ht="15" customHeight="1" s="106">
      <c r="A39" s="113" t="inlineStr">
        <is>
          <t>Durban Curry-Tomato Base (seasonal sauce)  -  PP-SEASAUCE-CURRYTOM</t>
        </is>
      </c>
      <c r="B39" s="189">
        <f>'08 Seasonal Sauce BOM CK'!$D$41</f>
        <v/>
      </c>
      <c r="C39" s="165">
        <f>SUMIF('10 Core Menu BOM'!$E$5:$E$300,"PP-SEASAUCE-CURRYTOM",'10 Core Menu BOM'!$N$5:$N$300)+SUMIF('11 Seasonal Menu BOM'!$E$5:$E$365,"PP-SEASAUCE-CURRYTOM",'11 Seasonal Menu BOM'!$N$5:$N$365)</f>
        <v/>
      </c>
      <c r="D39" s="165">
        <f>$C39/1000*$B$7/1000</f>
        <v/>
      </c>
      <c r="E39" s="165">
        <f>$D39*'01 Control'!$C$28</f>
        <v/>
      </c>
      <c r="F39" s="165">
        <f>IF('08 Seasonal Sauce BOM CK'!$D$27=0,"",$E39*1000/'08 Seasonal Sauce BOM CK'!$D$27)</f>
        <v/>
      </c>
      <c r="G39" s="150">
        <f>IF(OR('08 Seasonal Sauce BOM CK'!$D$41&lt;&gt;"CENTRAL KITCHEN",'08 Seasonal Sauce BOM CK'!$D$50=""),0,$E39*1000/'08 Seasonal Sauce BOM CK'!$D$39*'08 Seasonal Sauce BOM CK'!$D$50)</f>
        <v/>
      </c>
      <c r="H39" s="150">
        <f>$G39-$I39</f>
        <v/>
      </c>
      <c r="I39" s="151">
        <f>IF(OR('08 Seasonal Sauce BOM CK'!$D$41&lt;&gt;"CENTRAL KITCHEN",'08 Seasonal Sauce BOM CK'!$D$54=""),0,$E39*1000/'08 Seasonal Sauce BOM CK'!$D$39*'08 Seasonal Sauce BOM CK'!$D$54)</f>
        <v/>
      </c>
      <c r="J39" s="165" t="n">
        <v>0</v>
      </c>
      <c r="K39" s="116" t="n"/>
    </row>
    <row r="40" ht="15" customHeight="1" s="106">
      <c r="A40" s="113" t="inlineStr">
        <is>
          <t>Slow-Braised Oxtail-Style Ragu (seasonal sauce)  -  PP-SEASAUCE-OXTAIL</t>
        </is>
      </c>
      <c r="B40" s="189">
        <f>'08 Seasonal Sauce BOM CK'!$D$89</f>
        <v/>
      </c>
      <c r="C40" s="165">
        <f>SUMIF('10 Core Menu BOM'!$E$5:$E$300,"PP-SEASAUCE-OXTAIL",'10 Core Menu BOM'!$N$5:$N$300)+SUMIF('11 Seasonal Menu BOM'!$E$5:$E$365,"PP-SEASAUCE-OXTAIL",'11 Seasonal Menu BOM'!$N$5:$N$365)</f>
        <v/>
      </c>
      <c r="D40" s="165">
        <f>$C40/1000*$B$7/1000</f>
        <v/>
      </c>
      <c r="E40" s="165">
        <f>$D40*'01 Control'!$C$28</f>
        <v/>
      </c>
      <c r="F40" s="165">
        <f>IF('08 Seasonal Sauce BOM CK'!$D$75=0,"",$E40*1000/'08 Seasonal Sauce BOM CK'!$D$75)</f>
        <v/>
      </c>
      <c r="G40" s="150">
        <f>IF(OR('08 Seasonal Sauce BOM CK'!$D$89&lt;&gt;"CENTRAL KITCHEN",'08 Seasonal Sauce BOM CK'!$D$98=""),0,$E40*1000/'08 Seasonal Sauce BOM CK'!$D$87*'08 Seasonal Sauce BOM CK'!$D$98)</f>
        <v/>
      </c>
      <c r="H40" s="150">
        <f>$G40-$I40</f>
        <v/>
      </c>
      <c r="I40" s="151">
        <f>IF(OR('08 Seasonal Sauce BOM CK'!$D$89&lt;&gt;"CENTRAL KITCHEN",'08 Seasonal Sauce BOM CK'!$D$102=""),0,$E40*1000/'08 Seasonal Sauce BOM CK'!$D$87*'08 Seasonal Sauce BOM CK'!$D$102)</f>
        <v/>
      </c>
      <c r="J40" s="165" t="n">
        <v>0</v>
      </c>
      <c r="K40" s="116" t="n"/>
    </row>
    <row r="41" ht="15" customHeight="1" s="106">
      <c r="A41" s="113" t="inlineStr">
        <is>
          <t>Chakalaka Relish Base (seasonal sauce)  -  PP-SEASAUCE-CHAKALAKA</t>
        </is>
      </c>
      <c r="B41" s="189">
        <f>'08 Seasonal Sauce BOM CK'!$D$135</f>
        <v/>
      </c>
      <c r="C41" s="165">
        <f>SUMIF('10 Core Menu BOM'!$E$5:$E$300,"PP-SEASAUCE-CHAKALAKA",'10 Core Menu BOM'!$N$5:$N$300)+SUMIF('11 Seasonal Menu BOM'!$E$5:$E$365,"PP-SEASAUCE-CHAKALAKA",'11 Seasonal Menu BOM'!$N$5:$N$365)</f>
        <v/>
      </c>
      <c r="D41" s="165">
        <f>$C41/1000*$B$7/1000</f>
        <v/>
      </c>
      <c r="E41" s="165">
        <f>$D41*'01 Control'!$C$28</f>
        <v/>
      </c>
      <c r="F41" s="165">
        <f>IF('08 Seasonal Sauce BOM CK'!$D$121=0,"",$E41*1000/'08 Seasonal Sauce BOM CK'!$D$121)</f>
        <v/>
      </c>
      <c r="G41" s="150">
        <f>IF(OR('08 Seasonal Sauce BOM CK'!$D$135&lt;&gt;"CENTRAL KITCHEN",'08 Seasonal Sauce BOM CK'!$D$144=""),0,$E41*1000/'08 Seasonal Sauce BOM CK'!$D$133*'08 Seasonal Sauce BOM CK'!$D$144)</f>
        <v/>
      </c>
      <c r="H41" s="150">
        <f>$G41-$I41</f>
        <v/>
      </c>
      <c r="I41" s="151">
        <f>IF(OR('08 Seasonal Sauce BOM CK'!$D$135&lt;&gt;"CENTRAL KITCHEN",'08 Seasonal Sauce BOM CK'!$D$148=""),0,$E41*1000/'08 Seasonal Sauce BOM CK'!$D$133*'08 Seasonal Sauce BOM CK'!$D$148)</f>
        <v/>
      </c>
      <c r="J41" s="165" t="n">
        <v>0</v>
      </c>
      <c r="K41" s="116" t="n"/>
    </row>
    <row r="42" ht="15" customHeight="1" s="106">
      <c r="A42" s="113" t="inlineStr">
        <is>
          <t>Coconut-Cream Base (seasonal sauce)  -  PP-SEASAUCE-COCONUT</t>
        </is>
      </c>
      <c r="B42" s="189">
        <f>'08 Seasonal Sauce BOM CK'!$D$180</f>
        <v/>
      </c>
      <c r="C42" s="165">
        <f>SUMIF('10 Core Menu BOM'!$E$5:$E$300,"PP-SEASAUCE-COCONUT",'10 Core Menu BOM'!$N$5:$N$300)+SUMIF('11 Seasonal Menu BOM'!$E$5:$E$365,"PP-SEASAUCE-COCONUT",'11 Seasonal Menu BOM'!$N$5:$N$365)</f>
        <v/>
      </c>
      <c r="D42" s="165">
        <f>$C42/1000*$B$7/1000</f>
        <v/>
      </c>
      <c r="E42" s="165">
        <f>$D42*'01 Control'!$C$28</f>
        <v/>
      </c>
      <c r="F42" s="165">
        <f>IF('08 Seasonal Sauce BOM CK'!$D$166=0,"",$E42*1000/'08 Seasonal Sauce BOM CK'!$D$166)</f>
        <v/>
      </c>
      <c r="G42" s="150">
        <f>IF(OR('08 Seasonal Sauce BOM CK'!$D$180&lt;&gt;"CENTRAL KITCHEN",'08 Seasonal Sauce BOM CK'!$D$189=""),0,$E42*1000/'08 Seasonal Sauce BOM CK'!$D$178*'08 Seasonal Sauce BOM CK'!$D$189)</f>
        <v/>
      </c>
      <c r="H42" s="150">
        <f>$G42-$I42</f>
        <v/>
      </c>
      <c r="I42" s="151">
        <f>IF(OR('08 Seasonal Sauce BOM CK'!$D$180&lt;&gt;"CENTRAL KITCHEN",'08 Seasonal Sauce BOM CK'!$D$193=""),0,$E42*1000/'08 Seasonal Sauce BOM CK'!$D$178*'08 Seasonal Sauce BOM CK'!$D$193)</f>
        <v/>
      </c>
      <c r="J42" s="165" t="n">
        <v>0</v>
      </c>
      <c r="K42" s="116" t="n"/>
    </row>
    <row r="43" ht="15" customHeight="1" s="106">
      <c r="A43" s="113" t="inlineStr">
        <is>
          <t>Cape Malay Curry-Cream Base (seasonal sauce)  -  PP-SEASAUCE-CAPEMALAY</t>
        </is>
      </c>
      <c r="B43" s="189">
        <f>'08 Seasonal Sauce BOM CK'!$D$226</f>
        <v/>
      </c>
      <c r="C43" s="165">
        <f>SUMIF('10 Core Menu BOM'!$E$5:$E$300,"PP-SEASAUCE-CAPEMALAY",'10 Core Menu BOM'!$N$5:$N$300)+SUMIF('11 Seasonal Menu BOM'!$E$5:$E$365,"PP-SEASAUCE-CAPEMALAY",'11 Seasonal Menu BOM'!$N$5:$N$365)</f>
        <v/>
      </c>
      <c r="D43" s="165">
        <f>$C43/1000*$B$7/1000</f>
        <v/>
      </c>
      <c r="E43" s="165">
        <f>$D43*'01 Control'!$C$28</f>
        <v/>
      </c>
      <c r="F43" s="165">
        <f>IF('08 Seasonal Sauce BOM CK'!$D$212=0,"",$E43*1000/'08 Seasonal Sauce BOM CK'!$D$212)</f>
        <v/>
      </c>
      <c r="G43" s="150">
        <f>IF(OR('08 Seasonal Sauce BOM CK'!$D$226&lt;&gt;"CENTRAL KITCHEN",'08 Seasonal Sauce BOM CK'!$D$235=""),0,$E43*1000/'08 Seasonal Sauce BOM CK'!$D$224*'08 Seasonal Sauce BOM CK'!$D$235)</f>
        <v/>
      </c>
      <c r="H43" s="150">
        <f>$G43-$I43</f>
        <v/>
      </c>
      <c r="I43" s="151">
        <f>IF(OR('08 Seasonal Sauce BOM CK'!$D$226&lt;&gt;"CENTRAL KITCHEN",'08 Seasonal Sauce BOM CK'!$D$239=""),0,$E43*1000/'08 Seasonal Sauce BOM CK'!$D$224*'08 Seasonal Sauce BOM CK'!$D$239)</f>
        <v/>
      </c>
      <c r="J43" s="165" t="n">
        <v>0</v>
      </c>
      <c r="K43" s="116" t="n"/>
    </row>
    <row r="44" ht="15" customHeight="1" s="106">
      <c r="A44" s="113" t="inlineStr">
        <is>
          <t>Chermoula Herb Paste (seasonal sauce)  -  PP-SEASAUCE-CHERMOULA</t>
        </is>
      </c>
      <c r="B44" s="189">
        <f>'08 Seasonal Sauce BOM CK'!$D$269</f>
        <v/>
      </c>
      <c r="C44" s="165">
        <f>SUMIF('10 Core Menu BOM'!$E$5:$E$300,"PP-SEASAUCE-CHERMOULA",'10 Core Menu BOM'!$N$5:$N$300)+SUMIF('11 Seasonal Menu BOM'!$E$5:$E$365,"PP-SEASAUCE-CHERMOULA",'11 Seasonal Menu BOM'!$N$5:$N$365)</f>
        <v/>
      </c>
      <c r="D44" s="165">
        <f>$C44/1000*$B$7/1000</f>
        <v/>
      </c>
      <c r="E44" s="165">
        <f>$D44*'01 Control'!$C$28</f>
        <v/>
      </c>
      <c r="F44" s="165">
        <f>IF('08 Seasonal Sauce BOM CK'!$D$255=0,"",$E44*1000/'08 Seasonal Sauce BOM CK'!$D$255)</f>
        <v/>
      </c>
      <c r="G44" s="150">
        <f>IF(OR('08 Seasonal Sauce BOM CK'!$D$269&lt;&gt;"CENTRAL KITCHEN",'08 Seasonal Sauce BOM CK'!$D$278=""),0,$E44*1000/'08 Seasonal Sauce BOM CK'!$D$267*'08 Seasonal Sauce BOM CK'!$D$278)</f>
        <v/>
      </c>
      <c r="H44" s="150">
        <f>$G44-$I44</f>
        <v/>
      </c>
      <c r="I44" s="151">
        <f>IF(OR('08 Seasonal Sauce BOM CK'!$D$269&lt;&gt;"CENTRAL KITCHEN",'08 Seasonal Sauce BOM CK'!$D$282=""),0,$E44*1000/'08 Seasonal Sauce BOM CK'!$D$267*'08 Seasonal Sauce BOM CK'!$D$282)</f>
        <v/>
      </c>
      <c r="J44" s="165" t="n">
        <v>0</v>
      </c>
      <c r="K44" s="116" t="n"/>
    </row>
    <row r="45" ht="15" customHeight="1" s="106">
      <c r="A45" s="113" t="inlineStr">
        <is>
          <t>Groundnut Cream Base (seasonal sauce)  -  PP-SEASAUCE-GROUNDNUT</t>
        </is>
      </c>
      <c r="B45" s="189">
        <f>'08 Seasonal Sauce BOM CK'!$D$314</f>
        <v/>
      </c>
      <c r="C45" s="165">
        <f>SUMIF('10 Core Menu BOM'!$E$5:$E$300,"PP-SEASAUCE-GROUNDNUT",'10 Core Menu BOM'!$N$5:$N$300)+SUMIF('11 Seasonal Menu BOM'!$E$5:$E$365,"PP-SEASAUCE-GROUNDNUT",'11 Seasonal Menu BOM'!$N$5:$N$365)</f>
        <v/>
      </c>
      <c r="D45" s="165">
        <f>$C45/1000*$B$7/1000</f>
        <v/>
      </c>
      <c r="E45" s="165">
        <f>$D45*'01 Control'!$C$28</f>
        <v/>
      </c>
      <c r="F45" s="165">
        <f>IF('08 Seasonal Sauce BOM CK'!$D$300=0,"",$E45*1000/'08 Seasonal Sauce BOM CK'!$D$300)</f>
        <v/>
      </c>
      <c r="G45" s="150">
        <f>IF(OR('08 Seasonal Sauce BOM CK'!$D$314&lt;&gt;"CENTRAL KITCHEN",'08 Seasonal Sauce BOM CK'!$D$323=""),0,$E45*1000/'08 Seasonal Sauce BOM CK'!$D$312*'08 Seasonal Sauce BOM CK'!$D$323)</f>
        <v/>
      </c>
      <c r="H45" s="150">
        <f>$G45-$I45</f>
        <v/>
      </c>
      <c r="I45" s="151">
        <f>IF(OR('08 Seasonal Sauce BOM CK'!$D$314&lt;&gt;"CENTRAL KITCHEN",'08 Seasonal Sauce BOM CK'!$D$327=""),0,$E45*1000/'08 Seasonal Sauce BOM CK'!$D$312*'08 Seasonal Sauce BOM CK'!$D$327)</f>
        <v/>
      </c>
      <c r="J45" s="165" t="n">
        <v>0</v>
      </c>
      <c r="K45" s="116" t="n"/>
    </row>
    <row r="46" ht="28.35" customHeight="1" s="106">
      <c r="A46" s="190" t="inlineStr">
        <is>
          <t>NETWORK TOTAL</t>
        </is>
      </c>
      <c r="G46" s="151">
        <f>SUM(G26:G45)</f>
        <v/>
      </c>
      <c r="H46" s="151">
        <f>SUM(H26:H45)</f>
        <v/>
      </c>
      <c r="I46" s="151">
        <f>SUM(I26:I45)</f>
        <v/>
      </c>
      <c r="J46" s="167">
        <f>SUM(J26:J45)</f>
        <v/>
      </c>
      <c r="K46" s="116" t="inlineStr">
        <is>
          <t>CK margin per month across the network at the current make points, volume and store count. Flip any component to IN-STORE and its contribution here drops to zero.</t>
        </is>
      </c>
    </row>
    <row r="48" ht="15" customHeight="1" s="106">
      <c r="A48" s="123" t="inlineStr">
        <is>
          <t>THE TRADE  -  who earns the margin, at a FIXED menu price</t>
        </is>
      </c>
      <c r="B48" s="110" t="n"/>
      <c r="C48" s="110" t="n"/>
      <c r="D48" s="110" t="n"/>
      <c r="E48" s="110" t="n"/>
      <c r="F48" s="110" t="n"/>
      <c r="G48" s="110" t="n"/>
      <c r="H48" s="110" t="n"/>
      <c r="I48" s="110" t="n"/>
      <c r="J48" s="110" t="n"/>
      <c r="K48" s="111" t="n"/>
    </row>
    <row r="49" ht="24" customHeight="1" s="106">
      <c r="A49" s="112" t="inlineStr">
        <is>
          <t>Line</t>
        </is>
      </c>
      <c r="B49" s="112" t="inlineStr">
        <is>
          <t>Per Serving</t>
        </is>
      </c>
      <c r="C49" s="112" t="inlineStr">
        <is>
          <t>Per Store / Month</t>
        </is>
      </c>
      <c r="D49" s="112" t="n"/>
      <c r="E49" s="112" t="n"/>
      <c r="F49" s="112" t="n"/>
      <c r="G49" s="112" t="n"/>
      <c r="H49" s="112" t="n"/>
      <c r="I49" s="112" t="n"/>
      <c r="J49" s="112" t="n"/>
      <c r="K49" s="112" t="inlineStr">
        <is>
          <t>Note</t>
        </is>
      </c>
    </row>
    <row r="50" ht="25.5" customHeight="1" s="106">
      <c r="A50" s="113" t="inlineStr">
        <is>
          <t>Menu price used (Price B, incl VAT)</t>
        </is>
      </c>
      <c r="B50" s="150">
        <f>'01 Control'!$C$30</f>
        <v/>
      </c>
      <c r="C50" s="150">
        <f>$B50*$B$7</f>
        <v/>
      </c>
      <c r="K50" s="116" t="inlineStr">
        <is>
          <t>Set Price B on 01 Control. Using a FIXED price is the only way to see the real trade - the recommended price on 12 Final Menu floats with cost, which hides it.</t>
        </is>
      </c>
    </row>
    <row r="51" ht="25.5" customHeight="1" s="106">
      <c r="A51" s="113" t="inlineStr">
        <is>
          <t>Menu price, excl VAT</t>
        </is>
      </c>
      <c r="B51" s="150">
        <f>$B$50/(1+'01 Control'!$C$6)</f>
        <v/>
      </c>
      <c r="C51" s="150">
        <f>$B51*$B$7</f>
        <v/>
      </c>
      <c r="K51" s="116" t="n"/>
    </row>
    <row r="52" ht="25.5" customHeight="1" s="106">
      <c r="A52" s="113" t="inlineStr">
        <is>
          <t>Weighted plate cost (food + packaging)</t>
        </is>
      </c>
      <c r="B52" s="150">
        <f>$B$18</f>
        <v/>
      </c>
      <c r="C52" s="150">
        <f>$B52*$B$7</f>
        <v/>
      </c>
      <c r="K52" s="116" t="inlineStr">
        <is>
          <t>Follows every MAKE POINT. Switch a component to IN-STORE and this drops.</t>
        </is>
      </c>
    </row>
    <row r="53" ht="25.5" customHeight="1" s="106">
      <c r="A53" s="134" t="inlineStr">
        <is>
          <t>STORE gross profit</t>
        </is>
      </c>
      <c r="B53" s="151">
        <f>$B$51-$B$52</f>
        <v/>
      </c>
      <c r="C53" s="151">
        <f>$B53*$B$7</f>
        <v/>
      </c>
      <c r="K53" s="116" t="inlineStr">
        <is>
          <t>What the franchisee keeps at a fixed shelf price.</t>
        </is>
      </c>
    </row>
    <row r="54" ht="25.5" customHeight="1" s="106">
      <c r="A54" s="134" t="inlineStr">
        <is>
          <t>STORE GP%</t>
        </is>
      </c>
      <c r="B54" s="191">
        <f>IF($B$51=0,"",$B$53/$B$51)</f>
        <v/>
      </c>
      <c r="K54" s="116" t="inlineStr">
        <is>
          <t>Compare against the target GP on 01 Control.</t>
        </is>
      </c>
    </row>
    <row r="55" ht="25.5" customHeight="1" s="106">
      <c r="A55" s="134" t="inlineStr">
        <is>
          <t>FRANCHISOR margin from the Central Kitchen</t>
        </is>
      </c>
      <c r="B55" s="151">
        <f>IF($B$9=0,0,$I$46/$B$9)</f>
        <v/>
      </c>
      <c r="C55" s="151">
        <f>$B55*$B$7</f>
        <v/>
      </c>
      <c r="K55" s="116" t="inlineStr">
        <is>
          <t>What you earn supplying the components you make. Zero on anything set to IN-STORE.</t>
        </is>
      </c>
    </row>
    <row r="56" ht="25.5" customHeight="1" s="106">
      <c r="A56" s="134" t="inlineStr">
        <is>
          <t>TOTAL SYSTEM MARGIN (store + franchisor)</t>
        </is>
      </c>
      <c r="B56" s="151">
        <f>$B$53+$B$55</f>
        <v/>
      </c>
      <c r="C56" s="151">
        <f>$B56*$B$7</f>
        <v/>
      </c>
      <c r="K56" s="116" t="inlineStr">
        <is>
          <t>This barely moves when you flip a switch. That is the point: the make point does not create margin, it decides WHO earns it. Franchisee control costs you CK margin; taking components into the CK buys you margin and consistency but takes control off their main line.</t>
        </is>
      </c>
    </row>
    <row r="59" ht="15" customHeight="1" s="106">
      <c r="A59" s="135" t="inlineStr">
        <is>
          <t>Everything on this tab is a formula. To model a different world, change the four volume inputs on 01 Control, the MENU MIX % on 12 Final Menu, or any MAKE POINT on 06 / 07 / 08. Store machine hours use the spec sheet's 0.6 h per 10 kg batch on a GUSGT108 - if that number goes past about 6 hours a day the store needs a second machine.</t>
        </is>
      </c>
    </row>
  </sheetData>
  <sheetProtection selectLockedCells="0" selectUnlockedCells="0" sheet="1" objects="0" insertRows="1" insertHyperlinks="1" autoFilter="0" scenarios="0" formatColumns="0" deleteColumns="1" insertColumns="1" pivotTables="1" deleteRows="1" formatCells="0" formatRows="0" sort="0"/>
  <mergeCells count="7">
    <mergeCell ref="A12:K12"/>
    <mergeCell ref="A4:K4"/>
    <mergeCell ref="A48:K48"/>
    <mergeCell ref="A59:K59"/>
    <mergeCell ref="A24:K24"/>
    <mergeCell ref="A2:K2"/>
    <mergeCell ref="A1:K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F26"/>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105" min="1" max="1"/>
    <col width="62" customWidth="1" style="105" min="2" max="2"/>
    <col width="16" customWidth="1" style="105" min="3" max="3"/>
    <col width="18" customWidth="1" style="105" min="4" max="4"/>
    <col width="90" customWidth="1" style="105" min="5" max="5"/>
  </cols>
  <sheetData>
    <row r="1" ht="30" customHeight="1" s="106">
      <c r="A1" s="107" t="inlineStr">
        <is>
          <t>MODEL HEALTH  -  AUTOMATED INTEGRITY CHECKS</t>
        </is>
      </c>
    </row>
    <row r="2" ht="18" customHeight="1" s="106">
      <c r="A2" s="108" t="inlineStr">
        <is>
          <t>Run your eye down this tab before you trust a number off this workbook. Every line is a live formula - it re-tests itself the moment anything changes. A FAIL does not mean the sheet is broken; it means a number somewhere downstream is not safe to quote yet.</t>
        </is>
      </c>
    </row>
    <row r="4" ht="27.75" customHeight="1" s="106">
      <c r="A4" s="112" t="inlineStr">
        <is>
          <t>#</t>
        </is>
      </c>
      <c r="B4" s="112" t="inlineStr">
        <is>
          <t>Check</t>
        </is>
      </c>
      <c r="C4" s="112" t="inlineStr">
        <is>
          <t>Result</t>
        </is>
      </c>
      <c r="D4" s="112" t="inlineStr">
        <is>
          <t>Detail</t>
        </is>
      </c>
      <c r="E4" s="112" t="inlineStr">
        <is>
          <t>What to do if it fails</t>
        </is>
      </c>
    </row>
    <row r="5" ht="31.5" customHeight="1" s="106">
      <c r="A5" s="136" t="n">
        <v>1</v>
      </c>
      <c r="B5" s="130" t="inlineStr">
        <is>
          <t>Every menu BOM line resolves to a cost source</t>
        </is>
      </c>
      <c r="C5" s="192">
        <f>IF(ROUND($D5,4)=0,"PASS","FAIL")</f>
        <v/>
      </c>
      <c r="D5" s="193">
        <f>COUNTIF('10 Core Menu BOM'!$L$5:$L$300,"NOT FOUND")+COUNTIF('11 Seasonal Menu BOM'!$L$5:$L$365,"NOT FOUND")</f>
        <v/>
      </c>
      <c r="E5" s="116" t="inlineStr">
        <is>
          <t>A component SKU on a menu BOM does not exist on 04, 05 or 09. Filter the Cost Source column for NOT FOUND and fix the SKU spelling.</t>
        </is>
      </c>
    </row>
    <row r="6" ht="31.5" customHeight="1" s="106">
      <c r="A6" s="136" t="n">
        <v>2</v>
      </c>
      <c r="B6" s="130" t="inlineStr">
        <is>
          <t>Menu mix sums to 100%</t>
        </is>
      </c>
      <c r="C6" s="192">
        <f>IF(ROUND($D6,4)=1,"PASS","FAIL")</f>
        <v/>
      </c>
      <c r="D6" s="194">
        <f>ROUND(SUM('12 Final Menu'!$U$5:$U$200),4)</f>
        <v/>
      </c>
      <c r="E6" s="116" t="inlineStr">
        <is>
          <t>The MENU MIX % column on 12 Final Menu must total 100% across bowls. Add-ons are attach rates and should stay at 0.</t>
        </is>
      </c>
    </row>
    <row r="7" ht="31.5" customHeight="1" s="106">
      <c r="A7" s="136" t="n">
        <v>3</v>
      </c>
      <c r="B7" s="130" t="inlineStr">
        <is>
          <t>No duplicate ingredient SKUs</t>
        </is>
      </c>
      <c r="C7" s="192">
        <f>IF(ROUND($D7,4)=0,"PASS","FAIL")</f>
        <v/>
      </c>
      <c r="D7" s="193">
        <f>SUMPRODUCT(('04 SKU Master'!$A$5:$A$165&lt;&gt;"")*(COUNTIF('04 SKU Master'!$A$5:$A$165,'04 SKU Master'!$A$5:$A$165&amp;"")&gt;1))</f>
        <v/>
      </c>
      <c r="E7" s="116" t="inlineStr">
        <is>
          <t>Two rows on 04 SKU Master share a SKU code. A VLOOKUP only ever finds the first, so the second is invisible to the model. Rename or delete one.</t>
        </is>
      </c>
    </row>
    <row r="8" ht="31.5" customHeight="1" s="106">
      <c r="A8" s="136" t="n">
        <v>4</v>
      </c>
      <c r="B8" s="130" t="inlineStr">
        <is>
          <t>No duplicate packaging SKUs</t>
        </is>
      </c>
      <c r="C8" s="192">
        <f>IF(ROUND($D8,4)=0,"PASS","FAIL")</f>
        <v/>
      </c>
      <c r="D8" s="193">
        <f>SUMPRODUCT(('05 Packaging Master'!$A$5:$A$50&lt;&gt;"")*(COUNTIF('05 Packaging Master'!$A$5:$A$50,'05 Packaging Master'!$A$5:$A$50&amp;"")&gt;1))</f>
        <v/>
      </c>
      <c r="E8" s="116" t="inlineStr">
        <is>
          <t>Same problem on 05 Packaging Master. Rename or delete one.</t>
        </is>
      </c>
    </row>
    <row r="9" ht="31.5" customHeight="1" s="106">
      <c r="A9" s="136" t="n">
        <v>5</v>
      </c>
      <c r="B9" s="130" t="inlineStr">
        <is>
          <t>Every pack unit is in the conversion table</t>
        </is>
      </c>
      <c r="C9" s="192">
        <f>IF(ROUND($D9,4)=0,"PASS","FAIL")</f>
        <v/>
      </c>
      <c r="D9" s="193">
        <f>SUMPRODUCT(('04 SKU Master'!$I$5:$I$165&lt;&gt;"")*(COUNTIF('02 Lists'!$A$5:$A$21,'04 SKU Master'!$I$5:$I$165&amp;"")=0))</f>
        <v/>
      </c>
      <c r="E9" s="116" t="inlineStr">
        <is>
          <t>A supplier slot uses a pack unit that is not on 02 Lists, so its cost per base unit is wrong by a factor. Add the unit to the conversion table or correct the entry.</t>
        </is>
      </c>
    </row>
    <row r="10" ht="31.5" customHeight="1" s="106">
      <c r="A10" s="136" t="n">
        <v>6</v>
      </c>
      <c r="B10" s="130" t="inlineStr">
        <is>
          <t>No half-filled supplier slots</t>
        </is>
      </c>
      <c r="C10" s="192">
        <f>IF(ROUND($D10,4)=0,"PASS","FAIL")</f>
        <v/>
      </c>
      <c r="D10" s="193">
        <f>SUMPRODUCT(('04 SKU Master'!$J$5:$J$165&lt;&gt;"")*(('04 SKU Master'!$H$5:$H$165="")+('04 SKU Master'!$I$5:$I$165="")&gt;0))</f>
        <v/>
      </c>
      <c r="E10" s="116" t="inlineStr">
        <is>
          <t>A pack cost was entered without a pack quantity or unit, so it cannot be converted. Complete the row or clear the cost.</t>
        </is>
      </c>
    </row>
    <row r="11" ht="31.5" customHeight="1" s="106">
      <c r="A11" s="136" t="n">
        <v>7</v>
      </c>
      <c r="B11" s="130" t="inlineStr">
        <is>
          <t>Every yield % is between 1% and 100%</t>
        </is>
      </c>
      <c r="C11" s="192">
        <f>IF(ROUND($D11,4)=0,"PASS","FAIL")</f>
        <v/>
      </c>
      <c r="D11" s="193">
        <f>SUMPRODUCT(('04 SKU Master'!$A$5:$A$165&lt;&gt;"")*(('04 SKU Master'!$E$5:$E$165&lt;0.01)+('04 SKU Master'!$E$5:$E$165&gt;1)&gt;0))</f>
        <v/>
      </c>
      <c r="E11" s="116" t="inlineStr">
        <is>
          <t>A yield outside 1-100% will distort usable cost badly. A 90% trim yield is 0.90, not 90.</t>
        </is>
      </c>
    </row>
    <row r="12" ht="31.5" customHeight="1" s="106">
      <c r="A12" s="136" t="n">
        <v>8</v>
      </c>
      <c r="B12" s="130" t="inlineStr">
        <is>
          <t>Every Cost Index component has a make point</t>
        </is>
      </c>
      <c r="C12" s="192">
        <f>IF(ROUND($D12,4)=0,"PASS","FAIL")</f>
        <v/>
      </c>
      <c r="D12" s="193">
        <f>SUMPRODUCT(('09 Cost Index'!$A$5:$A$24&lt;&gt;"")*(('09 Cost Index'!$E$5:$E$24&lt;&gt;"IN-STORE")*('09 Cost Index'!$E$5:$E$24&lt;&gt;"CENTRAL KITCHEN")))</f>
        <v/>
      </c>
      <c r="E12" s="116" t="inlineStr">
        <is>
          <t>A make point on 06, 07 or 08 has been typed over with something other than IN-STORE or CENTRAL KITCHEN. Use the dropdown.</t>
        </is>
      </c>
    </row>
    <row r="13" ht="31.5" customHeight="1" s="106">
      <c r="A13" s="136" t="n">
        <v>9</v>
      </c>
      <c r="B13" s="130" t="inlineStr">
        <is>
          <t>Every menu line has BOM lines behind it</t>
        </is>
      </c>
      <c r="C13" s="192">
        <f>IF(ROUND($D13,4)=0,"PASS","FAIL")</f>
        <v/>
      </c>
      <c r="D13" s="193">
        <f>SUMPRODUCT(('12 Final Menu'!$A$5:$A$200&lt;&gt;"")*(LEFT('12 Final Menu'!$A$5:$A$200,3)="PP-")*((COUNTIF('10 Core Menu BOM'!$A$5:$A$300,'12 Final Menu'!$A$5:$A$200&amp;"")+COUNTIF('11 Seasonal Menu BOM'!$A$5:$A$365,'12 Final Menu'!$A$5:$A$200&amp;""))=0))</f>
        <v/>
      </c>
      <c r="E13" s="116" t="inlineStr">
        <is>
          <t>A dish on 12 Final Menu has no recipe behind it, so its cost reads zero. Add its lines to the matching BOM tab.</t>
        </is>
      </c>
    </row>
    <row r="14" ht="31.5" customHeight="1" s="106">
      <c r="A14" s="136" t="n">
        <v>10</v>
      </c>
      <c r="B14" s="130" t="inlineStr">
        <is>
          <t>Every menu line has all its components priced</t>
        </is>
      </c>
      <c r="C14" s="192">
        <f>IF(ROUND($D14,4)=0,"PASS","FAIL")</f>
        <v/>
      </c>
      <c r="D14" s="193">
        <f>SUMPRODUCT(('12 Final Menu'!$A$5:$A$200&lt;&gt;"")*(LEFT('12 Final Menu'!$A$5:$A$200,3)="PP-")*('12 Final Menu'!$S$5:$S$200&gt;0))</f>
        <v/>
      </c>
      <c r="E14" s="116" t="inlineStr">
        <is>
          <t>Expected until supplier quotes are loaded. This is the count of dishes you cannot yet quote a price on at all.</t>
        </is>
      </c>
    </row>
    <row r="15" ht="31.5" customHeight="1" s="106">
      <c r="A15" s="136" t="n">
        <v>11</v>
      </c>
      <c r="B15" s="130" t="inlineStr">
        <is>
          <t>Menu lines below their GP target at the approved price</t>
        </is>
      </c>
      <c r="C15" s="195" t="inlineStr">
        <is>
          <t>INFO</t>
        </is>
      </c>
      <c r="D15" s="193">
        <f>SUMPRODUCT(('12 Final Menu'!$A$5:$A$200&lt;&gt;"")*('12 Final Menu'!$T$5:$T$200="BELOW GP TARGET"))</f>
        <v/>
      </c>
      <c r="E15" s="116" t="inlineStr">
        <is>
          <t>NOT a fault. This is the adopted Set B price tested against live cost. The day real quotes land, this number is the menu-engineering list: each of these lines either takes the Set A step-up, loses a cost, or changes its portion.</t>
        </is>
      </c>
    </row>
    <row r="16" ht="31.5" customHeight="1" s="106">
      <c r="A16" s="136" t="n">
        <v>12</v>
      </c>
      <c r="B16" s="130" t="inlineStr">
        <is>
          <t>Ingredient SKUs with at least one live quote</t>
        </is>
      </c>
      <c r="C16" s="195" t="inlineStr">
        <is>
          <t>INFO</t>
        </is>
      </c>
      <c r="D16" s="193">
        <f>SUMPRODUCT(('04 SKU Master'!$A$5:$A$165&lt;&gt;"")*('04 SKU Master'!$AN$5:$AN$165&gt;0))</f>
        <v/>
      </c>
      <c r="E16" s="116" t="inlineStr">
        <is>
          <t>Progress marker, not a pass/fail. This is how many of your ingredients have a real price against them.</t>
        </is>
      </c>
    </row>
    <row r="17" ht="31.5" customHeight="1" s="106">
      <c r="A17" s="136" t="n">
        <v>13</v>
      </c>
      <c r="B17" s="130" t="inlineStr">
        <is>
          <t>Ingredient SKUs still with no quote at all</t>
        </is>
      </c>
      <c r="C17" s="195" t="inlineStr">
        <is>
          <t>INFO</t>
        </is>
      </c>
      <c r="D17" s="193">
        <f>SUMPRODUCT(('04 SKU Master'!$A$5:$A$165&lt;&gt;"")*('04 SKU Master'!$AN$5:$AN$165=0))</f>
        <v/>
      </c>
      <c r="E17" s="116" t="inlineStr">
        <is>
          <t>Progress marker. Work this number down - baobab and the flours first, they gate every dough cost.</t>
        </is>
      </c>
    </row>
    <row r="18" ht="31.5" customHeight="1" s="106">
      <c r="A18" s="136" t="n">
        <v>14</v>
      </c>
      <c r="B18" s="130" t="inlineStr">
        <is>
          <t>Warmer wells cover every sauce that has to be held</t>
        </is>
      </c>
      <c r="C18" s="192">
        <f>IF(ROUND($D18,4)=0,"PASS","FAIL")</f>
        <v/>
      </c>
      <c r="D18" s="193">
        <f>MAX(0,'18 Production Capacity'!$B$65-'18 Production Capacity'!$B$66)</f>
        <v/>
      </c>
      <c r="E18" s="116" t="inlineStr">
        <is>
          <t>The core menu plus the live seasonal drop needs more warmer wells than the line has. Either add a well or take a sauce off the board - see the loadout on 18 Production Capacity.</t>
        </is>
      </c>
    </row>
    <row r="19" ht="31.5" customHeight="1" s="106">
      <c r="A19" s="136" t="n">
        <v>15</v>
      </c>
      <c r="B19" s="130" t="inlineStr">
        <is>
          <t>The extruder window covers tomorrow's batches</t>
        </is>
      </c>
      <c r="C19" s="192">
        <f>IF(ROUND($D19,4)=0,"PASS","FAIL")</f>
        <v/>
      </c>
      <c r="D19" s="193">
        <f>IF('18 Production Capacity'!$B$83="",0,IF('18 Production Capacity'!$B$83&lt;='18 Production Capacity'!$B$84,0,1))</f>
        <v/>
      </c>
      <c r="E19" s="116" t="inlineStr">
        <is>
          <t>The store cannot extrude a full day's pasta inside the hours rostered for it. Extend the window, add a machine, or move the dough make point to CENTRAL KITCHEN on 06.</t>
        </is>
      </c>
    </row>
    <row r="20" ht="31.5" customHeight="1" s="106">
      <c r="A20" s="136" t="n">
        <v>16</v>
      </c>
      <c r="B20" s="130" t="inlineStr">
        <is>
          <t>The drying racks hold tomorrow's wet pasta</t>
        </is>
      </c>
      <c r="C20" s="192">
        <f>IF(ROUND($D20,4)=0,"PASS","FAIL")</f>
        <v/>
      </c>
      <c r="D20" s="193">
        <f>IF('18 Production Capacity'!$B$87="",0,IF('18 Production Capacity'!$B$87&lt;=1,0,1))</f>
        <v/>
      </c>
      <c r="E20" s="116" t="inlineStr">
        <is>
          <t>More wet pasta than rack space. Buy racks, or cut the day's batch and cap covers - see 18 Production Capacity.</t>
        </is>
      </c>
    </row>
    <row r="21" ht="31.5" customHeight="1" s="106">
      <c r="A21" s="136" t="n">
        <v>17</v>
      </c>
      <c r="B21" s="130" t="inlineStr">
        <is>
          <t>Planned daily volume is inside the true daily ceiling</t>
        </is>
      </c>
      <c r="C21" s="192">
        <f>IF(ROUND($D21,4)=0,"PASS","FAIL")</f>
        <v/>
      </c>
      <c r="D21" s="193">
        <f>IF('18 Production Capacity'!$B$90="",0,IF('01 Control'!$C$26&lt;='18 Production Capacity'!$B$90,0,1))</f>
        <v/>
      </c>
      <c r="E21" s="116" t="inlineStr">
        <is>
          <t>01 Control plans more covers a day than the store can either serve or supply pasta for. 18 Production Capacity names which of the two binds.</t>
        </is>
      </c>
    </row>
    <row r="22" ht="31.5" customHeight="1" s="106">
      <c r="A22" s="136" t="n">
        <v>18</v>
      </c>
      <c r="B22" s="130" t="inlineStr">
        <is>
          <t>Ingredient SKUs with fewer than 3 quotes</t>
        </is>
      </c>
      <c r="C22" s="195" t="inlineStr">
        <is>
          <t>INFO</t>
        </is>
      </c>
      <c r="D22" s="193">
        <f>SUMPRODUCT(('04 SKU Master'!$A$5:$A$165&lt;&gt;"")*('04 SKU Master'!$AN$5:$AN$165&gt;0)*('04 SKU Master'!$AN$5:$AN$165&lt;3))</f>
        <v/>
      </c>
      <c r="E22" s="116" t="inlineStr">
        <is>
          <t>Progress marker. One quote is a price; three is a negotiation. These are the SKUs where you have least leverage.</t>
        </is>
      </c>
    </row>
    <row r="23">
      <c r="A23" t="n">
        <v>19</v>
      </c>
      <c r="B23" t="inlineStr">
        <is>
          <t>Every seasonal drop has a source entry (19 Seasonal Sources)</t>
        </is>
      </c>
      <c r="C23">
        <f>IF(ROUND(COUNTA('19 Seasonal Sources'!$B$5:$B$40),0)=36,"PASS","FAIL")</f>
        <v/>
      </c>
      <c r="D23">
        <f>COUNTA('19 Seasonal Sources'!$B$5:$B$40)&amp;" of 36 drops documented"</f>
        <v/>
      </c>
    </row>
    <row r="24" ht="15" customHeight="1" s="106">
      <c r="A24" t="n">
        <v>20</v>
      </c>
      <c r="B24" s="196" t="inlineStr">
        <is>
          <t>Quote coverage tracker live (20 Quote Coverage)</t>
        </is>
      </c>
      <c r="C24" s="197">
        <f>IF(ROUND('20 Quote Coverage'!$L$3,2)&gt;=0.2,"PASS","INFO")</f>
        <v/>
      </c>
      <c r="D24">
        <f>TEXT('20 Quote Coverage'!$L$3,"0.0%")&amp;" of SKUs priced - INFO while quotes are pending"</f>
        <v/>
      </c>
      <c r="E24" s="116" t="inlineStr">
        <is>
          <t>The three quote-count checks are progress markers, not pass/fail - they never count against the overall result.</t>
        </is>
      </c>
    </row>
    <row r="25">
      <c r="A25" t="n">
        <v>21</v>
      </c>
      <c r="B25" t="inlineStr">
        <is>
          <t>Every seasonal BOM dish still resolves to a cost source</t>
        </is>
      </c>
      <c r="C25">
        <f>IF(ROUND(COUNTIF('11 Seasonal Menu BOM'!$L$5:$L$365,"NOT FOUND"),4)=0,"PASS","FAIL")</f>
        <v/>
      </c>
      <c r="D25">
        <f>COUNTIF('11 Seasonal Menu BOM'!$L$5:$L$365,"NOT FOUND")&amp;" unresolved seasonal lines"</f>
        <v/>
      </c>
    </row>
    <row r="26" ht="19.4" customHeight="1" s="106">
      <c r="A26" s="135" t="inlineStr">
        <is>
          <t>These checks read the workbook, not a snapshot of it - they update the moment you change a supplier price, a make point, a menu mix or a recipe quantity. Check 10 will read FAIL until every ingredient behind every dish has a live quote; that is the model telling you the truth, not a defect.</t>
        </is>
      </c>
    </row>
  </sheetData>
  <sheetProtection selectLockedCells="0" selectUnlockedCells="0" sheet="1" objects="0" insertRows="1" insertHyperlinks="1" autoFilter="0" scenarios="0" formatColumns="0" deleteColumns="1" insertColumns="1" pivotTables="1" deleteRows="1" formatCells="0" formatRows="0" sort="0"/>
  <mergeCells count="3">
    <mergeCell ref="A2:F2"/>
    <mergeCell ref="A1:F1"/>
    <mergeCell ref="A26:E26"/>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S128"/>
  <sheetViews>
    <sheetView showFormulas="0" showGridLines="0" showRowColHeaders="1" showZeros="1" rightToLeft="0" tabSelected="0" showOutlineSymbols="1" defaultGridColor="1" view="normal" topLeftCell="A1" colorId="64" zoomScale="100" zoomScaleNormal="100" zoomScalePageLayoutView="100" workbookViewId="0">
      <pane xSplit="1" ySplit="10" topLeftCell="B11" activePane="bottomRight" state="frozen"/>
      <selection pane="topLeft" activeCell="A1" activeCellId="0" sqref="A1"/>
      <selection pane="topRight" activeCell="B1" activeCellId="0" sqref="B1"/>
      <selection pane="bottomLeft" activeCell="A11" activeCellId="0" sqref="A11"/>
      <selection pane="bottomRight" activeCell="A1" activeCellId="0" sqref="A1"/>
    </sheetView>
  </sheetViews>
  <sheetFormatPr baseColWidth="8" defaultColWidth="8.6796875" defaultRowHeight="15" zeroHeight="0" outlineLevelRow="0"/>
  <cols>
    <col width="22" customWidth="1" style="105" min="1" max="1"/>
    <col width="24" customWidth="1" style="105" min="2" max="2"/>
    <col width="18" customWidth="1" style="105" min="3" max="3"/>
    <col width="40" customWidth="1" style="105" min="4" max="4"/>
    <col width="10" customWidth="1" style="105" min="5" max="5"/>
    <col width="42" customWidth="1" style="105" min="6" max="6"/>
    <col width="11" customWidth="1" style="105" min="7" max="7"/>
    <col width="15" customWidth="1" style="105" min="8" max="8"/>
    <col width="22" customWidth="1" style="105" min="9" max="9"/>
    <col width="11" customWidth="1" style="105" min="10" max="10"/>
    <col width="12" customWidth="1" style="105" min="11" max="11"/>
    <col width="24" customWidth="1" style="105" min="12" max="12"/>
    <col width="26" customWidth="1" style="105" min="13" max="13"/>
    <col width="15" customWidth="1" style="105" min="14" max="15"/>
    <col hidden="1" width="20" customWidth="1" style="105" min="17" max="19"/>
  </cols>
  <sheetData>
    <row r="1" ht="30" customHeight="1" s="106">
      <c r="A1" s="107" t="inlineStr">
        <is>
          <t>RFQ TRACKER  -  WHO IS CHASING WHAT, AND WHAT TO CHASE FIRST</t>
        </is>
      </c>
    </row>
    <row r="2" ht="18" customHeight="1" s="106">
      <c r="A2" s="108" t="inlineStr">
        <is>
          <t>The working tab for the team. One row per ingredient, ranked by how badly the model needs a price for it. Assign an owner, name the supplier being approached, set the status, and record the dates. Priority, quote count and best price are all live - they update the moment a price lands on 04 SKU Master.</t>
        </is>
      </c>
    </row>
    <row r="4" ht="15" customHeight="1" s="106">
      <c r="A4" s="128" t="inlineStr">
        <is>
          <t>PROGRESS  -  live</t>
        </is>
      </c>
      <c r="B4" s="110" t="n"/>
      <c r="C4" s="110" t="n"/>
      <c r="D4" s="110" t="n"/>
      <c r="E4" s="110" t="n"/>
      <c r="F4" s="110" t="n"/>
      <c r="G4" s="110" t="n"/>
      <c r="H4" s="110" t="n"/>
      <c r="I4" s="110" t="n"/>
      <c r="J4" s="110" t="n"/>
      <c r="K4" s="110" t="n"/>
      <c r="L4" s="110" t="n"/>
      <c r="M4" s="110" t="n"/>
      <c r="N4" s="110" t="n"/>
      <c r="O4" s="111" t="n"/>
    </row>
    <row r="5" ht="25.5" customHeight="1" s="106">
      <c r="A5" s="112" t="inlineStr">
        <is>
          <t>Ingredients total</t>
        </is>
      </c>
      <c r="B5" s="112" t="inlineStr">
        <is>
          <t>No quote yet</t>
        </is>
      </c>
      <c r="C5" s="112" t="inlineStr">
        <is>
          <t>1-2 quotes</t>
        </is>
      </c>
      <c r="D5" s="112" t="inlineStr">
        <is>
          <t>3+ quotes</t>
        </is>
      </c>
      <c r="E5" s="112" t="inlineStr">
        <is>
          <t>P1 critical</t>
        </is>
      </c>
      <c r="F5" s="112" t="inlineStr">
        <is>
          <t>Requested</t>
        </is>
      </c>
      <c r="G5" s="112" t="inlineStr">
        <is>
          <t>Quoted</t>
        </is>
      </c>
      <c r="H5" s="112" t="inlineStr">
        <is>
          <t>% with a price</t>
        </is>
      </c>
      <c r="Q5" s="142">
        <f>'02 Lists'!$I$5&amp;""</f>
        <v/>
      </c>
      <c r="R5" s="142">
        <f>'03 Suppliers'!$B$5&amp;""</f>
        <v/>
      </c>
      <c r="S5" s="142">
        <f>'02 Lists'!$H$5&amp;""</f>
        <v/>
      </c>
    </row>
    <row r="6" ht="24" customHeight="1" s="106">
      <c r="A6" s="198">
        <f>COUNTA('04 SKU Master'!$A$5:$A$165)</f>
        <v/>
      </c>
      <c r="B6" s="198">
        <f>COUNTIF($G$11:$G$160,0)</f>
        <v/>
      </c>
      <c r="C6" s="198">
        <f>COUNTIFS($G$11:$G$160,"&gt;0",$G$11:$G$160,"&lt;3")</f>
        <v/>
      </c>
      <c r="D6" s="198">
        <f>COUNTIF($G$11:$G$160,"&gt;=3")</f>
        <v/>
      </c>
      <c r="E6" s="198">
        <f>COUNTIF($A$11:$A$160,"P1*")</f>
        <v/>
      </c>
      <c r="F6" s="198">
        <f>COUNTIF($N$11:$N$160,"Requested")</f>
        <v/>
      </c>
      <c r="G6" s="198">
        <f>COUNTIF($N$11:$N$160,"Quoted")</f>
        <v/>
      </c>
      <c r="H6" s="199">
        <f>IF($A$6=0,"",($A$6-$B$6)/$A$6)</f>
        <v/>
      </c>
      <c r="Q6" s="142">
        <f>'02 Lists'!$I$6&amp;""</f>
        <v/>
      </c>
      <c r="R6" s="142">
        <f>'03 Suppliers'!$B$6&amp;""</f>
        <v/>
      </c>
      <c r="S6" s="142">
        <f>'02 Lists'!$H$6&amp;""</f>
        <v/>
      </c>
    </row>
    <row r="7" ht="15" customHeight="1" s="106">
      <c r="A7" s="179" t="inlineStr">
        <is>
          <t>WORKLOAD  -  open items per person (an item is open until three quotes are in)</t>
        </is>
      </c>
      <c r="B7" s="110" t="n"/>
      <c r="C7" s="110" t="n"/>
      <c r="D7" s="110" t="n"/>
      <c r="E7" s="110" t="n"/>
      <c r="F7" s="110" t="n"/>
      <c r="G7" s="110" t="n"/>
      <c r="H7" s="110" t="n"/>
      <c r="I7" s="110" t="n"/>
      <c r="J7" s="110" t="n"/>
      <c r="K7" s="110" t="n"/>
      <c r="L7" s="110" t="n"/>
      <c r="M7" s="110" t="n"/>
      <c r="N7" s="110" t="n"/>
      <c r="O7" s="111" t="n"/>
      <c r="Q7" s="142">
        <f>'02 Lists'!$I$7&amp;""</f>
        <v/>
      </c>
      <c r="R7" s="142">
        <f>'03 Suppliers'!$B$7&amp;""</f>
        <v/>
      </c>
      <c r="S7" s="142">
        <f>'02 Lists'!$H$7&amp;""</f>
        <v/>
      </c>
    </row>
    <row r="8" ht="21.75" customHeight="1" s="106">
      <c r="A8" s="200" t="inlineStr">
        <is>
          <t>PPP1</t>
        </is>
      </c>
      <c r="B8" s="201">
        <f>COUNTIFS($L$11:$L$160,"PPP1",$A$11:$A$160,"&lt;&gt;P5*")</f>
        <v/>
      </c>
      <c r="C8" s="202">
        <f>"of which P1: "&amp;COUNTIFS($L$11:$L$160,"PPP1",$A$11:$A$160,"P1*")</f>
        <v/>
      </c>
      <c r="D8" s="200" t="inlineStr">
        <is>
          <t>PPP2</t>
        </is>
      </c>
      <c r="E8" s="201">
        <f>COUNTIFS($L$11:$L$160,"PPP2",$A$11:$A$160,"&lt;&gt;P5*")</f>
        <v/>
      </c>
      <c r="F8" s="202">
        <f>"of which P1: "&amp;COUNTIFS($L$11:$L$160,"PPP2",$A$11:$A$160,"P1*")</f>
        <v/>
      </c>
      <c r="G8" s="200" t="inlineStr">
        <is>
          <t>Ricardo</t>
        </is>
      </c>
      <c r="H8" s="201">
        <f>COUNTIFS($L$11:$L$160,"Ricardo",$A$11:$A$160,"&lt;&gt;P5*")</f>
        <v/>
      </c>
      <c r="I8" s="202">
        <f>"of which P1: "&amp;COUNTIFS($L$11:$L$160,"Ricardo",$A$11:$A$160,"P1*")</f>
        <v/>
      </c>
      <c r="J8" s="200" t="inlineStr">
        <is>
          <t>Unassigned</t>
        </is>
      </c>
      <c r="K8" s="201">
        <f>COUNTIFS($L$11:$L$160,"",$A$11:$A$160,"P1*")+COUNTIFS($L$11:$L$160,"",$A$11:$A$160,"P2*")+COUNTIFS($L$11:$L$160,"",$A$11:$A$160,"P3*")+COUNTIFS($L$11:$L$160,"",$A$11:$A$160,"P4*")</f>
        <v/>
      </c>
      <c r="L8" s="202">
        <f>"of which P1: "&amp;COUNTIFS($L$11:$L$160,"",$A$11:$A$160,"P1*")</f>
        <v/>
      </c>
      <c r="R8" s="142">
        <f>'03 Suppliers'!$B$8&amp;""</f>
        <v/>
      </c>
      <c r="S8" s="142">
        <f>'02 Lists'!$H$8&amp;""</f>
        <v/>
      </c>
    </row>
    <row r="9" ht="15" customHeight="1" s="106">
      <c r="A9" s="135" t="inlineStr">
        <is>
          <t>Two people are collecting quotes. 16 items are P1 CRITICAL - that is roughly eight each before anything can be costed. Filter column A to P1, split the list, and work down. Ricardo is the third name for escalation and the supplier relationships he owns himself.</t>
        </is>
      </c>
      <c r="R9" s="142">
        <f>'03 Suppliers'!$B$9&amp;""</f>
        <v/>
      </c>
      <c r="S9" s="142">
        <f>'02 Lists'!$H$9&amp;""</f>
        <v/>
      </c>
    </row>
    <row r="10" ht="43.5" customHeight="1" s="106">
      <c r="A10" s="112" t="inlineStr">
        <is>
          <t>PRIORITY</t>
        </is>
      </c>
      <c r="B10" s="112" t="inlineStr">
        <is>
          <t>Ingredient SKU</t>
        </is>
      </c>
      <c r="C10" s="112" t="inlineStr">
        <is>
          <t>Category</t>
        </is>
      </c>
      <c r="D10" s="112" t="inlineStr">
        <is>
          <t>Item Description</t>
        </is>
      </c>
      <c r="E10" s="112" t="inlineStr">
        <is>
          <t>Base
Unit</t>
        </is>
      </c>
      <c r="F10" s="112" t="inlineStr">
        <is>
          <t>Spec the supplier needs to quote against</t>
        </is>
      </c>
      <c r="G10" s="112" t="inlineStr">
        <is>
          <t>Quotes
Held</t>
        </is>
      </c>
      <c r="H10" s="112" t="inlineStr">
        <is>
          <t>Best Price
Now</t>
        </is>
      </c>
      <c r="I10" s="112" t="inlineStr">
        <is>
          <t>Cheapest Supplier So Far</t>
        </is>
      </c>
      <c r="J10" s="112" t="inlineStr">
        <is>
          <t>Used in (recipes)</t>
        </is>
      </c>
      <c r="K10" s="112" t="inlineStr">
        <is>
          <t>ASSIGNED TO</t>
        </is>
      </c>
      <c r="L10" s="112" t="inlineStr">
        <is>
          <t>TARGET SUPPLIER</t>
        </is>
      </c>
      <c r="M10" s="112" t="inlineStr">
        <is>
          <t>STATUS</t>
        </is>
      </c>
      <c r="N10" s="112" t="inlineStr">
        <is>
          <t>Date Requested</t>
        </is>
      </c>
      <c r="R10" s="142">
        <f>'03 Suppliers'!$B$10&amp;""</f>
        <v/>
      </c>
      <c r="S10" s="142">
        <f>'02 Lists'!$H$10&amp;""</f>
        <v/>
      </c>
    </row>
    <row r="11" ht="15" customHeight="1" s="106">
      <c r="A11" s="203">
        <f>IF($J11=0,"P5 NOT USED YET",IF($G11&gt;=3,"P5 DONE",IF($G11&gt;0,"P4 GET MORE QUOTES",IF($K11="High",IF($J11&gt;=3,"P1 CRITICAL","P2 HIGH"),IF($K11="Medium",IF($J11&gt;=3,"P2 HIGH","P3 NORMAL"),"P3 NORMAL")))))</f>
        <v/>
      </c>
      <c r="B11" s="134">
        <f>'04 SKU Master'!$A$5</f>
        <v/>
      </c>
      <c r="C11" s="138">
        <f>'04 SKU Master'!$B$5</f>
        <v/>
      </c>
      <c r="D11" s="113">
        <f>'04 SKU Master'!$C$5</f>
        <v/>
      </c>
      <c r="E11" s="164">
        <f>'04 SKU Master'!$D$5</f>
        <v/>
      </c>
      <c r="F11" s="116">
        <f>'04 SKU Master'!$F$5</f>
        <v/>
      </c>
      <c r="G11" s="193">
        <f>'04 SKU Master'!$AN$5</f>
        <v/>
      </c>
      <c r="H11" s="150">
        <f>IF('04 SKU Master'!$AM$5="","",'04 SKU Master'!$AM$5)</f>
        <v/>
      </c>
      <c r="I11" s="204">
        <f>IF('04 SKU Master'!$AL$5="","",'04 SKU Master'!$AL$5)</f>
        <v/>
      </c>
      <c r="J11" s="152">
        <f>COUNTIF('06 Pasta Dough BOM'!$B$14:$B$206,$B11)+COUNTIF('07 Core Sauce BOM CK'!$B$14:$B$412,$B11)+COUNTIF('08 Seasonal Sauce BOM CK'!$B$14:$B$324,$B11)+COUNTIF('10 Core Menu BOM'!$E$5:$E$300,$B11)+COUNTIF('11 Seasonal Menu BOM'!$E$5:$E$365,$B11)</f>
        <v/>
      </c>
      <c r="K11" s="119" t="inlineStr">
        <is>
          <t>High</t>
        </is>
      </c>
      <c r="L11" s="140" t="n"/>
      <c r="M11" s="140" t="n"/>
      <c r="N11" s="141" t="n"/>
      <c r="O11" s="149" t="n"/>
      <c r="R11" s="142">
        <f>'03 Suppliers'!$B$11&amp;""</f>
        <v/>
      </c>
    </row>
    <row r="12" ht="15" customHeight="1" s="106">
      <c r="A12" s="203">
        <f>IF($J12=0,"P5 NOT USED YET",IF($G12&gt;=3,"P5 DONE",IF($G12&gt;0,"P4 GET MORE QUOTES",IF($K12="High",IF($J12&gt;=3,"P1 CRITICAL","P2 HIGH"),IF($K12="Medium",IF($J12&gt;=3,"P2 HIGH","P3 NORMAL"),"P3 NORMAL")))))</f>
        <v/>
      </c>
      <c r="B12" s="134">
        <f>'04 SKU Master'!$A$6</f>
        <v/>
      </c>
      <c r="C12" s="138">
        <f>'04 SKU Master'!$B$6</f>
        <v/>
      </c>
      <c r="D12" s="113">
        <f>'04 SKU Master'!$C$6</f>
        <v/>
      </c>
      <c r="E12" s="164">
        <f>'04 SKU Master'!$D$6</f>
        <v/>
      </c>
      <c r="F12" s="116">
        <f>'04 SKU Master'!$F$6</f>
        <v/>
      </c>
      <c r="G12" s="193">
        <f>'04 SKU Master'!$AN$6</f>
        <v/>
      </c>
      <c r="H12" s="150">
        <f>IF('04 SKU Master'!$AM$6="","",'04 SKU Master'!$AM$6)</f>
        <v/>
      </c>
      <c r="I12" s="204">
        <f>IF('04 SKU Master'!$AL$6="","",'04 SKU Master'!$AL$6)</f>
        <v/>
      </c>
      <c r="J12" s="152">
        <f>COUNTIF('06 Pasta Dough BOM'!$B$14:$B$206,$B12)+COUNTIF('07 Core Sauce BOM CK'!$B$14:$B$412,$B12)+COUNTIF('08 Seasonal Sauce BOM CK'!$B$14:$B$324,$B12)+COUNTIF('10 Core Menu BOM'!$E$5:$E$300,$B12)+COUNTIF('11 Seasonal Menu BOM'!$E$5:$E$365,$B12)</f>
        <v/>
      </c>
      <c r="K12" s="119" t="inlineStr">
        <is>
          <t>High</t>
        </is>
      </c>
      <c r="L12" s="140" t="n"/>
      <c r="M12" s="140" t="n"/>
      <c r="N12" s="141" t="n"/>
      <c r="O12" s="149" t="n"/>
      <c r="R12" s="142">
        <f>'03 Suppliers'!$B$12&amp;""</f>
        <v/>
      </c>
    </row>
    <row r="13" ht="15" customHeight="1" s="106">
      <c r="A13" s="203">
        <f>IF($J13=0,"P5 NOT USED YET",IF($G13&gt;=3,"P5 DONE",IF($G13&gt;0,"P4 GET MORE QUOTES",IF($K13="High",IF($J13&gt;=3,"P1 CRITICAL","P2 HIGH"),IF($K13="Medium",IF($J13&gt;=3,"P2 HIGH","P3 NORMAL"),"P3 NORMAL")))))</f>
        <v/>
      </c>
      <c r="B13" s="134">
        <f>'04 SKU Master'!$A$7</f>
        <v/>
      </c>
      <c r="C13" s="138">
        <f>'04 SKU Master'!$B$7</f>
        <v/>
      </c>
      <c r="D13" s="113">
        <f>'04 SKU Master'!$C$7</f>
        <v/>
      </c>
      <c r="E13" s="164">
        <f>'04 SKU Master'!$D$7</f>
        <v/>
      </c>
      <c r="F13" s="116">
        <f>'04 SKU Master'!$F$7</f>
        <v/>
      </c>
      <c r="G13" s="193">
        <f>'04 SKU Master'!$AN$7</f>
        <v/>
      </c>
      <c r="H13" s="150">
        <f>IF('04 SKU Master'!$AM$7="","",'04 SKU Master'!$AM$7)</f>
        <v/>
      </c>
      <c r="I13" s="204">
        <f>IF('04 SKU Master'!$AL$7="","",'04 SKU Master'!$AL$7)</f>
        <v/>
      </c>
      <c r="J13" s="152">
        <f>COUNTIF('06 Pasta Dough BOM'!$B$14:$B$206,$B13)+COUNTIF('07 Core Sauce BOM CK'!$B$14:$B$412,$B13)+COUNTIF('08 Seasonal Sauce BOM CK'!$B$14:$B$324,$B13)+COUNTIF('10 Core Menu BOM'!$E$5:$E$300,$B13)+COUNTIF('11 Seasonal Menu BOM'!$E$5:$E$365,$B13)</f>
        <v/>
      </c>
      <c r="K13" s="119" t="inlineStr">
        <is>
          <t>High</t>
        </is>
      </c>
      <c r="L13" s="140" t="n"/>
      <c r="M13" s="140" t="n"/>
      <c r="N13" s="141" t="n"/>
      <c r="O13" s="149" t="n"/>
      <c r="R13" s="142">
        <f>'03 Suppliers'!$B$13&amp;""</f>
        <v/>
      </c>
    </row>
    <row r="14" ht="19.4" customHeight="1" s="106">
      <c r="A14" s="203">
        <f>IF($J14=0,"P5 NOT USED YET",IF($G14&gt;=3,"P5 DONE",IF($G14&gt;0,"P4 GET MORE QUOTES",IF($K14="High",IF($J14&gt;=3,"P1 CRITICAL","P2 HIGH"),IF($K14="Medium",IF($J14&gt;=3,"P2 HIGH","P3 NORMAL"),"P3 NORMAL")))))</f>
        <v/>
      </c>
      <c r="B14" s="134">
        <f>'04 SKU Master'!$A$8</f>
        <v/>
      </c>
      <c r="C14" s="138">
        <f>'04 SKU Master'!$B$8</f>
        <v/>
      </c>
      <c r="D14" s="113">
        <f>'04 SKU Master'!$C$8</f>
        <v/>
      </c>
      <c r="E14" s="164">
        <f>'04 SKU Master'!$D$8</f>
        <v/>
      </c>
      <c r="F14" s="116">
        <f>'04 SKU Master'!$F$8</f>
        <v/>
      </c>
      <c r="G14" s="193">
        <f>'04 SKU Master'!$AN$8</f>
        <v/>
      </c>
      <c r="H14" s="150">
        <f>IF('04 SKU Master'!$AM$8="","",'04 SKU Master'!$AM$8)</f>
        <v/>
      </c>
      <c r="I14" s="204">
        <f>IF('04 SKU Master'!$AL$8="","",'04 SKU Master'!$AL$8)</f>
        <v/>
      </c>
      <c r="J14" s="152">
        <f>COUNTIF('06 Pasta Dough BOM'!$B$14:$B$206,$B14)+COUNTIF('07 Core Sauce BOM CK'!$B$14:$B$412,$B14)+COUNTIF('08 Seasonal Sauce BOM CK'!$B$14:$B$324,$B14)+COUNTIF('10 Core Menu BOM'!$E$5:$E$300,$B14)+COUNTIF('11 Seasonal Menu BOM'!$E$5:$E$365,$B14)</f>
        <v/>
      </c>
      <c r="K14" s="119" t="inlineStr">
        <is>
          <t>High</t>
        </is>
      </c>
      <c r="L14" s="140" t="n"/>
      <c r="M14" s="140" t="n"/>
      <c r="N14" s="141" t="n"/>
      <c r="O14" s="149" t="n"/>
      <c r="R14" s="142">
        <f>'03 Suppliers'!$B$14&amp;""</f>
        <v/>
      </c>
    </row>
    <row r="15" ht="15" customHeight="1" s="106">
      <c r="A15" s="203">
        <f>IF($J15=0,"P5 NOT USED YET",IF($G15&gt;=3,"P5 DONE",IF($G15&gt;0,"P4 GET MORE QUOTES",IF($K15="High",IF($J15&gt;=3,"P1 CRITICAL","P2 HIGH"),IF($K15="Medium",IF($J15&gt;=3,"P2 HIGH","P3 NORMAL"),"P3 NORMAL")))))</f>
        <v/>
      </c>
      <c r="B15" s="134">
        <f>'04 SKU Master'!$A$9</f>
        <v/>
      </c>
      <c r="C15" s="138">
        <f>'04 SKU Master'!$B$9</f>
        <v/>
      </c>
      <c r="D15" s="113">
        <f>'04 SKU Master'!$C$9</f>
        <v/>
      </c>
      <c r="E15" s="164">
        <f>'04 SKU Master'!$D$9</f>
        <v/>
      </c>
      <c r="F15" s="116">
        <f>'04 SKU Master'!$F$9</f>
        <v/>
      </c>
      <c r="G15" s="193">
        <f>'04 SKU Master'!$AN$9</f>
        <v/>
      </c>
      <c r="H15" s="150">
        <f>IF('04 SKU Master'!$AM$9="","",'04 SKU Master'!$AM$9)</f>
        <v/>
      </c>
      <c r="I15" s="204">
        <f>IF('04 SKU Master'!$AL$9="","",'04 SKU Master'!$AL$9)</f>
        <v/>
      </c>
      <c r="J15" s="152">
        <f>COUNTIF('06 Pasta Dough BOM'!$B$14:$B$206,$B15)+COUNTIF('07 Core Sauce BOM CK'!$B$14:$B$412,$B15)+COUNTIF('08 Seasonal Sauce BOM CK'!$B$14:$B$324,$B15)+COUNTIF('10 Core Menu BOM'!$E$5:$E$300,$B15)+COUNTIF('11 Seasonal Menu BOM'!$E$5:$E$365,$B15)</f>
        <v/>
      </c>
      <c r="K15" s="119" t="inlineStr">
        <is>
          <t>High</t>
        </is>
      </c>
      <c r="L15" s="140" t="n"/>
      <c r="M15" s="140" t="n"/>
      <c r="N15" s="141" t="n"/>
      <c r="O15" s="149" t="n"/>
      <c r="R15" s="142">
        <f>'03 Suppliers'!$B$15&amp;""</f>
        <v/>
      </c>
    </row>
    <row r="16" ht="19.4" customHeight="1" s="106">
      <c r="A16" s="203">
        <f>IF($J16=0,"P5 NOT USED YET",IF($G16&gt;=3,"P5 DONE",IF($G16&gt;0,"P4 GET MORE QUOTES",IF($K16="High",IF($J16&gt;=3,"P1 CRITICAL","P2 HIGH"),IF($K16="Medium",IF($J16&gt;=3,"P2 HIGH","P3 NORMAL"),"P3 NORMAL")))))</f>
        <v/>
      </c>
      <c r="B16" s="134">
        <f>'04 SKU Master'!$A$10</f>
        <v/>
      </c>
      <c r="C16" s="138">
        <f>'04 SKU Master'!$B$10</f>
        <v/>
      </c>
      <c r="D16" s="113">
        <f>'04 SKU Master'!$C$10</f>
        <v/>
      </c>
      <c r="E16" s="164">
        <f>'04 SKU Master'!$D$10</f>
        <v/>
      </c>
      <c r="F16" s="116">
        <f>'04 SKU Master'!$F$10</f>
        <v/>
      </c>
      <c r="G16" s="193">
        <f>'04 SKU Master'!$AN$10</f>
        <v/>
      </c>
      <c r="H16" s="150">
        <f>IF('04 SKU Master'!$AM$10="","",'04 SKU Master'!$AM$10)</f>
        <v/>
      </c>
      <c r="I16" s="204">
        <f>IF('04 SKU Master'!$AL$10="","",'04 SKU Master'!$AL$10)</f>
        <v/>
      </c>
      <c r="J16" s="152">
        <f>COUNTIF('06 Pasta Dough BOM'!$B$14:$B$206,$B16)+COUNTIF('07 Core Sauce BOM CK'!$B$14:$B$412,$B16)+COUNTIF('08 Seasonal Sauce BOM CK'!$B$14:$B$324,$B16)+COUNTIF('10 Core Menu BOM'!$E$5:$E$300,$B16)+COUNTIF('11 Seasonal Menu BOM'!$E$5:$E$365,$B16)</f>
        <v/>
      </c>
      <c r="K16" s="119" t="inlineStr">
        <is>
          <t>High</t>
        </is>
      </c>
      <c r="L16" s="140" t="n"/>
      <c r="M16" s="140" t="n"/>
      <c r="N16" s="141" t="n"/>
      <c r="O16" s="149" t="n"/>
      <c r="R16" s="142">
        <f>'03 Suppliers'!$B$16&amp;""</f>
        <v/>
      </c>
    </row>
    <row r="17" ht="19.4" customHeight="1" s="106">
      <c r="A17" s="203">
        <f>IF($J17=0,"P5 NOT USED YET",IF($G17&gt;=3,"P5 DONE",IF($G17&gt;0,"P4 GET MORE QUOTES",IF($K17="High",IF($J17&gt;=3,"P1 CRITICAL","P2 HIGH"),IF($K17="Medium",IF($J17&gt;=3,"P2 HIGH","P3 NORMAL"),"P3 NORMAL")))))</f>
        <v/>
      </c>
      <c r="B17" s="134">
        <f>'04 SKU Master'!$A$11</f>
        <v/>
      </c>
      <c r="C17" s="138">
        <f>'04 SKU Master'!$B$11</f>
        <v/>
      </c>
      <c r="D17" s="113">
        <f>'04 SKU Master'!$C$11</f>
        <v/>
      </c>
      <c r="E17" s="164">
        <f>'04 SKU Master'!$D$11</f>
        <v/>
      </c>
      <c r="F17" s="116">
        <f>'04 SKU Master'!$F$11</f>
        <v/>
      </c>
      <c r="G17" s="193">
        <f>'04 SKU Master'!$AN$11</f>
        <v/>
      </c>
      <c r="H17" s="150">
        <f>IF('04 SKU Master'!$AM$11="","",'04 SKU Master'!$AM$11)</f>
        <v/>
      </c>
      <c r="I17" s="204">
        <f>IF('04 SKU Master'!$AL$11="","",'04 SKU Master'!$AL$11)</f>
        <v/>
      </c>
      <c r="J17" s="152">
        <f>COUNTIF('06 Pasta Dough BOM'!$B$14:$B$206,$B17)+COUNTIF('07 Core Sauce BOM CK'!$B$14:$B$412,$B17)+COUNTIF('08 Seasonal Sauce BOM CK'!$B$14:$B$324,$B17)+COUNTIF('10 Core Menu BOM'!$E$5:$E$300,$B17)+COUNTIF('11 Seasonal Menu BOM'!$E$5:$E$365,$B17)</f>
        <v/>
      </c>
      <c r="K17" s="119" t="inlineStr">
        <is>
          <t>High</t>
        </is>
      </c>
      <c r="L17" s="140" t="n"/>
      <c r="M17" s="140" t="n"/>
      <c r="N17" s="141" t="n"/>
      <c r="O17" s="149" t="n"/>
      <c r="R17" s="142">
        <f>'03 Suppliers'!$B$17&amp;""</f>
        <v/>
      </c>
    </row>
    <row r="18" ht="19.4" customHeight="1" s="106">
      <c r="A18" s="203">
        <f>IF($J18=0,"P5 NOT USED YET",IF($G18&gt;=3,"P5 DONE",IF($G18&gt;0,"P4 GET MORE QUOTES",IF($K18="High",IF($J18&gt;=3,"P1 CRITICAL","P2 HIGH"),IF($K18="Medium",IF($J18&gt;=3,"P2 HIGH","P3 NORMAL"),"P3 NORMAL")))))</f>
        <v/>
      </c>
      <c r="B18" s="134">
        <f>'04 SKU Master'!$A$12</f>
        <v/>
      </c>
      <c r="C18" s="138">
        <f>'04 SKU Master'!$B$12</f>
        <v/>
      </c>
      <c r="D18" s="113">
        <f>'04 SKU Master'!$C$12</f>
        <v/>
      </c>
      <c r="E18" s="164">
        <f>'04 SKU Master'!$D$12</f>
        <v/>
      </c>
      <c r="F18" s="116">
        <f>'04 SKU Master'!$F$12</f>
        <v/>
      </c>
      <c r="G18" s="193">
        <f>'04 SKU Master'!$AN$12</f>
        <v/>
      </c>
      <c r="H18" s="150">
        <f>IF('04 SKU Master'!$AM$12="","",'04 SKU Master'!$AM$12)</f>
        <v/>
      </c>
      <c r="I18" s="204">
        <f>IF('04 SKU Master'!$AL$12="","",'04 SKU Master'!$AL$12)</f>
        <v/>
      </c>
      <c r="J18" s="152">
        <f>COUNTIF('06 Pasta Dough BOM'!$B$14:$B$206,$B18)+COUNTIF('07 Core Sauce BOM CK'!$B$14:$B$412,$B18)+COUNTIF('08 Seasonal Sauce BOM CK'!$B$14:$B$324,$B18)+COUNTIF('10 Core Menu BOM'!$E$5:$E$300,$B18)+COUNTIF('11 Seasonal Menu BOM'!$E$5:$E$365,$B18)</f>
        <v/>
      </c>
      <c r="K18" s="119" t="inlineStr">
        <is>
          <t>High</t>
        </is>
      </c>
      <c r="L18" s="140" t="n"/>
      <c r="M18" s="140" t="n"/>
      <c r="N18" s="141" t="n"/>
      <c r="O18" s="149" t="n"/>
      <c r="R18" s="142">
        <f>'03 Suppliers'!$B$18&amp;""</f>
        <v/>
      </c>
    </row>
    <row r="19" ht="15" customHeight="1" s="106">
      <c r="A19" s="203">
        <f>IF($J19=0,"P5 NOT USED YET",IF($G19&gt;=3,"P5 DONE",IF($G19&gt;0,"P4 GET MORE QUOTES",IF($K19="High",IF($J19&gt;=3,"P1 CRITICAL","P2 HIGH"),IF($K19="Medium",IF($J19&gt;=3,"P2 HIGH","P3 NORMAL"),"P3 NORMAL")))))</f>
        <v/>
      </c>
      <c r="B19" s="134">
        <f>'04 SKU Master'!$A$13</f>
        <v/>
      </c>
      <c r="C19" s="138">
        <f>'04 SKU Master'!$B$13</f>
        <v/>
      </c>
      <c r="D19" s="113">
        <f>'04 SKU Master'!$C$13</f>
        <v/>
      </c>
      <c r="E19" s="164">
        <f>'04 SKU Master'!$D$13</f>
        <v/>
      </c>
      <c r="F19" s="116">
        <f>'04 SKU Master'!$F$13</f>
        <v/>
      </c>
      <c r="G19" s="193">
        <f>'04 SKU Master'!$AN$13</f>
        <v/>
      </c>
      <c r="H19" s="150">
        <f>IF('04 SKU Master'!$AM$13="","",'04 SKU Master'!$AM$13)</f>
        <v/>
      </c>
      <c r="I19" s="204">
        <f>IF('04 SKU Master'!$AL$13="","",'04 SKU Master'!$AL$13)</f>
        <v/>
      </c>
      <c r="J19" s="152">
        <f>COUNTIF('06 Pasta Dough BOM'!$B$14:$B$206,$B19)+COUNTIF('07 Core Sauce BOM CK'!$B$14:$B$412,$B19)+COUNTIF('08 Seasonal Sauce BOM CK'!$B$14:$B$324,$B19)+COUNTIF('10 Core Menu BOM'!$E$5:$E$300,$B19)+COUNTIF('11 Seasonal Menu BOM'!$E$5:$E$365,$B19)</f>
        <v/>
      </c>
      <c r="K19" s="119" t="inlineStr">
        <is>
          <t>High</t>
        </is>
      </c>
      <c r="L19" s="140" t="n"/>
      <c r="M19" s="140" t="n"/>
      <c r="N19" s="141" t="n"/>
      <c r="O19" s="149" t="n"/>
      <c r="R19" s="142">
        <f>'03 Suppliers'!$B$19&amp;""</f>
        <v/>
      </c>
    </row>
    <row r="20" ht="15" customHeight="1" s="106">
      <c r="A20" s="203">
        <f>IF($J20=0,"P5 NOT USED YET",IF($G20&gt;=3,"P5 DONE",IF($G20&gt;0,"P4 GET MORE QUOTES",IF($K20="High",IF($J20&gt;=3,"P1 CRITICAL","P2 HIGH"),IF($K20="Medium",IF($J20&gt;=3,"P2 HIGH","P3 NORMAL"),"P3 NORMAL")))))</f>
        <v/>
      </c>
      <c r="B20" s="134">
        <f>'04 SKU Master'!$A$14</f>
        <v/>
      </c>
      <c r="C20" s="138">
        <f>'04 SKU Master'!$B$14</f>
        <v/>
      </c>
      <c r="D20" s="113">
        <f>'04 SKU Master'!$C$14</f>
        <v/>
      </c>
      <c r="E20" s="164">
        <f>'04 SKU Master'!$D$14</f>
        <v/>
      </c>
      <c r="F20" s="116">
        <f>'04 SKU Master'!$F$14</f>
        <v/>
      </c>
      <c r="G20" s="193">
        <f>'04 SKU Master'!$AN$14</f>
        <v/>
      </c>
      <c r="H20" s="150">
        <f>IF('04 SKU Master'!$AM$14="","",'04 SKU Master'!$AM$14)</f>
        <v/>
      </c>
      <c r="I20" s="204">
        <f>IF('04 SKU Master'!$AL$14="","",'04 SKU Master'!$AL$14)</f>
        <v/>
      </c>
      <c r="J20" s="152">
        <f>COUNTIF('06 Pasta Dough BOM'!$B$14:$B$206,$B20)+COUNTIF('07 Core Sauce BOM CK'!$B$14:$B$412,$B20)+COUNTIF('08 Seasonal Sauce BOM CK'!$B$14:$B$324,$B20)+COUNTIF('10 Core Menu BOM'!$E$5:$E$300,$B20)+COUNTIF('11 Seasonal Menu BOM'!$E$5:$E$365,$B20)</f>
        <v/>
      </c>
      <c r="K20" s="119" t="inlineStr">
        <is>
          <t>High</t>
        </is>
      </c>
      <c r="L20" s="140" t="n"/>
      <c r="M20" s="140" t="n"/>
      <c r="N20" s="141" t="n"/>
      <c r="O20" s="149" t="n"/>
      <c r="R20" s="142">
        <f>'03 Suppliers'!$B$20&amp;""</f>
        <v/>
      </c>
    </row>
    <row r="21" ht="15" customHeight="1" s="106">
      <c r="A21" s="203">
        <f>IF($J21=0,"P5 NOT USED YET",IF($G21&gt;=3,"P5 DONE",IF($G21&gt;0,"P4 GET MORE QUOTES",IF($K21="High",IF($J21&gt;=3,"P1 CRITICAL","P2 HIGH"),IF($K21="Medium",IF($J21&gt;=3,"P2 HIGH","P3 NORMAL"),"P3 NORMAL")))))</f>
        <v/>
      </c>
      <c r="B21" s="134">
        <f>'04 SKU Master'!$A$15</f>
        <v/>
      </c>
      <c r="C21" s="138">
        <f>'04 SKU Master'!$B$15</f>
        <v/>
      </c>
      <c r="D21" s="113">
        <f>'04 SKU Master'!$C$15</f>
        <v/>
      </c>
      <c r="E21" s="164">
        <f>'04 SKU Master'!$D$15</f>
        <v/>
      </c>
      <c r="F21" s="116">
        <f>'04 SKU Master'!$F$15</f>
        <v/>
      </c>
      <c r="G21" s="193">
        <f>'04 SKU Master'!$AN$15</f>
        <v/>
      </c>
      <c r="H21" s="150">
        <f>IF('04 SKU Master'!$AM$15="","",'04 SKU Master'!$AM$15)</f>
        <v/>
      </c>
      <c r="I21" s="204">
        <f>IF('04 SKU Master'!$AL$15="","",'04 SKU Master'!$AL$15)</f>
        <v/>
      </c>
      <c r="J21" s="152">
        <f>COUNTIF('06 Pasta Dough BOM'!$B$14:$B$206,$B21)+COUNTIF('07 Core Sauce BOM CK'!$B$14:$B$412,$B21)+COUNTIF('08 Seasonal Sauce BOM CK'!$B$14:$B$324,$B21)+COUNTIF('10 Core Menu BOM'!$E$5:$E$300,$B21)+COUNTIF('11 Seasonal Menu BOM'!$E$5:$E$365,$B21)</f>
        <v/>
      </c>
      <c r="K21" s="119" t="inlineStr">
        <is>
          <t>High</t>
        </is>
      </c>
      <c r="L21" s="140" t="n"/>
      <c r="M21" s="140" t="n"/>
      <c r="N21" s="141" t="n"/>
      <c r="O21" s="149" t="n"/>
      <c r="R21" s="142">
        <f>'03 Suppliers'!$B$21&amp;""</f>
        <v/>
      </c>
    </row>
    <row r="22" ht="15" customHeight="1" s="106">
      <c r="A22" s="203">
        <f>IF($J22=0,"P5 NOT USED YET",IF($G22&gt;=3,"P5 DONE",IF($G22&gt;0,"P4 GET MORE QUOTES",IF($K22="High",IF($J22&gt;=3,"P1 CRITICAL","P2 HIGH"),IF($K22="Medium",IF($J22&gt;=3,"P2 HIGH","P3 NORMAL"),"P3 NORMAL")))))</f>
        <v/>
      </c>
      <c r="B22" s="134">
        <f>'04 SKU Master'!$A$16</f>
        <v/>
      </c>
      <c r="C22" s="138">
        <f>'04 SKU Master'!$B$16</f>
        <v/>
      </c>
      <c r="D22" s="113">
        <f>'04 SKU Master'!$C$16</f>
        <v/>
      </c>
      <c r="E22" s="164">
        <f>'04 SKU Master'!$D$16</f>
        <v/>
      </c>
      <c r="F22" s="116">
        <f>'04 SKU Master'!$F$16</f>
        <v/>
      </c>
      <c r="G22" s="193">
        <f>'04 SKU Master'!$AN$16</f>
        <v/>
      </c>
      <c r="H22" s="150">
        <f>IF('04 SKU Master'!$AM$16="","",'04 SKU Master'!$AM$16)</f>
        <v/>
      </c>
      <c r="I22" s="204">
        <f>IF('04 SKU Master'!$AL$16="","",'04 SKU Master'!$AL$16)</f>
        <v/>
      </c>
      <c r="J22" s="152">
        <f>COUNTIF('06 Pasta Dough BOM'!$B$14:$B$206,$B22)+COUNTIF('07 Core Sauce BOM CK'!$B$14:$B$412,$B22)+COUNTIF('08 Seasonal Sauce BOM CK'!$B$14:$B$324,$B22)+COUNTIF('10 Core Menu BOM'!$E$5:$E$300,$B22)+COUNTIF('11 Seasonal Menu BOM'!$E$5:$E$365,$B22)</f>
        <v/>
      </c>
      <c r="K22" s="119" t="inlineStr">
        <is>
          <t>High</t>
        </is>
      </c>
      <c r="L22" s="140" t="n"/>
      <c r="M22" s="140" t="n"/>
      <c r="N22" s="141" t="n"/>
      <c r="O22" s="149" t="n"/>
      <c r="R22" s="142">
        <f>'03 Suppliers'!$B$22&amp;""</f>
        <v/>
      </c>
    </row>
    <row r="23" ht="15" customHeight="1" s="106">
      <c r="A23" s="203">
        <f>IF($J23=0,"P5 NOT USED YET",IF($G23&gt;=3,"P5 DONE",IF($G23&gt;0,"P4 GET MORE QUOTES",IF($K23="High",IF($J23&gt;=3,"P1 CRITICAL","P2 HIGH"),IF($K23="Medium",IF($J23&gt;=3,"P2 HIGH","P3 NORMAL"),"P3 NORMAL")))))</f>
        <v/>
      </c>
      <c r="B23" s="134">
        <f>'04 SKU Master'!$A$17</f>
        <v/>
      </c>
      <c r="C23" s="138">
        <f>'04 SKU Master'!$B$17</f>
        <v/>
      </c>
      <c r="D23" s="113">
        <f>'04 SKU Master'!$C$17</f>
        <v/>
      </c>
      <c r="E23" s="164">
        <f>'04 SKU Master'!$D$17</f>
        <v/>
      </c>
      <c r="F23" s="116">
        <f>'04 SKU Master'!$F$17</f>
        <v/>
      </c>
      <c r="G23" s="193">
        <f>'04 SKU Master'!$AN$17</f>
        <v/>
      </c>
      <c r="H23" s="150">
        <f>IF('04 SKU Master'!$AM$17="","",'04 SKU Master'!$AM$17)</f>
        <v/>
      </c>
      <c r="I23" s="204">
        <f>IF('04 SKU Master'!$AL$17="","",'04 SKU Master'!$AL$17)</f>
        <v/>
      </c>
      <c r="J23" s="152">
        <f>COUNTIF('06 Pasta Dough BOM'!$B$14:$B$206,$B23)+COUNTIF('07 Core Sauce BOM CK'!$B$14:$B$412,$B23)+COUNTIF('08 Seasonal Sauce BOM CK'!$B$14:$B$324,$B23)+COUNTIF('10 Core Menu BOM'!$E$5:$E$300,$B23)+COUNTIF('11 Seasonal Menu BOM'!$E$5:$E$365,$B23)</f>
        <v/>
      </c>
      <c r="K23" s="119" t="inlineStr">
        <is>
          <t>Low</t>
        </is>
      </c>
      <c r="L23" s="140" t="n"/>
      <c r="M23" s="140" t="n"/>
      <c r="N23" s="141" t="n"/>
      <c r="O23" s="149" t="n"/>
      <c r="R23" s="142">
        <f>'03 Suppliers'!$B$23&amp;""</f>
        <v/>
      </c>
    </row>
    <row r="24" ht="15" customHeight="1" s="106">
      <c r="A24" s="203">
        <f>IF($J24=0,"P5 NOT USED YET",IF($G24&gt;=3,"P5 DONE",IF($G24&gt;0,"P4 GET MORE QUOTES",IF($K24="High",IF($J24&gt;=3,"P1 CRITICAL","P2 HIGH"),IF($K24="Medium",IF($J24&gt;=3,"P2 HIGH","P3 NORMAL"),"P3 NORMAL")))))</f>
        <v/>
      </c>
      <c r="B24" s="134">
        <f>'04 SKU Master'!$A$18</f>
        <v/>
      </c>
      <c r="C24" s="138">
        <f>'04 SKU Master'!$B$18</f>
        <v/>
      </c>
      <c r="D24" s="113">
        <f>'04 SKU Master'!$C$18</f>
        <v/>
      </c>
      <c r="E24" s="164">
        <f>'04 SKU Master'!$D$18</f>
        <v/>
      </c>
      <c r="F24" s="116">
        <f>'04 SKU Master'!$F$18</f>
        <v/>
      </c>
      <c r="G24" s="193">
        <f>'04 SKU Master'!$AN$18</f>
        <v/>
      </c>
      <c r="H24" s="150">
        <f>IF('04 SKU Master'!$AM$18="","",'04 SKU Master'!$AM$18)</f>
        <v/>
      </c>
      <c r="I24" s="204">
        <f>IF('04 SKU Master'!$AL$18="","",'04 SKU Master'!$AL$18)</f>
        <v/>
      </c>
      <c r="J24" s="152">
        <f>COUNTIF('06 Pasta Dough BOM'!$B$14:$B$206,$B24)+COUNTIF('07 Core Sauce BOM CK'!$B$14:$B$412,$B24)+COUNTIF('08 Seasonal Sauce BOM CK'!$B$14:$B$324,$B24)+COUNTIF('10 Core Menu BOM'!$E$5:$E$300,$B24)+COUNTIF('11 Seasonal Menu BOM'!$E$5:$E$365,$B24)</f>
        <v/>
      </c>
      <c r="K24" s="119" t="inlineStr">
        <is>
          <t>Low</t>
        </is>
      </c>
      <c r="L24" s="140" t="n"/>
      <c r="M24" s="140" t="n"/>
      <c r="N24" s="141" t="n"/>
      <c r="O24" s="149" t="n"/>
      <c r="R24" s="142">
        <f>'03 Suppliers'!$B$24&amp;""</f>
        <v/>
      </c>
    </row>
    <row r="25" ht="15" customHeight="1" s="106">
      <c r="A25" s="203">
        <f>IF($J25=0,"P5 NOT USED YET",IF($G25&gt;=3,"P5 DONE",IF($G25&gt;0,"P4 GET MORE QUOTES",IF($K25="High",IF($J25&gt;=3,"P1 CRITICAL","P2 HIGH"),IF($K25="Medium",IF($J25&gt;=3,"P2 HIGH","P3 NORMAL"),"P3 NORMAL")))))</f>
        <v/>
      </c>
      <c r="B25" s="134">
        <f>'04 SKU Master'!$A$19</f>
        <v/>
      </c>
      <c r="C25" s="138">
        <f>'04 SKU Master'!$B$19</f>
        <v/>
      </c>
      <c r="D25" s="113">
        <f>'04 SKU Master'!$C$19</f>
        <v/>
      </c>
      <c r="E25" s="164">
        <f>'04 SKU Master'!$D$19</f>
        <v/>
      </c>
      <c r="F25" s="116">
        <f>'04 SKU Master'!$F$19</f>
        <v/>
      </c>
      <c r="G25" s="193">
        <f>'04 SKU Master'!$AN$19</f>
        <v/>
      </c>
      <c r="H25" s="150">
        <f>IF('04 SKU Master'!$AM$19="","",'04 SKU Master'!$AM$19)</f>
        <v/>
      </c>
      <c r="I25" s="204">
        <f>IF('04 SKU Master'!$AL$19="","",'04 SKU Master'!$AL$19)</f>
        <v/>
      </c>
      <c r="J25" s="152">
        <f>COUNTIF('06 Pasta Dough BOM'!$B$14:$B$206,$B25)+COUNTIF('07 Core Sauce BOM CK'!$B$14:$B$412,$B25)+COUNTIF('08 Seasonal Sauce BOM CK'!$B$14:$B$324,$B25)+COUNTIF('10 Core Menu BOM'!$E$5:$E$300,$B25)+COUNTIF('11 Seasonal Menu BOM'!$E$5:$E$365,$B25)</f>
        <v/>
      </c>
      <c r="K25" s="119" t="inlineStr">
        <is>
          <t>High</t>
        </is>
      </c>
      <c r="L25" s="140" t="n"/>
      <c r="M25" s="140" t="n"/>
      <c r="N25" s="141" t="n"/>
      <c r="O25" s="149" t="n"/>
      <c r="R25" s="142">
        <f>'03 Suppliers'!$B$25&amp;""</f>
        <v/>
      </c>
    </row>
    <row r="26" ht="15" customHeight="1" s="106">
      <c r="A26" s="203">
        <f>IF($J26=0,"P5 NOT USED YET",IF($G26&gt;=3,"P5 DONE",IF($G26&gt;0,"P4 GET MORE QUOTES",IF($K26="High",IF($J26&gt;=3,"P1 CRITICAL","P2 HIGH"),IF($K26="Medium",IF($J26&gt;=3,"P2 HIGH","P3 NORMAL"),"P3 NORMAL")))))</f>
        <v/>
      </c>
      <c r="B26" s="134">
        <f>'04 SKU Master'!$A$20</f>
        <v/>
      </c>
      <c r="C26" s="138">
        <f>'04 SKU Master'!$B$20</f>
        <v/>
      </c>
      <c r="D26" s="113">
        <f>'04 SKU Master'!$C$20</f>
        <v/>
      </c>
      <c r="E26" s="164">
        <f>'04 SKU Master'!$D$20</f>
        <v/>
      </c>
      <c r="F26" s="116">
        <f>'04 SKU Master'!$F$20</f>
        <v/>
      </c>
      <c r="G26" s="193">
        <f>'04 SKU Master'!$AN$20</f>
        <v/>
      </c>
      <c r="H26" s="150">
        <f>IF('04 SKU Master'!$AM$20="","",'04 SKU Master'!$AM$20)</f>
        <v/>
      </c>
      <c r="I26" s="204">
        <f>IF('04 SKU Master'!$AL$20="","",'04 SKU Master'!$AL$20)</f>
        <v/>
      </c>
      <c r="J26" s="152">
        <f>COUNTIF('06 Pasta Dough BOM'!$B$14:$B$206,$B26)+COUNTIF('07 Core Sauce BOM CK'!$B$14:$B$412,$B26)+COUNTIF('08 Seasonal Sauce BOM CK'!$B$14:$B$324,$B26)+COUNTIF('10 Core Menu BOM'!$E$5:$E$300,$B26)+COUNTIF('11 Seasonal Menu BOM'!$E$5:$E$365,$B26)</f>
        <v/>
      </c>
      <c r="K26" s="119" t="inlineStr">
        <is>
          <t>Medium</t>
        </is>
      </c>
      <c r="L26" s="140" t="n"/>
      <c r="M26" s="140" t="n"/>
      <c r="N26" s="141" t="n"/>
      <c r="O26" s="149" t="n"/>
      <c r="R26" s="142">
        <f>'03 Suppliers'!$B$26&amp;""</f>
        <v/>
      </c>
    </row>
    <row r="27" ht="15" customHeight="1" s="106">
      <c r="A27" s="203">
        <f>IF($J27=0,"P5 NOT USED YET",IF($G27&gt;=3,"P5 DONE",IF($G27&gt;0,"P4 GET MORE QUOTES",IF($K27="High",IF($J27&gt;=3,"P1 CRITICAL","P2 HIGH"),IF($K27="Medium",IF($J27&gt;=3,"P2 HIGH","P3 NORMAL"),"P3 NORMAL")))))</f>
        <v/>
      </c>
      <c r="B27" s="134">
        <f>'04 SKU Master'!$A$21</f>
        <v/>
      </c>
      <c r="C27" s="138">
        <f>'04 SKU Master'!$B$21</f>
        <v/>
      </c>
      <c r="D27" s="113">
        <f>'04 SKU Master'!$C$21</f>
        <v/>
      </c>
      <c r="E27" s="164">
        <f>'04 SKU Master'!$D$21</f>
        <v/>
      </c>
      <c r="F27" s="116">
        <f>'04 SKU Master'!$F$21</f>
        <v/>
      </c>
      <c r="G27" s="193">
        <f>'04 SKU Master'!$AN$21</f>
        <v/>
      </c>
      <c r="H27" s="150">
        <f>IF('04 SKU Master'!$AM$21="","",'04 SKU Master'!$AM$21)</f>
        <v/>
      </c>
      <c r="I27" s="204">
        <f>IF('04 SKU Master'!$AL$21="","",'04 SKU Master'!$AL$21)</f>
        <v/>
      </c>
      <c r="J27" s="152">
        <f>COUNTIF('06 Pasta Dough BOM'!$B$14:$B$206,$B27)+COUNTIF('07 Core Sauce BOM CK'!$B$14:$B$412,$B27)+COUNTIF('08 Seasonal Sauce BOM CK'!$B$14:$B$324,$B27)+COUNTIF('10 Core Menu BOM'!$E$5:$E$300,$B27)+COUNTIF('11 Seasonal Menu BOM'!$E$5:$E$365,$B27)</f>
        <v/>
      </c>
      <c r="K27" s="119" t="inlineStr">
        <is>
          <t>High</t>
        </is>
      </c>
      <c r="L27" s="140" t="n"/>
      <c r="M27" s="140" t="n"/>
      <c r="N27" s="141" t="n"/>
      <c r="O27" s="149" t="n"/>
      <c r="R27" s="142">
        <f>'03 Suppliers'!$B$27&amp;""</f>
        <v/>
      </c>
    </row>
    <row r="28" ht="15" customHeight="1" s="106">
      <c r="A28" s="203">
        <f>IF($J28=0,"P5 NOT USED YET",IF($G28&gt;=3,"P5 DONE",IF($G28&gt;0,"P4 GET MORE QUOTES",IF($K28="High",IF($J28&gt;=3,"P1 CRITICAL","P2 HIGH"),IF($K28="Medium",IF($J28&gt;=3,"P2 HIGH","P3 NORMAL"),"P3 NORMAL")))))</f>
        <v/>
      </c>
      <c r="B28" s="134">
        <f>'04 SKU Master'!$A$22</f>
        <v/>
      </c>
      <c r="C28" s="138">
        <f>'04 SKU Master'!$B$22</f>
        <v/>
      </c>
      <c r="D28" s="113">
        <f>'04 SKU Master'!$C$22</f>
        <v/>
      </c>
      <c r="E28" s="164">
        <f>'04 SKU Master'!$D$22</f>
        <v/>
      </c>
      <c r="F28" s="116">
        <f>'04 SKU Master'!$F$22</f>
        <v/>
      </c>
      <c r="G28" s="193">
        <f>'04 SKU Master'!$AN$22</f>
        <v/>
      </c>
      <c r="H28" s="150">
        <f>IF('04 SKU Master'!$AM$22="","",'04 SKU Master'!$AM$22)</f>
        <v/>
      </c>
      <c r="I28" s="204">
        <f>IF('04 SKU Master'!$AL$22="","",'04 SKU Master'!$AL$22)</f>
        <v/>
      </c>
      <c r="J28" s="152">
        <f>COUNTIF('06 Pasta Dough BOM'!$B$14:$B$206,$B28)+COUNTIF('07 Core Sauce BOM CK'!$B$14:$B$412,$B28)+COUNTIF('08 Seasonal Sauce BOM CK'!$B$14:$B$324,$B28)+COUNTIF('10 Core Menu BOM'!$E$5:$E$300,$B28)+COUNTIF('11 Seasonal Menu BOM'!$E$5:$E$365,$B28)</f>
        <v/>
      </c>
      <c r="K28" s="119" t="inlineStr">
        <is>
          <t>Medium</t>
        </is>
      </c>
      <c r="L28" s="140" t="n"/>
      <c r="M28" s="140" t="n"/>
      <c r="N28" s="141" t="n"/>
      <c r="O28" s="149" t="n"/>
      <c r="R28" s="142">
        <f>'03 Suppliers'!$B$28&amp;""</f>
        <v/>
      </c>
    </row>
    <row r="29" ht="15" customHeight="1" s="106">
      <c r="A29" s="203">
        <f>IF($J29=0,"P5 NOT USED YET",IF($G29&gt;=3,"P5 DONE",IF($G29&gt;0,"P4 GET MORE QUOTES",IF($K29="High",IF($J29&gt;=3,"P1 CRITICAL","P2 HIGH"),IF($K29="Medium",IF($J29&gt;=3,"P2 HIGH","P3 NORMAL"),"P3 NORMAL")))))</f>
        <v/>
      </c>
      <c r="B29" s="134">
        <f>'04 SKU Master'!$A$23</f>
        <v/>
      </c>
      <c r="C29" s="138">
        <f>'04 SKU Master'!$B$23</f>
        <v/>
      </c>
      <c r="D29" s="113">
        <f>'04 SKU Master'!$C$23</f>
        <v/>
      </c>
      <c r="E29" s="164">
        <f>'04 SKU Master'!$D$23</f>
        <v/>
      </c>
      <c r="F29" s="116">
        <f>'04 SKU Master'!$F$23</f>
        <v/>
      </c>
      <c r="G29" s="193">
        <f>'04 SKU Master'!$AN$23</f>
        <v/>
      </c>
      <c r="H29" s="150">
        <f>IF('04 SKU Master'!$AM$23="","",'04 SKU Master'!$AM$23)</f>
        <v/>
      </c>
      <c r="I29" s="204">
        <f>IF('04 SKU Master'!$AL$23="","",'04 SKU Master'!$AL$23)</f>
        <v/>
      </c>
      <c r="J29" s="152">
        <f>COUNTIF('06 Pasta Dough BOM'!$B$14:$B$206,$B29)+COUNTIF('07 Core Sauce BOM CK'!$B$14:$B$412,$B29)+COUNTIF('08 Seasonal Sauce BOM CK'!$B$14:$B$324,$B29)+COUNTIF('10 Core Menu BOM'!$E$5:$E$300,$B29)+COUNTIF('11 Seasonal Menu BOM'!$E$5:$E$365,$B29)</f>
        <v/>
      </c>
      <c r="K29" s="119" t="inlineStr">
        <is>
          <t>High</t>
        </is>
      </c>
      <c r="L29" s="140" t="n"/>
      <c r="M29" s="140" t="n"/>
      <c r="N29" s="141" t="n"/>
      <c r="O29" s="149" t="n"/>
      <c r="R29" s="142">
        <f>'03 Suppliers'!$B$29&amp;""</f>
        <v/>
      </c>
    </row>
    <row r="30" ht="15" customHeight="1" s="106">
      <c r="A30" s="203">
        <f>IF($J30=0,"P5 NOT USED YET",IF($G30&gt;=3,"P5 DONE",IF($G30&gt;0,"P4 GET MORE QUOTES",IF($K30="High",IF($J30&gt;=3,"P1 CRITICAL","P2 HIGH"),IF($K30="Medium",IF($J30&gt;=3,"P2 HIGH","P3 NORMAL"),"P3 NORMAL")))))</f>
        <v/>
      </c>
      <c r="B30" s="134">
        <f>'04 SKU Master'!$A$24</f>
        <v/>
      </c>
      <c r="C30" s="138">
        <f>'04 SKU Master'!$B$24</f>
        <v/>
      </c>
      <c r="D30" s="113">
        <f>'04 SKU Master'!$C$24</f>
        <v/>
      </c>
      <c r="E30" s="164">
        <f>'04 SKU Master'!$D$24</f>
        <v/>
      </c>
      <c r="F30" s="116">
        <f>'04 SKU Master'!$F$24</f>
        <v/>
      </c>
      <c r="G30" s="193">
        <f>'04 SKU Master'!$AN$24</f>
        <v/>
      </c>
      <c r="H30" s="150">
        <f>IF('04 SKU Master'!$AM$24="","",'04 SKU Master'!$AM$24)</f>
        <v/>
      </c>
      <c r="I30" s="204">
        <f>IF('04 SKU Master'!$AL$24="","",'04 SKU Master'!$AL$24)</f>
        <v/>
      </c>
      <c r="J30" s="152">
        <f>COUNTIF('06 Pasta Dough BOM'!$B$14:$B$206,$B30)+COUNTIF('07 Core Sauce BOM CK'!$B$14:$B$412,$B30)+COUNTIF('08 Seasonal Sauce BOM CK'!$B$14:$B$324,$B30)+COUNTIF('10 Core Menu BOM'!$E$5:$E$300,$B30)+COUNTIF('11 Seasonal Menu BOM'!$E$5:$E$365,$B30)</f>
        <v/>
      </c>
      <c r="K30" s="119" t="inlineStr">
        <is>
          <t>High</t>
        </is>
      </c>
      <c r="L30" s="140" t="n"/>
      <c r="M30" s="140" t="n"/>
      <c r="N30" s="141" t="n"/>
      <c r="O30" s="149" t="n"/>
      <c r="R30" s="142">
        <f>'03 Suppliers'!$B$30&amp;""</f>
        <v/>
      </c>
    </row>
    <row r="31" ht="15" customHeight="1" s="106">
      <c r="A31" s="203">
        <f>IF($J31=0,"P5 NOT USED YET",IF($G31&gt;=3,"P5 DONE",IF($G31&gt;0,"P4 GET MORE QUOTES",IF($K31="High",IF($J31&gt;=3,"P1 CRITICAL","P2 HIGH"),IF($K31="Medium",IF($J31&gt;=3,"P2 HIGH","P3 NORMAL"),"P3 NORMAL")))))</f>
        <v/>
      </c>
      <c r="B31" s="134">
        <f>'04 SKU Master'!$A$25</f>
        <v/>
      </c>
      <c r="C31" s="138">
        <f>'04 SKU Master'!$B$25</f>
        <v/>
      </c>
      <c r="D31" s="113">
        <f>'04 SKU Master'!$C$25</f>
        <v/>
      </c>
      <c r="E31" s="164">
        <f>'04 SKU Master'!$D$25</f>
        <v/>
      </c>
      <c r="F31" s="116">
        <f>'04 SKU Master'!$F$25</f>
        <v/>
      </c>
      <c r="G31" s="193">
        <f>'04 SKU Master'!$AN$25</f>
        <v/>
      </c>
      <c r="H31" s="150">
        <f>IF('04 SKU Master'!$AM$25="","",'04 SKU Master'!$AM$25)</f>
        <v/>
      </c>
      <c r="I31" s="204">
        <f>IF('04 SKU Master'!$AL$25="","",'04 SKU Master'!$AL$25)</f>
        <v/>
      </c>
      <c r="J31" s="152">
        <f>COUNTIF('06 Pasta Dough BOM'!$B$14:$B$206,$B31)+COUNTIF('07 Core Sauce BOM CK'!$B$14:$B$412,$B31)+COUNTIF('08 Seasonal Sauce BOM CK'!$B$14:$B$324,$B31)+COUNTIF('10 Core Menu BOM'!$E$5:$E$300,$B31)+COUNTIF('11 Seasonal Menu BOM'!$E$5:$E$365,$B31)</f>
        <v/>
      </c>
      <c r="K31" s="119" t="inlineStr">
        <is>
          <t>Low</t>
        </is>
      </c>
      <c r="L31" s="140" t="n"/>
      <c r="M31" s="140" t="n"/>
      <c r="N31" s="141" t="n"/>
      <c r="O31" s="149" t="n"/>
      <c r="R31" s="142">
        <f>'03 Suppliers'!$B$31&amp;""</f>
        <v/>
      </c>
    </row>
    <row r="32" ht="15" customHeight="1" s="106">
      <c r="A32" s="203">
        <f>IF($J32=0,"P5 NOT USED YET",IF($G32&gt;=3,"P5 DONE",IF($G32&gt;0,"P4 GET MORE QUOTES",IF($K32="High",IF($J32&gt;=3,"P1 CRITICAL","P2 HIGH"),IF($K32="Medium",IF($J32&gt;=3,"P2 HIGH","P3 NORMAL"),"P3 NORMAL")))))</f>
        <v/>
      </c>
      <c r="B32" s="134">
        <f>'04 SKU Master'!$A$26</f>
        <v/>
      </c>
      <c r="C32" s="138">
        <f>'04 SKU Master'!$B$26</f>
        <v/>
      </c>
      <c r="D32" s="113">
        <f>'04 SKU Master'!$C$26</f>
        <v/>
      </c>
      <c r="E32" s="164">
        <f>'04 SKU Master'!$D$26</f>
        <v/>
      </c>
      <c r="F32" s="116">
        <f>'04 SKU Master'!$F$26</f>
        <v/>
      </c>
      <c r="G32" s="193">
        <f>'04 SKU Master'!$AN$26</f>
        <v/>
      </c>
      <c r="H32" s="150">
        <f>IF('04 SKU Master'!$AM$26="","",'04 SKU Master'!$AM$26)</f>
        <v/>
      </c>
      <c r="I32" s="204">
        <f>IF('04 SKU Master'!$AL$26="","",'04 SKU Master'!$AL$26)</f>
        <v/>
      </c>
      <c r="J32" s="152">
        <f>COUNTIF('06 Pasta Dough BOM'!$B$14:$B$206,$B32)+COUNTIF('07 Core Sauce BOM CK'!$B$14:$B$412,$B32)+COUNTIF('08 Seasonal Sauce BOM CK'!$B$14:$B$324,$B32)+COUNTIF('10 Core Menu BOM'!$E$5:$E$300,$B32)+COUNTIF('11 Seasonal Menu BOM'!$E$5:$E$365,$B32)</f>
        <v/>
      </c>
      <c r="K32" s="119" t="inlineStr">
        <is>
          <t>Low</t>
        </is>
      </c>
      <c r="L32" s="140" t="n"/>
      <c r="M32" s="140" t="n"/>
      <c r="N32" s="141" t="n"/>
      <c r="O32" s="149" t="n"/>
      <c r="R32" s="142">
        <f>'03 Suppliers'!$B$32&amp;""</f>
        <v/>
      </c>
    </row>
    <row r="33" ht="15" customHeight="1" s="106">
      <c r="A33" s="203">
        <f>IF($J33=0,"P5 NOT USED YET",IF($G33&gt;=3,"P5 DONE",IF($G33&gt;0,"P4 GET MORE QUOTES",IF($K33="High",IF($J33&gt;=3,"P1 CRITICAL","P2 HIGH"),IF($K33="Medium",IF($J33&gt;=3,"P2 HIGH","P3 NORMAL"),"P3 NORMAL")))))</f>
        <v/>
      </c>
      <c r="B33" s="134">
        <f>'04 SKU Master'!$A$27</f>
        <v/>
      </c>
      <c r="C33" s="138">
        <f>'04 SKU Master'!$B$27</f>
        <v/>
      </c>
      <c r="D33" s="113">
        <f>'04 SKU Master'!$C$27</f>
        <v/>
      </c>
      <c r="E33" s="164">
        <f>'04 SKU Master'!$D$27</f>
        <v/>
      </c>
      <c r="F33" s="116">
        <f>'04 SKU Master'!$F$27</f>
        <v/>
      </c>
      <c r="G33" s="193">
        <f>'04 SKU Master'!$AN$27</f>
        <v/>
      </c>
      <c r="H33" s="150">
        <f>IF('04 SKU Master'!$AM$27="","",'04 SKU Master'!$AM$27)</f>
        <v/>
      </c>
      <c r="I33" s="204">
        <f>IF('04 SKU Master'!$AL$27="","",'04 SKU Master'!$AL$27)</f>
        <v/>
      </c>
      <c r="J33" s="152">
        <f>COUNTIF('06 Pasta Dough BOM'!$B$14:$B$206,$B33)+COUNTIF('07 Core Sauce BOM CK'!$B$14:$B$412,$B33)+COUNTIF('08 Seasonal Sauce BOM CK'!$B$14:$B$324,$B33)+COUNTIF('10 Core Menu BOM'!$E$5:$E$300,$B33)+COUNTIF('11 Seasonal Menu BOM'!$E$5:$E$365,$B33)</f>
        <v/>
      </c>
      <c r="K33" s="119" t="inlineStr">
        <is>
          <t>Low</t>
        </is>
      </c>
      <c r="L33" s="140" t="n"/>
      <c r="M33" s="140" t="n"/>
      <c r="N33" s="141" t="n"/>
      <c r="O33" s="149" t="n"/>
      <c r="R33" s="142">
        <f>'03 Suppliers'!$B$33&amp;""</f>
        <v/>
      </c>
    </row>
    <row r="34" ht="15" customHeight="1" s="106">
      <c r="A34" s="203">
        <f>IF($J34=0,"P5 NOT USED YET",IF($G34&gt;=3,"P5 DONE",IF($G34&gt;0,"P4 GET MORE QUOTES",IF($K34="High",IF($J34&gt;=3,"P1 CRITICAL","P2 HIGH"),IF($K34="Medium",IF($J34&gt;=3,"P2 HIGH","P3 NORMAL"),"P3 NORMAL")))))</f>
        <v/>
      </c>
      <c r="B34" s="134">
        <f>'04 SKU Master'!$A$28</f>
        <v/>
      </c>
      <c r="C34" s="138">
        <f>'04 SKU Master'!$B$28</f>
        <v/>
      </c>
      <c r="D34" s="113">
        <f>'04 SKU Master'!$C$28</f>
        <v/>
      </c>
      <c r="E34" s="164">
        <f>'04 SKU Master'!$D$28</f>
        <v/>
      </c>
      <c r="F34" s="116">
        <f>'04 SKU Master'!$F$28</f>
        <v/>
      </c>
      <c r="G34" s="193">
        <f>'04 SKU Master'!$AN$28</f>
        <v/>
      </c>
      <c r="H34" s="150">
        <f>IF('04 SKU Master'!$AM$28="","",'04 SKU Master'!$AM$28)</f>
        <v/>
      </c>
      <c r="I34" s="204">
        <f>IF('04 SKU Master'!$AL$28="","",'04 SKU Master'!$AL$28)</f>
        <v/>
      </c>
      <c r="J34" s="152">
        <f>COUNTIF('06 Pasta Dough BOM'!$B$14:$B$206,$B34)+COUNTIF('07 Core Sauce BOM CK'!$B$14:$B$412,$B34)+COUNTIF('08 Seasonal Sauce BOM CK'!$B$14:$B$324,$B34)+COUNTIF('10 Core Menu BOM'!$E$5:$E$300,$B34)+COUNTIF('11 Seasonal Menu BOM'!$E$5:$E$365,$B34)</f>
        <v/>
      </c>
      <c r="K34" s="119" t="inlineStr">
        <is>
          <t>Low</t>
        </is>
      </c>
      <c r="L34" s="140" t="n"/>
      <c r="M34" s="140" t="n"/>
      <c r="N34" s="141" t="n"/>
      <c r="O34" s="149" t="n"/>
      <c r="R34" s="142">
        <f>'03 Suppliers'!$B$34&amp;""</f>
        <v/>
      </c>
    </row>
    <row r="35" ht="15" customHeight="1" s="106">
      <c r="A35" s="203">
        <f>IF($J35=0,"P5 NOT USED YET",IF($G35&gt;=3,"P5 DONE",IF($G35&gt;0,"P4 GET MORE QUOTES",IF($K35="High",IF($J35&gt;=3,"P1 CRITICAL","P2 HIGH"),IF($K35="Medium",IF($J35&gt;=3,"P2 HIGH","P3 NORMAL"),"P3 NORMAL")))))</f>
        <v/>
      </c>
      <c r="B35" s="134">
        <f>'04 SKU Master'!$A$29</f>
        <v/>
      </c>
      <c r="C35" s="138">
        <f>'04 SKU Master'!$B$29</f>
        <v/>
      </c>
      <c r="D35" s="113">
        <f>'04 SKU Master'!$C$29</f>
        <v/>
      </c>
      <c r="E35" s="164">
        <f>'04 SKU Master'!$D$29</f>
        <v/>
      </c>
      <c r="F35" s="116">
        <f>'04 SKU Master'!$F$29</f>
        <v/>
      </c>
      <c r="G35" s="193">
        <f>'04 SKU Master'!$AN$29</f>
        <v/>
      </c>
      <c r="H35" s="150">
        <f>IF('04 SKU Master'!$AM$29="","",'04 SKU Master'!$AM$29)</f>
        <v/>
      </c>
      <c r="I35" s="204">
        <f>IF('04 SKU Master'!$AL$29="","",'04 SKU Master'!$AL$29)</f>
        <v/>
      </c>
      <c r="J35" s="152">
        <f>COUNTIF('06 Pasta Dough BOM'!$B$14:$B$206,$B35)+COUNTIF('07 Core Sauce BOM CK'!$B$14:$B$412,$B35)+COUNTIF('08 Seasonal Sauce BOM CK'!$B$14:$B$324,$B35)+COUNTIF('10 Core Menu BOM'!$E$5:$E$300,$B35)+COUNTIF('11 Seasonal Menu BOM'!$E$5:$E$365,$B35)</f>
        <v/>
      </c>
      <c r="K35" s="119" t="inlineStr">
        <is>
          <t>Low</t>
        </is>
      </c>
      <c r="L35" s="140" t="n"/>
      <c r="M35" s="140" t="n"/>
      <c r="N35" s="141" t="n"/>
      <c r="O35" s="149" t="n"/>
    </row>
    <row r="36" ht="15" customHeight="1" s="106">
      <c r="A36" s="203">
        <f>IF($J36=0,"P5 NOT USED YET",IF($G36&gt;=3,"P5 DONE",IF($G36&gt;0,"P4 GET MORE QUOTES",IF($K36="High",IF($J36&gt;=3,"P1 CRITICAL","P2 HIGH"),IF($K36="Medium",IF($J36&gt;=3,"P2 HIGH","P3 NORMAL"),"P3 NORMAL")))))</f>
        <v/>
      </c>
      <c r="B36" s="134">
        <f>'04 SKU Master'!$A$30</f>
        <v/>
      </c>
      <c r="C36" s="138">
        <f>'04 SKU Master'!$B$30</f>
        <v/>
      </c>
      <c r="D36" s="113">
        <f>'04 SKU Master'!$C$30</f>
        <v/>
      </c>
      <c r="E36" s="164">
        <f>'04 SKU Master'!$D$30</f>
        <v/>
      </c>
      <c r="F36" s="116">
        <f>'04 SKU Master'!$F$30</f>
        <v/>
      </c>
      <c r="G36" s="193">
        <f>'04 SKU Master'!$AN$30</f>
        <v/>
      </c>
      <c r="H36" s="150">
        <f>IF('04 SKU Master'!$AM$30="","",'04 SKU Master'!$AM$30)</f>
        <v/>
      </c>
      <c r="I36" s="204">
        <f>IF('04 SKU Master'!$AL$30="","",'04 SKU Master'!$AL$30)</f>
        <v/>
      </c>
      <c r="J36" s="152">
        <f>COUNTIF('06 Pasta Dough BOM'!$B$14:$B$206,$B36)+COUNTIF('07 Core Sauce BOM CK'!$B$14:$B$412,$B36)+COUNTIF('08 Seasonal Sauce BOM CK'!$B$14:$B$324,$B36)+COUNTIF('10 Core Menu BOM'!$E$5:$E$300,$B36)+COUNTIF('11 Seasonal Menu BOM'!$E$5:$E$365,$B36)</f>
        <v/>
      </c>
      <c r="K36" s="119" t="inlineStr">
        <is>
          <t>Low</t>
        </is>
      </c>
      <c r="L36" s="140" t="n"/>
      <c r="M36" s="140" t="n"/>
      <c r="N36" s="141" t="n"/>
      <c r="O36" s="149" t="n"/>
    </row>
    <row r="37" ht="15" customHeight="1" s="106">
      <c r="A37" s="203">
        <f>IF($J37=0,"P5 NOT USED YET",IF($G37&gt;=3,"P5 DONE",IF($G37&gt;0,"P4 GET MORE QUOTES",IF($K37="High",IF($J37&gt;=3,"P1 CRITICAL","P2 HIGH"),IF($K37="Medium",IF($J37&gt;=3,"P2 HIGH","P3 NORMAL"),"P3 NORMAL")))))</f>
        <v/>
      </c>
      <c r="B37" s="134">
        <f>'04 SKU Master'!$A$31</f>
        <v/>
      </c>
      <c r="C37" s="138">
        <f>'04 SKU Master'!$B$31</f>
        <v/>
      </c>
      <c r="D37" s="113">
        <f>'04 SKU Master'!$C$31</f>
        <v/>
      </c>
      <c r="E37" s="164">
        <f>'04 SKU Master'!$D$31</f>
        <v/>
      </c>
      <c r="F37" s="116">
        <f>'04 SKU Master'!$F$31</f>
        <v/>
      </c>
      <c r="G37" s="193">
        <f>'04 SKU Master'!$AN$31</f>
        <v/>
      </c>
      <c r="H37" s="150">
        <f>IF('04 SKU Master'!$AM$31="","",'04 SKU Master'!$AM$31)</f>
        <v/>
      </c>
      <c r="I37" s="204">
        <f>IF('04 SKU Master'!$AL$31="","",'04 SKU Master'!$AL$31)</f>
        <v/>
      </c>
      <c r="J37" s="152">
        <f>COUNTIF('06 Pasta Dough BOM'!$B$14:$B$206,$B37)+COUNTIF('07 Core Sauce BOM CK'!$B$14:$B$412,$B37)+COUNTIF('08 Seasonal Sauce BOM CK'!$B$14:$B$324,$B37)+COUNTIF('10 Core Menu BOM'!$E$5:$E$300,$B37)+COUNTIF('11 Seasonal Menu BOM'!$E$5:$E$365,$B37)</f>
        <v/>
      </c>
      <c r="K37" s="119" t="inlineStr">
        <is>
          <t>Medium</t>
        </is>
      </c>
      <c r="L37" s="140" t="n"/>
      <c r="M37" s="140" t="n"/>
      <c r="N37" s="141" t="n"/>
      <c r="O37" s="149" t="n"/>
    </row>
    <row r="38" ht="15" customHeight="1" s="106">
      <c r="A38" s="203">
        <f>IF($J38=0,"P5 NOT USED YET",IF($G38&gt;=3,"P5 DONE",IF($G38&gt;0,"P4 GET MORE QUOTES",IF($K38="High",IF($J38&gt;=3,"P1 CRITICAL","P2 HIGH"),IF($K38="Medium",IF($J38&gt;=3,"P2 HIGH","P3 NORMAL"),"P3 NORMAL")))))</f>
        <v/>
      </c>
      <c r="B38" s="134">
        <f>'04 SKU Master'!$A$32</f>
        <v/>
      </c>
      <c r="C38" s="138">
        <f>'04 SKU Master'!$B$32</f>
        <v/>
      </c>
      <c r="D38" s="113">
        <f>'04 SKU Master'!$C$32</f>
        <v/>
      </c>
      <c r="E38" s="164">
        <f>'04 SKU Master'!$D$32</f>
        <v/>
      </c>
      <c r="F38" s="116">
        <f>'04 SKU Master'!$F$32</f>
        <v/>
      </c>
      <c r="G38" s="193">
        <f>'04 SKU Master'!$AN$32</f>
        <v/>
      </c>
      <c r="H38" s="150">
        <f>IF('04 SKU Master'!$AM$32="","",'04 SKU Master'!$AM$32)</f>
        <v/>
      </c>
      <c r="I38" s="204">
        <f>IF('04 SKU Master'!$AL$32="","",'04 SKU Master'!$AL$32)</f>
        <v/>
      </c>
      <c r="J38" s="152">
        <f>COUNTIF('06 Pasta Dough BOM'!$B$14:$B$206,$B38)+COUNTIF('07 Core Sauce BOM CK'!$B$14:$B$412,$B38)+COUNTIF('08 Seasonal Sauce BOM CK'!$B$14:$B$324,$B38)+COUNTIF('10 Core Menu BOM'!$E$5:$E$300,$B38)+COUNTIF('11 Seasonal Menu BOM'!$E$5:$E$365,$B38)</f>
        <v/>
      </c>
      <c r="K38" s="119" t="inlineStr">
        <is>
          <t>Medium</t>
        </is>
      </c>
      <c r="L38" s="140" t="n"/>
      <c r="M38" s="140" t="n"/>
      <c r="N38" s="141" t="n"/>
      <c r="O38" s="149" t="n"/>
    </row>
    <row r="39" ht="15" customHeight="1" s="106">
      <c r="A39" s="203">
        <f>IF($J39=0,"P5 NOT USED YET",IF($G39&gt;=3,"P5 DONE",IF($G39&gt;0,"P4 GET MORE QUOTES",IF($K39="High",IF($J39&gt;=3,"P1 CRITICAL","P2 HIGH"),IF($K39="Medium",IF($J39&gt;=3,"P2 HIGH","P3 NORMAL"),"P3 NORMAL")))))</f>
        <v/>
      </c>
      <c r="B39" s="134">
        <f>'04 SKU Master'!$A$33</f>
        <v/>
      </c>
      <c r="C39" s="138">
        <f>'04 SKU Master'!$B$33</f>
        <v/>
      </c>
      <c r="D39" s="113">
        <f>'04 SKU Master'!$C$33</f>
        <v/>
      </c>
      <c r="E39" s="164">
        <f>'04 SKU Master'!$D$33</f>
        <v/>
      </c>
      <c r="F39" s="116">
        <f>'04 SKU Master'!$F$33</f>
        <v/>
      </c>
      <c r="G39" s="193">
        <f>'04 SKU Master'!$AN$33</f>
        <v/>
      </c>
      <c r="H39" s="150">
        <f>IF('04 SKU Master'!$AM$33="","",'04 SKU Master'!$AM$33)</f>
        <v/>
      </c>
      <c r="I39" s="204">
        <f>IF('04 SKU Master'!$AL$33="","",'04 SKU Master'!$AL$33)</f>
        <v/>
      </c>
      <c r="J39" s="152">
        <f>COUNTIF('06 Pasta Dough BOM'!$B$14:$B$206,$B39)+COUNTIF('07 Core Sauce BOM CK'!$B$14:$B$412,$B39)+COUNTIF('08 Seasonal Sauce BOM CK'!$B$14:$B$324,$B39)+COUNTIF('10 Core Menu BOM'!$E$5:$E$300,$B39)+COUNTIF('11 Seasonal Menu BOM'!$E$5:$E$365,$B39)</f>
        <v/>
      </c>
      <c r="K39" s="119" t="inlineStr">
        <is>
          <t>Medium</t>
        </is>
      </c>
      <c r="L39" s="140" t="n"/>
      <c r="M39" s="140" t="n"/>
      <c r="N39" s="141" t="n"/>
      <c r="O39" s="149" t="n"/>
    </row>
    <row r="40" ht="15" customHeight="1" s="106">
      <c r="A40" s="203">
        <f>IF($J40=0,"P5 NOT USED YET",IF($G40&gt;=3,"P5 DONE",IF($G40&gt;0,"P4 GET MORE QUOTES",IF($K40="High",IF($J40&gt;=3,"P1 CRITICAL","P2 HIGH"),IF($K40="Medium",IF($J40&gt;=3,"P2 HIGH","P3 NORMAL"),"P3 NORMAL")))))</f>
        <v/>
      </c>
      <c r="B40" s="134">
        <f>'04 SKU Master'!$A$34</f>
        <v/>
      </c>
      <c r="C40" s="138">
        <f>'04 SKU Master'!$B$34</f>
        <v/>
      </c>
      <c r="D40" s="113">
        <f>'04 SKU Master'!$C$34</f>
        <v/>
      </c>
      <c r="E40" s="164">
        <f>'04 SKU Master'!$D$34</f>
        <v/>
      </c>
      <c r="F40" s="116">
        <f>'04 SKU Master'!$F$34</f>
        <v/>
      </c>
      <c r="G40" s="193">
        <f>'04 SKU Master'!$AN$34</f>
        <v/>
      </c>
      <c r="H40" s="150">
        <f>IF('04 SKU Master'!$AM$34="","",'04 SKU Master'!$AM$34)</f>
        <v/>
      </c>
      <c r="I40" s="204">
        <f>IF('04 SKU Master'!$AL$34="","",'04 SKU Master'!$AL$34)</f>
        <v/>
      </c>
      <c r="J40" s="152">
        <f>COUNTIF('06 Pasta Dough BOM'!$B$14:$B$206,$B40)+COUNTIF('07 Core Sauce BOM CK'!$B$14:$B$412,$B40)+COUNTIF('08 Seasonal Sauce BOM CK'!$B$14:$B$324,$B40)+COUNTIF('10 Core Menu BOM'!$E$5:$E$300,$B40)+COUNTIF('11 Seasonal Menu BOM'!$E$5:$E$365,$B40)</f>
        <v/>
      </c>
      <c r="K40" s="119" t="inlineStr">
        <is>
          <t>Medium</t>
        </is>
      </c>
      <c r="L40" s="140" t="n"/>
      <c r="M40" s="140" t="n"/>
      <c r="N40" s="141" t="n"/>
      <c r="O40" s="149" t="n"/>
    </row>
    <row r="41" ht="15" customHeight="1" s="106">
      <c r="A41" s="203">
        <f>IF($J41=0,"P5 NOT USED YET",IF($G41&gt;=3,"P5 DONE",IF($G41&gt;0,"P4 GET MORE QUOTES",IF($K41="High",IF($J41&gt;=3,"P1 CRITICAL","P2 HIGH"),IF($K41="Medium",IF($J41&gt;=3,"P2 HIGH","P3 NORMAL"),"P3 NORMAL")))))</f>
        <v/>
      </c>
      <c r="B41" s="134">
        <f>'04 SKU Master'!$A$35</f>
        <v/>
      </c>
      <c r="C41" s="138">
        <f>'04 SKU Master'!$B$35</f>
        <v/>
      </c>
      <c r="D41" s="113">
        <f>'04 SKU Master'!$C$35</f>
        <v/>
      </c>
      <c r="E41" s="164">
        <f>'04 SKU Master'!$D$35</f>
        <v/>
      </c>
      <c r="F41" s="116">
        <f>'04 SKU Master'!$F$35</f>
        <v/>
      </c>
      <c r="G41" s="193">
        <f>'04 SKU Master'!$AN$35</f>
        <v/>
      </c>
      <c r="H41" s="150">
        <f>IF('04 SKU Master'!$AM$35="","",'04 SKU Master'!$AM$35)</f>
        <v/>
      </c>
      <c r="I41" s="204">
        <f>IF('04 SKU Master'!$AL$35="","",'04 SKU Master'!$AL$35)</f>
        <v/>
      </c>
      <c r="J41" s="152">
        <f>COUNTIF('06 Pasta Dough BOM'!$B$14:$B$206,$B41)+COUNTIF('07 Core Sauce BOM CK'!$B$14:$B$412,$B41)+COUNTIF('08 Seasonal Sauce BOM CK'!$B$14:$B$324,$B41)+COUNTIF('10 Core Menu BOM'!$E$5:$E$300,$B41)+COUNTIF('11 Seasonal Menu BOM'!$E$5:$E$365,$B41)</f>
        <v/>
      </c>
      <c r="K41" s="119" t="inlineStr">
        <is>
          <t>Medium</t>
        </is>
      </c>
      <c r="L41" s="140" t="n"/>
      <c r="M41" s="140" t="n"/>
      <c r="N41" s="141" t="n"/>
      <c r="O41" s="149" t="n"/>
    </row>
    <row r="42" ht="15" customHeight="1" s="106">
      <c r="A42" s="203">
        <f>IF($J42=0,"P5 NOT USED YET",IF($G42&gt;=3,"P5 DONE",IF($G42&gt;0,"P4 GET MORE QUOTES",IF($K42="High",IF($J42&gt;=3,"P1 CRITICAL","P2 HIGH"),IF($K42="Medium",IF($J42&gt;=3,"P2 HIGH","P3 NORMAL"),"P3 NORMAL")))))</f>
        <v/>
      </c>
      <c r="B42" s="134">
        <f>'04 SKU Master'!$A$36</f>
        <v/>
      </c>
      <c r="C42" s="138">
        <f>'04 SKU Master'!$B$36</f>
        <v/>
      </c>
      <c r="D42" s="113">
        <f>'04 SKU Master'!$C$36</f>
        <v/>
      </c>
      <c r="E42" s="164">
        <f>'04 SKU Master'!$D$36</f>
        <v/>
      </c>
      <c r="F42" s="116">
        <f>'04 SKU Master'!$F$36</f>
        <v/>
      </c>
      <c r="G42" s="193">
        <f>'04 SKU Master'!$AN$36</f>
        <v/>
      </c>
      <c r="H42" s="150">
        <f>IF('04 SKU Master'!$AM$36="","",'04 SKU Master'!$AM$36)</f>
        <v/>
      </c>
      <c r="I42" s="204">
        <f>IF('04 SKU Master'!$AL$36="","",'04 SKU Master'!$AL$36)</f>
        <v/>
      </c>
      <c r="J42" s="152">
        <f>COUNTIF('06 Pasta Dough BOM'!$B$14:$B$206,$B42)+COUNTIF('07 Core Sauce BOM CK'!$B$14:$B$412,$B42)+COUNTIF('08 Seasonal Sauce BOM CK'!$B$14:$B$324,$B42)+COUNTIF('10 Core Menu BOM'!$E$5:$E$300,$B42)+COUNTIF('11 Seasonal Menu BOM'!$E$5:$E$365,$B42)</f>
        <v/>
      </c>
      <c r="K42" s="119" t="inlineStr">
        <is>
          <t>High</t>
        </is>
      </c>
      <c r="L42" s="140" t="n"/>
      <c r="M42" s="140" t="n"/>
      <c r="N42" s="141" t="n"/>
      <c r="O42" s="149" t="n"/>
    </row>
    <row r="43" ht="15" customHeight="1" s="106">
      <c r="A43" s="203">
        <f>IF($J43=0,"P5 NOT USED YET",IF($G43&gt;=3,"P5 DONE",IF($G43&gt;0,"P4 GET MORE QUOTES",IF($K43="High",IF($J43&gt;=3,"P1 CRITICAL","P2 HIGH"),IF($K43="Medium",IF($J43&gt;=3,"P2 HIGH","P3 NORMAL"),"P3 NORMAL")))))</f>
        <v/>
      </c>
      <c r="B43" s="134">
        <f>'04 SKU Master'!$A$37</f>
        <v/>
      </c>
      <c r="C43" s="138">
        <f>'04 SKU Master'!$B$37</f>
        <v/>
      </c>
      <c r="D43" s="113">
        <f>'04 SKU Master'!$C$37</f>
        <v/>
      </c>
      <c r="E43" s="164">
        <f>'04 SKU Master'!$D$37</f>
        <v/>
      </c>
      <c r="F43" s="116">
        <f>'04 SKU Master'!$F$37</f>
        <v/>
      </c>
      <c r="G43" s="193">
        <f>'04 SKU Master'!$AN$37</f>
        <v/>
      </c>
      <c r="H43" s="150">
        <f>IF('04 SKU Master'!$AM$37="","",'04 SKU Master'!$AM$37)</f>
        <v/>
      </c>
      <c r="I43" s="204">
        <f>IF('04 SKU Master'!$AL$37="","",'04 SKU Master'!$AL$37)</f>
        <v/>
      </c>
      <c r="J43" s="152">
        <f>COUNTIF('06 Pasta Dough BOM'!$B$14:$B$206,$B43)+COUNTIF('07 Core Sauce BOM CK'!$B$14:$B$412,$B43)+COUNTIF('08 Seasonal Sauce BOM CK'!$B$14:$B$324,$B43)+COUNTIF('10 Core Menu BOM'!$E$5:$E$300,$B43)+COUNTIF('11 Seasonal Menu BOM'!$E$5:$E$365,$B43)</f>
        <v/>
      </c>
      <c r="K43" s="119" t="inlineStr">
        <is>
          <t>High</t>
        </is>
      </c>
      <c r="L43" s="140" t="n"/>
      <c r="M43" s="140" t="n"/>
      <c r="N43" s="141" t="n"/>
      <c r="O43" s="149" t="n"/>
    </row>
    <row r="44" ht="15" customHeight="1" s="106">
      <c r="A44" s="203">
        <f>IF($J44=0,"P5 NOT USED YET",IF($G44&gt;=3,"P5 DONE",IF($G44&gt;0,"P4 GET MORE QUOTES",IF($K44="High",IF($J44&gt;=3,"P1 CRITICAL","P2 HIGH"),IF($K44="Medium",IF($J44&gt;=3,"P2 HIGH","P3 NORMAL"),"P3 NORMAL")))))</f>
        <v/>
      </c>
      <c r="B44" s="134">
        <f>'04 SKU Master'!$A$38</f>
        <v/>
      </c>
      <c r="C44" s="138">
        <f>'04 SKU Master'!$B$38</f>
        <v/>
      </c>
      <c r="D44" s="113">
        <f>'04 SKU Master'!$C$38</f>
        <v/>
      </c>
      <c r="E44" s="164">
        <f>'04 SKU Master'!$D$38</f>
        <v/>
      </c>
      <c r="F44" s="116">
        <f>'04 SKU Master'!$F$38</f>
        <v/>
      </c>
      <c r="G44" s="193">
        <f>'04 SKU Master'!$AN$38</f>
        <v/>
      </c>
      <c r="H44" s="150">
        <f>IF('04 SKU Master'!$AM$38="","",'04 SKU Master'!$AM$38)</f>
        <v/>
      </c>
      <c r="I44" s="204">
        <f>IF('04 SKU Master'!$AL$38="","",'04 SKU Master'!$AL$38)</f>
        <v/>
      </c>
      <c r="J44" s="152">
        <f>COUNTIF('06 Pasta Dough BOM'!$B$14:$B$206,$B44)+COUNTIF('07 Core Sauce BOM CK'!$B$14:$B$412,$B44)+COUNTIF('08 Seasonal Sauce BOM CK'!$B$14:$B$324,$B44)+COUNTIF('10 Core Menu BOM'!$E$5:$E$300,$B44)+COUNTIF('11 Seasonal Menu BOM'!$E$5:$E$365,$B44)</f>
        <v/>
      </c>
      <c r="K44" s="119" t="inlineStr">
        <is>
          <t>High</t>
        </is>
      </c>
      <c r="L44" s="140" t="n"/>
      <c r="M44" s="140" t="n"/>
      <c r="N44" s="141" t="n"/>
      <c r="O44" s="149" t="n"/>
    </row>
    <row r="45" ht="15" customHeight="1" s="106">
      <c r="A45" s="203">
        <f>IF($J45=0,"P5 NOT USED YET",IF($G45&gt;=3,"P5 DONE",IF($G45&gt;0,"P4 GET MORE QUOTES",IF($K45="High",IF($J45&gt;=3,"P1 CRITICAL","P2 HIGH"),IF($K45="Medium",IF($J45&gt;=3,"P2 HIGH","P3 NORMAL"),"P3 NORMAL")))))</f>
        <v/>
      </c>
      <c r="B45" s="134">
        <f>'04 SKU Master'!$A$39</f>
        <v/>
      </c>
      <c r="C45" s="138">
        <f>'04 SKU Master'!$B$39</f>
        <v/>
      </c>
      <c r="D45" s="113">
        <f>'04 SKU Master'!$C$39</f>
        <v/>
      </c>
      <c r="E45" s="164">
        <f>'04 SKU Master'!$D$39</f>
        <v/>
      </c>
      <c r="F45" s="116">
        <f>'04 SKU Master'!$F$39</f>
        <v/>
      </c>
      <c r="G45" s="193">
        <f>'04 SKU Master'!$AN$39</f>
        <v/>
      </c>
      <c r="H45" s="150">
        <f>IF('04 SKU Master'!$AM$39="","",'04 SKU Master'!$AM$39)</f>
        <v/>
      </c>
      <c r="I45" s="204">
        <f>IF('04 SKU Master'!$AL$39="","",'04 SKU Master'!$AL$39)</f>
        <v/>
      </c>
      <c r="J45" s="152">
        <f>COUNTIF('06 Pasta Dough BOM'!$B$14:$B$206,$B45)+COUNTIF('07 Core Sauce BOM CK'!$B$14:$B$412,$B45)+COUNTIF('08 Seasonal Sauce BOM CK'!$B$14:$B$324,$B45)+COUNTIF('10 Core Menu BOM'!$E$5:$E$300,$B45)+COUNTIF('11 Seasonal Menu BOM'!$E$5:$E$365,$B45)</f>
        <v/>
      </c>
      <c r="K45" s="119" t="inlineStr">
        <is>
          <t>High</t>
        </is>
      </c>
      <c r="L45" s="140" t="n"/>
      <c r="M45" s="140" t="n"/>
      <c r="N45" s="141" t="n"/>
      <c r="O45" s="149" t="n"/>
    </row>
    <row r="46" ht="15" customHeight="1" s="106">
      <c r="A46" s="203">
        <f>IF($J46=0,"P5 NOT USED YET",IF($G46&gt;=3,"P5 DONE",IF($G46&gt;0,"P4 GET MORE QUOTES",IF($K46="High",IF($J46&gt;=3,"P1 CRITICAL","P2 HIGH"),IF($K46="Medium",IF($J46&gt;=3,"P2 HIGH","P3 NORMAL"),"P3 NORMAL")))))</f>
        <v/>
      </c>
      <c r="B46" s="134">
        <f>'04 SKU Master'!$A$40</f>
        <v/>
      </c>
      <c r="C46" s="138">
        <f>'04 SKU Master'!$B$40</f>
        <v/>
      </c>
      <c r="D46" s="113">
        <f>'04 SKU Master'!$C$40</f>
        <v/>
      </c>
      <c r="E46" s="164">
        <f>'04 SKU Master'!$D$40</f>
        <v/>
      </c>
      <c r="F46" s="116">
        <f>'04 SKU Master'!$F$40</f>
        <v/>
      </c>
      <c r="G46" s="193">
        <f>'04 SKU Master'!$AN$40</f>
        <v/>
      </c>
      <c r="H46" s="150">
        <f>IF('04 SKU Master'!$AM$40="","",'04 SKU Master'!$AM$40)</f>
        <v/>
      </c>
      <c r="I46" s="204">
        <f>IF('04 SKU Master'!$AL$40="","",'04 SKU Master'!$AL$40)</f>
        <v/>
      </c>
      <c r="J46" s="152">
        <f>COUNTIF('06 Pasta Dough BOM'!$B$14:$B$206,$B46)+COUNTIF('07 Core Sauce BOM CK'!$B$14:$B$412,$B46)+COUNTIF('08 Seasonal Sauce BOM CK'!$B$14:$B$324,$B46)+COUNTIF('10 Core Menu BOM'!$E$5:$E$300,$B46)+COUNTIF('11 Seasonal Menu BOM'!$E$5:$E$365,$B46)</f>
        <v/>
      </c>
      <c r="K46" s="119" t="inlineStr">
        <is>
          <t>High</t>
        </is>
      </c>
      <c r="L46" s="140" t="n"/>
      <c r="M46" s="140" t="n"/>
      <c r="N46" s="141" t="n"/>
      <c r="O46" s="149" t="n"/>
    </row>
    <row r="47" ht="15" customHeight="1" s="106">
      <c r="A47" s="203">
        <f>IF($J47=0,"P5 NOT USED YET",IF($G47&gt;=3,"P5 DONE",IF($G47&gt;0,"P4 GET MORE QUOTES",IF($K47="High",IF($J47&gt;=3,"P1 CRITICAL","P2 HIGH"),IF($K47="Medium",IF($J47&gt;=3,"P2 HIGH","P3 NORMAL"),"P3 NORMAL")))))</f>
        <v/>
      </c>
      <c r="B47" s="134">
        <f>'04 SKU Master'!$A$41</f>
        <v/>
      </c>
      <c r="C47" s="138">
        <f>'04 SKU Master'!$B$41</f>
        <v/>
      </c>
      <c r="D47" s="113">
        <f>'04 SKU Master'!$C$41</f>
        <v/>
      </c>
      <c r="E47" s="164">
        <f>'04 SKU Master'!$D$41</f>
        <v/>
      </c>
      <c r="F47" s="116">
        <f>'04 SKU Master'!$F$41</f>
        <v/>
      </c>
      <c r="G47" s="193">
        <f>'04 SKU Master'!$AN$41</f>
        <v/>
      </c>
      <c r="H47" s="150">
        <f>IF('04 SKU Master'!$AM$41="","",'04 SKU Master'!$AM$41)</f>
        <v/>
      </c>
      <c r="I47" s="204">
        <f>IF('04 SKU Master'!$AL$41="","",'04 SKU Master'!$AL$41)</f>
        <v/>
      </c>
      <c r="J47" s="152">
        <f>COUNTIF('06 Pasta Dough BOM'!$B$14:$B$206,$B47)+COUNTIF('07 Core Sauce BOM CK'!$B$14:$B$412,$B47)+COUNTIF('08 Seasonal Sauce BOM CK'!$B$14:$B$324,$B47)+COUNTIF('10 Core Menu BOM'!$E$5:$E$300,$B47)+COUNTIF('11 Seasonal Menu BOM'!$E$5:$E$365,$B47)</f>
        <v/>
      </c>
      <c r="K47" s="119" t="inlineStr">
        <is>
          <t>High</t>
        </is>
      </c>
      <c r="L47" s="140" t="n"/>
      <c r="M47" s="140" t="n"/>
      <c r="N47" s="141" t="n"/>
      <c r="O47" s="149" t="n"/>
    </row>
    <row r="48" ht="15" customHeight="1" s="106">
      <c r="A48" s="203">
        <f>IF($J48=0,"P5 NOT USED YET",IF($G48&gt;=3,"P5 DONE",IF($G48&gt;0,"P4 GET MORE QUOTES",IF($K48="High",IF($J48&gt;=3,"P1 CRITICAL","P2 HIGH"),IF($K48="Medium",IF($J48&gt;=3,"P2 HIGH","P3 NORMAL"),"P3 NORMAL")))))</f>
        <v/>
      </c>
      <c r="B48" s="134">
        <f>'04 SKU Master'!$A$42</f>
        <v/>
      </c>
      <c r="C48" s="138">
        <f>'04 SKU Master'!$B$42</f>
        <v/>
      </c>
      <c r="D48" s="113">
        <f>'04 SKU Master'!$C$42</f>
        <v/>
      </c>
      <c r="E48" s="164">
        <f>'04 SKU Master'!$D$42</f>
        <v/>
      </c>
      <c r="F48" s="116">
        <f>'04 SKU Master'!$F$42</f>
        <v/>
      </c>
      <c r="G48" s="193">
        <f>'04 SKU Master'!$AN$42</f>
        <v/>
      </c>
      <c r="H48" s="150">
        <f>IF('04 SKU Master'!$AM$42="","",'04 SKU Master'!$AM$42)</f>
        <v/>
      </c>
      <c r="I48" s="204">
        <f>IF('04 SKU Master'!$AL$42="","",'04 SKU Master'!$AL$42)</f>
        <v/>
      </c>
      <c r="J48" s="152">
        <f>COUNTIF('06 Pasta Dough BOM'!$B$14:$B$206,$B48)+COUNTIF('07 Core Sauce BOM CK'!$B$14:$B$412,$B48)+COUNTIF('08 Seasonal Sauce BOM CK'!$B$14:$B$324,$B48)+COUNTIF('10 Core Menu BOM'!$E$5:$E$300,$B48)+COUNTIF('11 Seasonal Menu BOM'!$E$5:$E$365,$B48)</f>
        <v/>
      </c>
      <c r="K48" s="119" t="inlineStr">
        <is>
          <t>High</t>
        </is>
      </c>
      <c r="L48" s="140" t="n"/>
      <c r="M48" s="140" t="n"/>
      <c r="N48" s="141" t="n"/>
      <c r="O48" s="149" t="n"/>
    </row>
    <row r="49" ht="15" customHeight="1" s="106">
      <c r="A49" s="203">
        <f>IF($J49=0,"P5 NOT USED YET",IF($G49&gt;=3,"P5 DONE",IF($G49&gt;0,"P4 GET MORE QUOTES",IF($K49="High",IF($J49&gt;=3,"P1 CRITICAL","P2 HIGH"),IF($K49="Medium",IF($J49&gt;=3,"P2 HIGH","P3 NORMAL"),"P3 NORMAL")))))</f>
        <v/>
      </c>
      <c r="B49" s="134">
        <f>'04 SKU Master'!$A$43</f>
        <v/>
      </c>
      <c r="C49" s="138">
        <f>'04 SKU Master'!$B$43</f>
        <v/>
      </c>
      <c r="D49" s="113">
        <f>'04 SKU Master'!$C$43</f>
        <v/>
      </c>
      <c r="E49" s="164">
        <f>'04 SKU Master'!$D$43</f>
        <v/>
      </c>
      <c r="F49" s="116">
        <f>'04 SKU Master'!$F$43</f>
        <v/>
      </c>
      <c r="G49" s="193">
        <f>'04 SKU Master'!$AN$43</f>
        <v/>
      </c>
      <c r="H49" s="150">
        <f>IF('04 SKU Master'!$AM$43="","",'04 SKU Master'!$AM$43)</f>
        <v/>
      </c>
      <c r="I49" s="204">
        <f>IF('04 SKU Master'!$AL$43="","",'04 SKU Master'!$AL$43)</f>
        <v/>
      </c>
      <c r="J49" s="152">
        <f>COUNTIF('06 Pasta Dough BOM'!$B$14:$B$206,$B49)+COUNTIF('07 Core Sauce BOM CK'!$B$14:$B$412,$B49)+COUNTIF('08 Seasonal Sauce BOM CK'!$B$14:$B$324,$B49)+COUNTIF('10 Core Menu BOM'!$E$5:$E$300,$B49)+COUNTIF('11 Seasonal Menu BOM'!$E$5:$E$365,$B49)</f>
        <v/>
      </c>
      <c r="K49" s="119" t="inlineStr">
        <is>
          <t>High</t>
        </is>
      </c>
      <c r="L49" s="140" t="n"/>
      <c r="M49" s="140" t="n"/>
      <c r="N49" s="141" t="n"/>
      <c r="O49" s="149" t="n"/>
    </row>
    <row r="50" ht="15" customHeight="1" s="106">
      <c r="A50" s="203">
        <f>IF($J50=0,"P5 NOT USED YET",IF($G50&gt;=3,"P5 DONE",IF($G50&gt;0,"P4 GET MORE QUOTES",IF($K50="High",IF($J50&gt;=3,"P1 CRITICAL","P2 HIGH"),IF($K50="Medium",IF($J50&gt;=3,"P2 HIGH","P3 NORMAL"),"P3 NORMAL")))))</f>
        <v/>
      </c>
      <c r="B50" s="134">
        <f>'04 SKU Master'!$A$44</f>
        <v/>
      </c>
      <c r="C50" s="138">
        <f>'04 SKU Master'!$B$44</f>
        <v/>
      </c>
      <c r="D50" s="113">
        <f>'04 SKU Master'!$C$44</f>
        <v/>
      </c>
      <c r="E50" s="164">
        <f>'04 SKU Master'!$D$44</f>
        <v/>
      </c>
      <c r="F50" s="116">
        <f>'04 SKU Master'!$F$44</f>
        <v/>
      </c>
      <c r="G50" s="193">
        <f>'04 SKU Master'!$AN$44</f>
        <v/>
      </c>
      <c r="H50" s="150">
        <f>IF('04 SKU Master'!$AM$44="","",'04 SKU Master'!$AM$44)</f>
        <v/>
      </c>
      <c r="I50" s="204">
        <f>IF('04 SKU Master'!$AL$44="","",'04 SKU Master'!$AL$44)</f>
        <v/>
      </c>
      <c r="J50" s="152">
        <f>COUNTIF('06 Pasta Dough BOM'!$B$14:$B$206,$B50)+COUNTIF('07 Core Sauce BOM CK'!$B$14:$B$412,$B50)+COUNTIF('08 Seasonal Sauce BOM CK'!$B$14:$B$324,$B50)+COUNTIF('10 Core Menu BOM'!$E$5:$E$300,$B50)+COUNTIF('11 Seasonal Menu BOM'!$E$5:$E$365,$B50)</f>
        <v/>
      </c>
      <c r="K50" s="119" t="inlineStr">
        <is>
          <t>High</t>
        </is>
      </c>
      <c r="L50" s="140" t="n"/>
      <c r="M50" s="140" t="n"/>
      <c r="N50" s="141" t="n"/>
      <c r="O50" s="149" t="n"/>
    </row>
    <row r="51" ht="15" customHeight="1" s="106">
      <c r="A51" s="203">
        <f>IF($J51=0,"P5 NOT USED YET",IF($G51&gt;=3,"P5 DONE",IF($G51&gt;0,"P4 GET MORE QUOTES",IF($K51="High",IF($J51&gt;=3,"P1 CRITICAL","P2 HIGH"),IF($K51="Medium",IF($J51&gt;=3,"P2 HIGH","P3 NORMAL"),"P3 NORMAL")))))</f>
        <v/>
      </c>
      <c r="B51" s="134">
        <f>'04 SKU Master'!$A$45</f>
        <v/>
      </c>
      <c r="C51" s="138">
        <f>'04 SKU Master'!$B$45</f>
        <v/>
      </c>
      <c r="D51" s="113">
        <f>'04 SKU Master'!$C$45</f>
        <v/>
      </c>
      <c r="E51" s="164">
        <f>'04 SKU Master'!$D$45</f>
        <v/>
      </c>
      <c r="F51" s="116">
        <f>'04 SKU Master'!$F$45</f>
        <v/>
      </c>
      <c r="G51" s="193">
        <f>'04 SKU Master'!$AN$45</f>
        <v/>
      </c>
      <c r="H51" s="150">
        <f>IF('04 SKU Master'!$AM$45="","",'04 SKU Master'!$AM$45)</f>
        <v/>
      </c>
      <c r="I51" s="204">
        <f>IF('04 SKU Master'!$AL$45="","",'04 SKU Master'!$AL$45)</f>
        <v/>
      </c>
      <c r="J51" s="152">
        <f>COUNTIF('06 Pasta Dough BOM'!$B$14:$B$206,$B51)+COUNTIF('07 Core Sauce BOM CK'!$B$14:$B$412,$B51)+COUNTIF('08 Seasonal Sauce BOM CK'!$B$14:$B$324,$B51)+COUNTIF('10 Core Menu BOM'!$E$5:$E$300,$B51)+COUNTIF('11 Seasonal Menu BOM'!$E$5:$E$365,$B51)</f>
        <v/>
      </c>
      <c r="K51" s="119" t="inlineStr">
        <is>
          <t>High</t>
        </is>
      </c>
      <c r="L51" s="140" t="n"/>
      <c r="M51" s="140" t="n"/>
      <c r="N51" s="141" t="n"/>
      <c r="O51" s="149" t="n"/>
    </row>
    <row r="52" ht="15" customHeight="1" s="106">
      <c r="A52" s="203">
        <f>IF($J52=0,"P5 NOT USED YET",IF($G52&gt;=3,"P5 DONE",IF($G52&gt;0,"P4 GET MORE QUOTES",IF($K52="High",IF($J52&gt;=3,"P1 CRITICAL","P2 HIGH"),IF($K52="Medium",IF($J52&gt;=3,"P2 HIGH","P3 NORMAL"),"P3 NORMAL")))))</f>
        <v/>
      </c>
      <c r="B52" s="134">
        <f>'04 SKU Master'!$A$46</f>
        <v/>
      </c>
      <c r="C52" s="138">
        <f>'04 SKU Master'!$B$46</f>
        <v/>
      </c>
      <c r="D52" s="113">
        <f>'04 SKU Master'!$C$46</f>
        <v/>
      </c>
      <c r="E52" s="164">
        <f>'04 SKU Master'!$D$46</f>
        <v/>
      </c>
      <c r="F52" s="116">
        <f>'04 SKU Master'!$F$46</f>
        <v/>
      </c>
      <c r="G52" s="193">
        <f>'04 SKU Master'!$AN$46</f>
        <v/>
      </c>
      <c r="H52" s="150">
        <f>IF('04 SKU Master'!$AM$46="","",'04 SKU Master'!$AM$46)</f>
        <v/>
      </c>
      <c r="I52" s="204">
        <f>IF('04 SKU Master'!$AL$46="","",'04 SKU Master'!$AL$46)</f>
        <v/>
      </c>
      <c r="J52" s="152">
        <f>COUNTIF('06 Pasta Dough BOM'!$B$14:$B$206,$B52)+COUNTIF('07 Core Sauce BOM CK'!$B$14:$B$412,$B52)+COUNTIF('08 Seasonal Sauce BOM CK'!$B$14:$B$324,$B52)+COUNTIF('10 Core Menu BOM'!$E$5:$E$300,$B52)+COUNTIF('11 Seasonal Menu BOM'!$E$5:$E$365,$B52)</f>
        <v/>
      </c>
      <c r="K52" s="119" t="inlineStr">
        <is>
          <t>High</t>
        </is>
      </c>
      <c r="L52" s="140" t="n"/>
      <c r="M52" s="140" t="n"/>
      <c r="N52" s="141" t="n"/>
      <c r="O52" s="149" t="n"/>
    </row>
    <row r="53" ht="15" customHeight="1" s="106">
      <c r="A53" s="203">
        <f>IF($J53=0,"P5 NOT USED YET",IF($G53&gt;=3,"P5 DONE",IF($G53&gt;0,"P4 GET MORE QUOTES",IF($K53="High",IF($J53&gt;=3,"P1 CRITICAL","P2 HIGH"),IF($K53="Medium",IF($J53&gt;=3,"P2 HIGH","P3 NORMAL"),"P3 NORMAL")))))</f>
        <v/>
      </c>
      <c r="B53" s="134">
        <f>'04 SKU Master'!$A$47</f>
        <v/>
      </c>
      <c r="C53" s="138">
        <f>'04 SKU Master'!$B$47</f>
        <v/>
      </c>
      <c r="D53" s="113">
        <f>'04 SKU Master'!$C$47</f>
        <v/>
      </c>
      <c r="E53" s="164">
        <f>'04 SKU Master'!$D$47</f>
        <v/>
      </c>
      <c r="F53" s="116">
        <f>'04 SKU Master'!$F$47</f>
        <v/>
      </c>
      <c r="G53" s="193">
        <f>'04 SKU Master'!$AN$47</f>
        <v/>
      </c>
      <c r="H53" s="150">
        <f>IF('04 SKU Master'!$AM$47="","",'04 SKU Master'!$AM$47)</f>
        <v/>
      </c>
      <c r="I53" s="204">
        <f>IF('04 SKU Master'!$AL$47="","",'04 SKU Master'!$AL$47)</f>
        <v/>
      </c>
      <c r="J53" s="152">
        <f>COUNTIF('06 Pasta Dough BOM'!$B$14:$B$206,$B53)+COUNTIF('07 Core Sauce BOM CK'!$B$14:$B$412,$B53)+COUNTIF('08 Seasonal Sauce BOM CK'!$B$14:$B$324,$B53)+COUNTIF('10 Core Menu BOM'!$E$5:$E$300,$B53)+COUNTIF('11 Seasonal Menu BOM'!$E$5:$E$365,$B53)</f>
        <v/>
      </c>
      <c r="K53" s="119" t="inlineStr">
        <is>
          <t>High</t>
        </is>
      </c>
      <c r="L53" s="140" t="n"/>
      <c r="M53" s="140" t="n"/>
      <c r="N53" s="141" t="n"/>
      <c r="O53" s="149" t="n"/>
    </row>
    <row r="54" ht="15" customHeight="1" s="106">
      <c r="A54" s="203">
        <f>IF($J54=0,"P5 NOT USED YET",IF($G54&gt;=3,"P5 DONE",IF($G54&gt;0,"P4 GET MORE QUOTES",IF($K54="High",IF($J54&gt;=3,"P1 CRITICAL","P2 HIGH"),IF($K54="Medium",IF($J54&gt;=3,"P2 HIGH","P3 NORMAL"),"P3 NORMAL")))))</f>
        <v/>
      </c>
      <c r="B54" s="134">
        <f>'04 SKU Master'!$A$48</f>
        <v/>
      </c>
      <c r="C54" s="138">
        <f>'04 SKU Master'!$B$48</f>
        <v/>
      </c>
      <c r="D54" s="113">
        <f>'04 SKU Master'!$C$48</f>
        <v/>
      </c>
      <c r="E54" s="164">
        <f>'04 SKU Master'!$D$48</f>
        <v/>
      </c>
      <c r="F54" s="116">
        <f>'04 SKU Master'!$F$48</f>
        <v/>
      </c>
      <c r="G54" s="193">
        <f>'04 SKU Master'!$AN$48</f>
        <v/>
      </c>
      <c r="H54" s="150">
        <f>IF('04 SKU Master'!$AM$48="","",'04 SKU Master'!$AM$48)</f>
        <v/>
      </c>
      <c r="I54" s="204">
        <f>IF('04 SKU Master'!$AL$48="","",'04 SKU Master'!$AL$48)</f>
        <v/>
      </c>
      <c r="J54" s="152">
        <f>COUNTIF('06 Pasta Dough BOM'!$B$14:$B$206,$B54)+COUNTIF('07 Core Sauce BOM CK'!$B$14:$B$412,$B54)+COUNTIF('08 Seasonal Sauce BOM CK'!$B$14:$B$324,$B54)+COUNTIF('10 Core Menu BOM'!$E$5:$E$300,$B54)+COUNTIF('11 Seasonal Menu BOM'!$E$5:$E$365,$B54)</f>
        <v/>
      </c>
      <c r="K54" s="119" t="inlineStr">
        <is>
          <t>High</t>
        </is>
      </c>
      <c r="L54" s="140" t="n"/>
      <c r="M54" s="140" t="n"/>
      <c r="N54" s="141" t="n"/>
      <c r="O54" s="149" t="n"/>
    </row>
    <row r="55" ht="15" customHeight="1" s="106">
      <c r="A55" s="203">
        <f>IF($J55=0,"P5 NOT USED YET",IF($G55&gt;=3,"P5 DONE",IF($G55&gt;0,"P4 GET MORE QUOTES",IF($K55="High",IF($J55&gt;=3,"P1 CRITICAL","P2 HIGH"),IF($K55="Medium",IF($J55&gt;=3,"P2 HIGH","P3 NORMAL"),"P3 NORMAL")))))</f>
        <v/>
      </c>
      <c r="B55" s="134">
        <f>'04 SKU Master'!$A$49</f>
        <v/>
      </c>
      <c r="C55" s="138">
        <f>'04 SKU Master'!$B$49</f>
        <v/>
      </c>
      <c r="D55" s="113">
        <f>'04 SKU Master'!$C$49</f>
        <v/>
      </c>
      <c r="E55" s="164">
        <f>'04 SKU Master'!$D$49</f>
        <v/>
      </c>
      <c r="F55" s="116">
        <f>'04 SKU Master'!$F$49</f>
        <v/>
      </c>
      <c r="G55" s="193">
        <f>'04 SKU Master'!$AN$49</f>
        <v/>
      </c>
      <c r="H55" s="150">
        <f>IF('04 SKU Master'!$AM$49="","",'04 SKU Master'!$AM$49)</f>
        <v/>
      </c>
      <c r="I55" s="204">
        <f>IF('04 SKU Master'!$AL$49="","",'04 SKU Master'!$AL$49)</f>
        <v/>
      </c>
      <c r="J55" s="152">
        <f>COUNTIF('06 Pasta Dough BOM'!$B$14:$B$206,$B55)+COUNTIF('07 Core Sauce BOM CK'!$B$14:$B$412,$B55)+COUNTIF('08 Seasonal Sauce BOM CK'!$B$14:$B$324,$B55)+COUNTIF('10 Core Menu BOM'!$E$5:$E$300,$B55)+COUNTIF('11 Seasonal Menu BOM'!$E$5:$E$365,$B55)</f>
        <v/>
      </c>
      <c r="K55" s="119" t="inlineStr">
        <is>
          <t>High</t>
        </is>
      </c>
      <c r="L55" s="140" t="n"/>
      <c r="M55" s="140" t="n"/>
      <c r="N55" s="141" t="n"/>
      <c r="O55" s="149" t="n"/>
    </row>
    <row r="56" ht="15" customHeight="1" s="106">
      <c r="A56" s="203">
        <f>IF($J56=0,"P5 NOT USED YET",IF($G56&gt;=3,"P5 DONE",IF($G56&gt;0,"P4 GET MORE QUOTES",IF($K56="High",IF($J56&gt;=3,"P1 CRITICAL","P2 HIGH"),IF($K56="Medium",IF($J56&gt;=3,"P2 HIGH","P3 NORMAL"),"P3 NORMAL")))))</f>
        <v/>
      </c>
      <c r="B56" s="134">
        <f>'04 SKU Master'!$A$50</f>
        <v/>
      </c>
      <c r="C56" s="138">
        <f>'04 SKU Master'!$B$50</f>
        <v/>
      </c>
      <c r="D56" s="113">
        <f>'04 SKU Master'!$C$50</f>
        <v/>
      </c>
      <c r="E56" s="164">
        <f>'04 SKU Master'!$D$50</f>
        <v/>
      </c>
      <c r="F56" s="116">
        <f>'04 SKU Master'!$F$50</f>
        <v/>
      </c>
      <c r="G56" s="193">
        <f>'04 SKU Master'!$AN$50</f>
        <v/>
      </c>
      <c r="H56" s="150">
        <f>IF('04 SKU Master'!$AM$50="","",'04 SKU Master'!$AM$50)</f>
        <v/>
      </c>
      <c r="I56" s="204">
        <f>IF('04 SKU Master'!$AL$50="","",'04 SKU Master'!$AL$50)</f>
        <v/>
      </c>
      <c r="J56" s="152">
        <f>COUNTIF('06 Pasta Dough BOM'!$B$14:$B$206,$B56)+COUNTIF('07 Core Sauce BOM CK'!$B$14:$B$412,$B56)+COUNTIF('08 Seasonal Sauce BOM CK'!$B$14:$B$324,$B56)+COUNTIF('10 Core Menu BOM'!$E$5:$E$300,$B56)+COUNTIF('11 Seasonal Menu BOM'!$E$5:$E$365,$B56)</f>
        <v/>
      </c>
      <c r="K56" s="119" t="inlineStr">
        <is>
          <t>High</t>
        </is>
      </c>
      <c r="L56" s="140" t="n"/>
      <c r="M56" s="140" t="n"/>
      <c r="N56" s="141" t="n"/>
      <c r="O56" s="149" t="n"/>
    </row>
    <row r="57" ht="15" customHeight="1" s="106">
      <c r="A57" s="203">
        <f>IF($J57=0,"P5 NOT USED YET",IF($G57&gt;=3,"P5 DONE",IF($G57&gt;0,"P4 GET MORE QUOTES",IF($K57="High",IF($J57&gt;=3,"P1 CRITICAL","P2 HIGH"),IF($K57="Medium",IF($J57&gt;=3,"P2 HIGH","P3 NORMAL"),"P3 NORMAL")))))</f>
        <v/>
      </c>
      <c r="B57" s="134">
        <f>'04 SKU Master'!$A$51</f>
        <v/>
      </c>
      <c r="C57" s="138">
        <f>'04 SKU Master'!$B$51</f>
        <v/>
      </c>
      <c r="D57" s="113">
        <f>'04 SKU Master'!$C$51</f>
        <v/>
      </c>
      <c r="E57" s="164">
        <f>'04 SKU Master'!$D$51</f>
        <v/>
      </c>
      <c r="F57" s="116">
        <f>'04 SKU Master'!$F$51</f>
        <v/>
      </c>
      <c r="G57" s="193">
        <f>'04 SKU Master'!$AN$51</f>
        <v/>
      </c>
      <c r="H57" s="150">
        <f>IF('04 SKU Master'!$AM$51="","",'04 SKU Master'!$AM$51)</f>
        <v/>
      </c>
      <c r="I57" s="204">
        <f>IF('04 SKU Master'!$AL$51="","",'04 SKU Master'!$AL$51)</f>
        <v/>
      </c>
      <c r="J57" s="152">
        <f>COUNTIF('06 Pasta Dough BOM'!$B$14:$B$206,$B57)+COUNTIF('07 Core Sauce BOM CK'!$B$14:$B$412,$B57)+COUNTIF('08 Seasonal Sauce BOM CK'!$B$14:$B$324,$B57)+COUNTIF('10 Core Menu BOM'!$E$5:$E$300,$B57)+COUNTIF('11 Seasonal Menu BOM'!$E$5:$E$365,$B57)</f>
        <v/>
      </c>
      <c r="K57" s="119" t="inlineStr">
        <is>
          <t>High</t>
        </is>
      </c>
      <c r="L57" s="140" t="n"/>
      <c r="M57" s="140" t="n"/>
      <c r="N57" s="141" t="n"/>
      <c r="O57" s="149" t="n"/>
    </row>
    <row r="58" ht="15" customHeight="1" s="106">
      <c r="A58" s="203">
        <f>IF($J58=0,"P5 NOT USED YET",IF($G58&gt;=3,"P5 DONE",IF($G58&gt;0,"P4 GET MORE QUOTES",IF($K58="High",IF($J58&gt;=3,"P1 CRITICAL","P2 HIGH"),IF($K58="Medium",IF($J58&gt;=3,"P2 HIGH","P3 NORMAL"),"P3 NORMAL")))))</f>
        <v/>
      </c>
      <c r="B58" s="134">
        <f>'04 SKU Master'!$A$52</f>
        <v/>
      </c>
      <c r="C58" s="138">
        <f>'04 SKU Master'!$B$52</f>
        <v/>
      </c>
      <c r="D58" s="113">
        <f>'04 SKU Master'!$C$52</f>
        <v/>
      </c>
      <c r="E58" s="164">
        <f>'04 SKU Master'!$D$52</f>
        <v/>
      </c>
      <c r="F58" s="116">
        <f>'04 SKU Master'!$F$52</f>
        <v/>
      </c>
      <c r="G58" s="193">
        <f>'04 SKU Master'!$AN$52</f>
        <v/>
      </c>
      <c r="H58" s="150">
        <f>IF('04 SKU Master'!$AM$52="","",'04 SKU Master'!$AM$52)</f>
        <v/>
      </c>
      <c r="I58" s="204">
        <f>IF('04 SKU Master'!$AL$52="","",'04 SKU Master'!$AL$52)</f>
        <v/>
      </c>
      <c r="J58" s="152">
        <f>COUNTIF('06 Pasta Dough BOM'!$B$14:$B$206,$B58)+COUNTIF('07 Core Sauce BOM CK'!$B$14:$B$412,$B58)+COUNTIF('08 Seasonal Sauce BOM CK'!$B$14:$B$324,$B58)+COUNTIF('10 Core Menu BOM'!$E$5:$E$300,$B58)+COUNTIF('11 Seasonal Menu BOM'!$E$5:$E$365,$B58)</f>
        <v/>
      </c>
      <c r="K58" s="119" t="inlineStr">
        <is>
          <t>High</t>
        </is>
      </c>
      <c r="L58" s="140" t="n"/>
      <c r="M58" s="140" t="n"/>
      <c r="N58" s="141" t="n"/>
      <c r="O58" s="149" t="n"/>
    </row>
    <row r="59" ht="15" customHeight="1" s="106">
      <c r="A59" s="203">
        <f>IF($J59=0,"P5 NOT USED YET",IF($G59&gt;=3,"P5 DONE",IF($G59&gt;0,"P4 GET MORE QUOTES",IF($K59="High",IF($J59&gt;=3,"P1 CRITICAL","P2 HIGH"),IF($K59="Medium",IF($J59&gt;=3,"P2 HIGH","P3 NORMAL"),"P3 NORMAL")))))</f>
        <v/>
      </c>
      <c r="B59" s="134">
        <f>'04 SKU Master'!$A$53</f>
        <v/>
      </c>
      <c r="C59" s="138">
        <f>'04 SKU Master'!$B$53</f>
        <v/>
      </c>
      <c r="D59" s="113">
        <f>'04 SKU Master'!$C$53</f>
        <v/>
      </c>
      <c r="E59" s="164">
        <f>'04 SKU Master'!$D$53</f>
        <v/>
      </c>
      <c r="F59" s="116">
        <f>'04 SKU Master'!$F$53</f>
        <v/>
      </c>
      <c r="G59" s="193">
        <f>'04 SKU Master'!$AN$53</f>
        <v/>
      </c>
      <c r="H59" s="150">
        <f>IF('04 SKU Master'!$AM$53="","",'04 SKU Master'!$AM$53)</f>
        <v/>
      </c>
      <c r="I59" s="204">
        <f>IF('04 SKU Master'!$AL$53="","",'04 SKU Master'!$AL$53)</f>
        <v/>
      </c>
      <c r="J59" s="152">
        <f>COUNTIF('06 Pasta Dough BOM'!$B$14:$B$206,$B59)+COUNTIF('07 Core Sauce BOM CK'!$B$14:$B$412,$B59)+COUNTIF('08 Seasonal Sauce BOM CK'!$B$14:$B$324,$B59)+COUNTIF('10 Core Menu BOM'!$E$5:$E$300,$B59)+COUNTIF('11 Seasonal Menu BOM'!$E$5:$E$365,$B59)</f>
        <v/>
      </c>
      <c r="K59" s="119" t="inlineStr">
        <is>
          <t>High</t>
        </is>
      </c>
      <c r="L59" s="140" t="n"/>
      <c r="M59" s="140" t="n"/>
      <c r="N59" s="141" t="n"/>
      <c r="O59" s="149" t="n"/>
    </row>
    <row r="60" ht="15" customHeight="1" s="106">
      <c r="A60" s="203">
        <f>IF($J60=0,"P5 NOT USED YET",IF($G60&gt;=3,"P5 DONE",IF($G60&gt;0,"P4 GET MORE QUOTES",IF($K60="High",IF($J60&gt;=3,"P1 CRITICAL","P2 HIGH"),IF($K60="Medium",IF($J60&gt;=3,"P2 HIGH","P3 NORMAL"),"P3 NORMAL")))))</f>
        <v/>
      </c>
      <c r="B60" s="134">
        <f>'04 SKU Master'!$A$54</f>
        <v/>
      </c>
      <c r="C60" s="138">
        <f>'04 SKU Master'!$B$54</f>
        <v/>
      </c>
      <c r="D60" s="113">
        <f>'04 SKU Master'!$C$54</f>
        <v/>
      </c>
      <c r="E60" s="164">
        <f>'04 SKU Master'!$D$54</f>
        <v/>
      </c>
      <c r="F60" s="116">
        <f>'04 SKU Master'!$F$54</f>
        <v/>
      </c>
      <c r="G60" s="193">
        <f>'04 SKU Master'!$AN$54</f>
        <v/>
      </c>
      <c r="H60" s="150">
        <f>IF('04 SKU Master'!$AM$54="","",'04 SKU Master'!$AM$54)</f>
        <v/>
      </c>
      <c r="I60" s="204">
        <f>IF('04 SKU Master'!$AL$54="","",'04 SKU Master'!$AL$54)</f>
        <v/>
      </c>
      <c r="J60" s="152">
        <f>COUNTIF('06 Pasta Dough BOM'!$B$14:$B$206,$B60)+COUNTIF('07 Core Sauce BOM CK'!$B$14:$B$412,$B60)+COUNTIF('08 Seasonal Sauce BOM CK'!$B$14:$B$324,$B60)+COUNTIF('10 Core Menu BOM'!$E$5:$E$300,$B60)+COUNTIF('11 Seasonal Menu BOM'!$E$5:$E$365,$B60)</f>
        <v/>
      </c>
      <c r="K60" s="119" t="inlineStr">
        <is>
          <t>Medium</t>
        </is>
      </c>
      <c r="L60" s="140" t="n"/>
      <c r="M60" s="140" t="n"/>
      <c r="N60" s="141" t="n"/>
      <c r="O60" s="149" t="n"/>
    </row>
    <row r="61" ht="15" customHeight="1" s="106">
      <c r="A61" s="203">
        <f>IF($J61=0,"P5 NOT USED YET",IF($G61&gt;=3,"P5 DONE",IF($G61&gt;0,"P4 GET MORE QUOTES",IF($K61="High",IF($J61&gt;=3,"P1 CRITICAL","P2 HIGH"),IF($K61="Medium",IF($J61&gt;=3,"P2 HIGH","P3 NORMAL"),"P3 NORMAL")))))</f>
        <v/>
      </c>
      <c r="B61" s="134">
        <f>'04 SKU Master'!$A$55</f>
        <v/>
      </c>
      <c r="C61" s="138">
        <f>'04 SKU Master'!$B$55</f>
        <v/>
      </c>
      <c r="D61" s="113">
        <f>'04 SKU Master'!$C$55</f>
        <v/>
      </c>
      <c r="E61" s="164">
        <f>'04 SKU Master'!$D$55</f>
        <v/>
      </c>
      <c r="F61" s="116">
        <f>'04 SKU Master'!$F$55</f>
        <v/>
      </c>
      <c r="G61" s="193">
        <f>'04 SKU Master'!$AN$55</f>
        <v/>
      </c>
      <c r="H61" s="150">
        <f>IF('04 SKU Master'!$AM$55="","",'04 SKU Master'!$AM$55)</f>
        <v/>
      </c>
      <c r="I61" s="204">
        <f>IF('04 SKU Master'!$AL$55="","",'04 SKU Master'!$AL$55)</f>
        <v/>
      </c>
      <c r="J61" s="152">
        <f>COUNTIF('06 Pasta Dough BOM'!$B$14:$B$206,$B61)+COUNTIF('07 Core Sauce BOM CK'!$B$14:$B$412,$B61)+COUNTIF('08 Seasonal Sauce BOM CK'!$B$14:$B$324,$B61)+COUNTIF('10 Core Menu BOM'!$E$5:$E$300,$B61)+COUNTIF('11 Seasonal Menu BOM'!$E$5:$E$365,$B61)</f>
        <v/>
      </c>
      <c r="K61" s="119" t="inlineStr">
        <is>
          <t>Medium</t>
        </is>
      </c>
      <c r="L61" s="140" t="n"/>
      <c r="M61" s="140" t="n"/>
      <c r="N61" s="141" t="n"/>
      <c r="O61" s="149" t="n"/>
    </row>
    <row r="62" ht="15" customHeight="1" s="106">
      <c r="A62" s="203">
        <f>IF($J62=0,"P5 NOT USED YET",IF($G62&gt;=3,"P5 DONE",IF($G62&gt;0,"P4 GET MORE QUOTES",IF($K62="High",IF($J62&gt;=3,"P1 CRITICAL","P2 HIGH"),IF($K62="Medium",IF($J62&gt;=3,"P2 HIGH","P3 NORMAL"),"P3 NORMAL")))))</f>
        <v/>
      </c>
      <c r="B62" s="134">
        <f>'04 SKU Master'!$A$56</f>
        <v/>
      </c>
      <c r="C62" s="138">
        <f>'04 SKU Master'!$B$56</f>
        <v/>
      </c>
      <c r="D62" s="113">
        <f>'04 SKU Master'!$C$56</f>
        <v/>
      </c>
      <c r="E62" s="164">
        <f>'04 SKU Master'!$D$56</f>
        <v/>
      </c>
      <c r="F62" s="116">
        <f>'04 SKU Master'!$F$56</f>
        <v/>
      </c>
      <c r="G62" s="193">
        <f>'04 SKU Master'!$AN$56</f>
        <v/>
      </c>
      <c r="H62" s="150">
        <f>IF('04 SKU Master'!$AM$56="","",'04 SKU Master'!$AM$56)</f>
        <v/>
      </c>
      <c r="I62" s="204">
        <f>IF('04 SKU Master'!$AL$56="","",'04 SKU Master'!$AL$56)</f>
        <v/>
      </c>
      <c r="J62" s="152">
        <f>COUNTIF('06 Pasta Dough BOM'!$B$14:$B$206,$B62)+COUNTIF('07 Core Sauce BOM CK'!$B$14:$B$412,$B62)+COUNTIF('08 Seasonal Sauce BOM CK'!$B$14:$B$324,$B62)+COUNTIF('10 Core Menu BOM'!$E$5:$E$300,$B62)+COUNTIF('11 Seasonal Menu BOM'!$E$5:$E$365,$B62)</f>
        <v/>
      </c>
      <c r="K62" s="119" t="inlineStr">
        <is>
          <t>Medium</t>
        </is>
      </c>
      <c r="L62" s="140" t="n"/>
      <c r="M62" s="140" t="n"/>
      <c r="N62" s="141" t="n"/>
      <c r="O62" s="149" t="n"/>
    </row>
    <row r="63" ht="15" customHeight="1" s="106">
      <c r="A63" s="203">
        <f>IF($J63=0,"P5 NOT USED YET",IF($G63&gt;=3,"P5 DONE",IF($G63&gt;0,"P4 GET MORE QUOTES",IF($K63="High",IF($J63&gt;=3,"P1 CRITICAL","P2 HIGH"),IF($K63="Medium",IF($J63&gt;=3,"P2 HIGH","P3 NORMAL"),"P3 NORMAL")))))</f>
        <v/>
      </c>
      <c r="B63" s="134">
        <f>'04 SKU Master'!$A$57</f>
        <v/>
      </c>
      <c r="C63" s="138">
        <f>'04 SKU Master'!$B$57</f>
        <v/>
      </c>
      <c r="D63" s="113">
        <f>'04 SKU Master'!$C$57</f>
        <v/>
      </c>
      <c r="E63" s="164">
        <f>'04 SKU Master'!$D$57</f>
        <v/>
      </c>
      <c r="F63" s="116">
        <f>'04 SKU Master'!$F$57</f>
        <v/>
      </c>
      <c r="G63" s="193">
        <f>'04 SKU Master'!$AN$57</f>
        <v/>
      </c>
      <c r="H63" s="150">
        <f>IF('04 SKU Master'!$AM$57="","",'04 SKU Master'!$AM$57)</f>
        <v/>
      </c>
      <c r="I63" s="204">
        <f>IF('04 SKU Master'!$AL$57="","",'04 SKU Master'!$AL$57)</f>
        <v/>
      </c>
      <c r="J63" s="152">
        <f>COUNTIF('06 Pasta Dough BOM'!$B$14:$B$206,$B63)+COUNTIF('07 Core Sauce BOM CK'!$B$14:$B$412,$B63)+COUNTIF('08 Seasonal Sauce BOM CK'!$B$14:$B$324,$B63)+COUNTIF('10 Core Menu BOM'!$E$5:$E$300,$B63)+COUNTIF('11 Seasonal Menu BOM'!$E$5:$E$365,$B63)</f>
        <v/>
      </c>
      <c r="K63" s="119" t="inlineStr">
        <is>
          <t>Medium</t>
        </is>
      </c>
      <c r="L63" s="140" t="n"/>
      <c r="M63" s="140" t="n"/>
      <c r="N63" s="141" t="n"/>
      <c r="O63" s="149" t="n"/>
    </row>
    <row r="64" ht="37.3" customHeight="1" s="106">
      <c r="A64" s="203">
        <f>IF($J64=0,"P5 NOT USED YET",IF($G64&gt;=3,"P5 DONE",IF($G64&gt;0,"P4 GET MORE QUOTES",IF($K64="High",IF($J64&gt;=3,"P1 CRITICAL","P2 HIGH"),IF($K64="Medium",IF($J64&gt;=3,"P2 HIGH","P3 NORMAL"),"P3 NORMAL")))))</f>
        <v/>
      </c>
      <c r="B64" s="134">
        <f>'04 SKU Master'!$A$58</f>
        <v/>
      </c>
      <c r="C64" s="138">
        <f>'04 SKU Master'!$B$58</f>
        <v/>
      </c>
      <c r="D64" s="113">
        <f>'04 SKU Master'!$C$58</f>
        <v/>
      </c>
      <c r="E64" s="164">
        <f>'04 SKU Master'!$D$58</f>
        <v/>
      </c>
      <c r="F64" s="116">
        <f>'04 SKU Master'!$F$58</f>
        <v/>
      </c>
      <c r="G64" s="193">
        <f>'04 SKU Master'!$AN$58</f>
        <v/>
      </c>
      <c r="H64" s="150">
        <f>IF('04 SKU Master'!$AM$58="","",'04 SKU Master'!$AM$58)</f>
        <v/>
      </c>
      <c r="I64" s="204">
        <f>IF('04 SKU Master'!$AL$58="","",'04 SKU Master'!$AL$58)</f>
        <v/>
      </c>
      <c r="J64" s="152">
        <f>COUNTIF('06 Pasta Dough BOM'!$B$14:$B$206,$B64)+COUNTIF('07 Core Sauce BOM CK'!$B$14:$B$412,$B64)+COUNTIF('08 Seasonal Sauce BOM CK'!$B$14:$B$324,$B64)+COUNTIF('10 Core Menu BOM'!$E$5:$E$300,$B64)+COUNTIF('11 Seasonal Menu BOM'!$E$5:$E$365,$B64)</f>
        <v/>
      </c>
      <c r="K64" s="119" t="inlineStr">
        <is>
          <t>Medium</t>
        </is>
      </c>
      <c r="L64" s="140" t="n"/>
      <c r="M64" s="140" t="n"/>
      <c r="N64" s="141" t="n"/>
      <c r="O64" s="149" t="n"/>
    </row>
    <row r="65" ht="15" customHeight="1" s="106">
      <c r="A65" s="203">
        <f>IF($J65=0,"P5 NOT USED YET",IF($G65&gt;=3,"P5 DONE",IF($G65&gt;0,"P4 GET MORE QUOTES",IF($K65="High",IF($J65&gt;=3,"P1 CRITICAL","P2 HIGH"),IF($K65="Medium",IF($J65&gt;=3,"P2 HIGH","P3 NORMAL"),"P3 NORMAL")))))</f>
        <v/>
      </c>
      <c r="B65" s="134">
        <f>'04 SKU Master'!$A$59</f>
        <v/>
      </c>
      <c r="C65" s="138">
        <f>'04 SKU Master'!$B$59</f>
        <v/>
      </c>
      <c r="D65" s="113">
        <f>'04 SKU Master'!$C$59</f>
        <v/>
      </c>
      <c r="E65" s="164">
        <f>'04 SKU Master'!$D$59</f>
        <v/>
      </c>
      <c r="F65" s="116">
        <f>'04 SKU Master'!$F$59</f>
        <v/>
      </c>
      <c r="G65" s="193">
        <f>'04 SKU Master'!$AN$59</f>
        <v/>
      </c>
      <c r="H65" s="150">
        <f>IF('04 SKU Master'!$AM$59="","",'04 SKU Master'!$AM$59)</f>
        <v/>
      </c>
      <c r="I65" s="204">
        <f>IF('04 SKU Master'!$AL$59="","",'04 SKU Master'!$AL$59)</f>
        <v/>
      </c>
      <c r="J65" s="152">
        <f>COUNTIF('06 Pasta Dough BOM'!$B$14:$B$206,$B65)+COUNTIF('07 Core Sauce BOM CK'!$B$14:$B$412,$B65)+COUNTIF('08 Seasonal Sauce BOM CK'!$B$14:$B$324,$B65)+COUNTIF('10 Core Menu BOM'!$E$5:$E$300,$B65)+COUNTIF('11 Seasonal Menu BOM'!$E$5:$E$365,$B65)</f>
        <v/>
      </c>
      <c r="K65" s="119" t="inlineStr">
        <is>
          <t>High</t>
        </is>
      </c>
      <c r="L65" s="140" t="n"/>
      <c r="M65" s="140" t="n"/>
      <c r="N65" s="141" t="n"/>
      <c r="O65" s="149" t="n"/>
    </row>
    <row r="66" ht="15" customHeight="1" s="106">
      <c r="A66" s="203">
        <f>IF($J66=0,"P5 NOT USED YET",IF($G66&gt;=3,"P5 DONE",IF($G66&gt;0,"P4 GET MORE QUOTES",IF($K66="High",IF($J66&gt;=3,"P1 CRITICAL","P2 HIGH"),IF($K66="Medium",IF($J66&gt;=3,"P2 HIGH","P3 NORMAL"),"P3 NORMAL")))))</f>
        <v/>
      </c>
      <c r="B66" s="134">
        <f>'04 SKU Master'!$A$60</f>
        <v/>
      </c>
      <c r="C66" s="138">
        <f>'04 SKU Master'!$B$60</f>
        <v/>
      </c>
      <c r="D66" s="113">
        <f>'04 SKU Master'!$C$60</f>
        <v/>
      </c>
      <c r="E66" s="164">
        <f>'04 SKU Master'!$D$60</f>
        <v/>
      </c>
      <c r="F66" s="116">
        <f>'04 SKU Master'!$F$60</f>
        <v/>
      </c>
      <c r="G66" s="193">
        <f>'04 SKU Master'!$AN$60</f>
        <v/>
      </c>
      <c r="H66" s="150">
        <f>IF('04 SKU Master'!$AM$60="","",'04 SKU Master'!$AM$60)</f>
        <v/>
      </c>
      <c r="I66" s="204">
        <f>IF('04 SKU Master'!$AL$60="","",'04 SKU Master'!$AL$60)</f>
        <v/>
      </c>
      <c r="J66" s="152">
        <f>COUNTIF('06 Pasta Dough BOM'!$B$14:$B$206,$B66)+COUNTIF('07 Core Sauce BOM CK'!$B$14:$B$412,$B66)+COUNTIF('08 Seasonal Sauce BOM CK'!$B$14:$B$324,$B66)+COUNTIF('10 Core Menu BOM'!$E$5:$E$300,$B66)+COUNTIF('11 Seasonal Menu BOM'!$E$5:$E$365,$B66)</f>
        <v/>
      </c>
      <c r="K66" s="119" t="inlineStr">
        <is>
          <t>Medium</t>
        </is>
      </c>
      <c r="L66" s="140" t="n"/>
      <c r="M66" s="140" t="n"/>
      <c r="N66" s="141" t="n"/>
      <c r="O66" s="149" t="n"/>
    </row>
    <row r="67" ht="15" customHeight="1" s="106">
      <c r="A67" s="203">
        <f>IF($J67=0,"P5 NOT USED YET",IF($G67&gt;=3,"P5 DONE",IF($G67&gt;0,"P4 GET MORE QUOTES",IF($K67="High",IF($J67&gt;=3,"P1 CRITICAL","P2 HIGH"),IF($K67="Medium",IF($J67&gt;=3,"P2 HIGH","P3 NORMAL"),"P3 NORMAL")))))</f>
        <v/>
      </c>
      <c r="B67" s="134">
        <f>'04 SKU Master'!$A$61</f>
        <v/>
      </c>
      <c r="C67" s="138">
        <f>'04 SKU Master'!$B$61</f>
        <v/>
      </c>
      <c r="D67" s="113">
        <f>'04 SKU Master'!$C$61</f>
        <v/>
      </c>
      <c r="E67" s="164">
        <f>'04 SKU Master'!$D$61</f>
        <v/>
      </c>
      <c r="F67" s="116">
        <f>'04 SKU Master'!$F$61</f>
        <v/>
      </c>
      <c r="G67" s="193">
        <f>'04 SKU Master'!$AN$61</f>
        <v/>
      </c>
      <c r="H67" s="150">
        <f>IF('04 SKU Master'!$AM$61="","",'04 SKU Master'!$AM$61)</f>
        <v/>
      </c>
      <c r="I67" s="204">
        <f>IF('04 SKU Master'!$AL$61="","",'04 SKU Master'!$AL$61)</f>
        <v/>
      </c>
      <c r="J67" s="152">
        <f>COUNTIF('06 Pasta Dough BOM'!$B$14:$B$206,$B67)+COUNTIF('07 Core Sauce BOM CK'!$B$14:$B$412,$B67)+COUNTIF('08 Seasonal Sauce BOM CK'!$B$14:$B$324,$B67)+COUNTIF('10 Core Menu BOM'!$E$5:$E$300,$B67)+COUNTIF('11 Seasonal Menu BOM'!$E$5:$E$365,$B67)</f>
        <v/>
      </c>
      <c r="K67" s="119" t="inlineStr">
        <is>
          <t>Medium</t>
        </is>
      </c>
      <c r="L67" s="140" t="n"/>
      <c r="M67" s="140" t="n"/>
      <c r="N67" s="141" t="n"/>
      <c r="O67" s="149" t="n"/>
    </row>
    <row r="68" ht="15" customHeight="1" s="106">
      <c r="A68" s="203">
        <f>IF($J68=0,"P5 NOT USED YET",IF($G68&gt;=3,"P5 DONE",IF($G68&gt;0,"P4 GET MORE QUOTES",IF($K68="High",IF($J68&gt;=3,"P1 CRITICAL","P2 HIGH"),IF($K68="Medium",IF($J68&gt;=3,"P2 HIGH","P3 NORMAL"),"P3 NORMAL")))))</f>
        <v/>
      </c>
      <c r="B68" s="134">
        <f>'04 SKU Master'!$A$62</f>
        <v/>
      </c>
      <c r="C68" s="138">
        <f>'04 SKU Master'!$B$62</f>
        <v/>
      </c>
      <c r="D68" s="113">
        <f>'04 SKU Master'!$C$62</f>
        <v/>
      </c>
      <c r="E68" s="164">
        <f>'04 SKU Master'!$D$62</f>
        <v/>
      </c>
      <c r="F68" s="116">
        <f>'04 SKU Master'!$F$62</f>
        <v/>
      </c>
      <c r="G68" s="193">
        <f>'04 SKU Master'!$AN$62</f>
        <v/>
      </c>
      <c r="H68" s="150">
        <f>IF('04 SKU Master'!$AM$62="","",'04 SKU Master'!$AM$62)</f>
        <v/>
      </c>
      <c r="I68" s="204">
        <f>IF('04 SKU Master'!$AL$62="","",'04 SKU Master'!$AL$62)</f>
        <v/>
      </c>
      <c r="J68" s="152">
        <f>COUNTIF('06 Pasta Dough BOM'!$B$14:$B$206,$B68)+COUNTIF('07 Core Sauce BOM CK'!$B$14:$B$412,$B68)+COUNTIF('08 Seasonal Sauce BOM CK'!$B$14:$B$324,$B68)+COUNTIF('10 Core Menu BOM'!$E$5:$E$300,$B68)+COUNTIF('11 Seasonal Menu BOM'!$E$5:$E$365,$B68)</f>
        <v/>
      </c>
      <c r="K68" s="119" t="inlineStr">
        <is>
          <t>Medium</t>
        </is>
      </c>
      <c r="L68" s="140" t="n"/>
      <c r="M68" s="140" t="n"/>
      <c r="N68" s="141" t="n"/>
      <c r="O68" s="149" t="n"/>
    </row>
    <row r="69" ht="15" customHeight="1" s="106">
      <c r="A69" s="203">
        <f>IF($J69=0,"P5 NOT USED YET",IF($G69&gt;=3,"P5 DONE",IF($G69&gt;0,"P4 GET MORE QUOTES",IF($K69="High",IF($J69&gt;=3,"P1 CRITICAL","P2 HIGH"),IF($K69="Medium",IF($J69&gt;=3,"P2 HIGH","P3 NORMAL"),"P3 NORMAL")))))</f>
        <v/>
      </c>
      <c r="B69" s="134">
        <f>'04 SKU Master'!$A$63</f>
        <v/>
      </c>
      <c r="C69" s="138">
        <f>'04 SKU Master'!$B$63</f>
        <v/>
      </c>
      <c r="D69" s="113">
        <f>'04 SKU Master'!$C$63</f>
        <v/>
      </c>
      <c r="E69" s="164">
        <f>'04 SKU Master'!$D$63</f>
        <v/>
      </c>
      <c r="F69" s="116">
        <f>'04 SKU Master'!$F$63</f>
        <v/>
      </c>
      <c r="G69" s="193">
        <f>'04 SKU Master'!$AN$63</f>
        <v/>
      </c>
      <c r="H69" s="150">
        <f>IF('04 SKU Master'!$AM$63="","",'04 SKU Master'!$AM$63)</f>
        <v/>
      </c>
      <c r="I69" s="204">
        <f>IF('04 SKU Master'!$AL$63="","",'04 SKU Master'!$AL$63)</f>
        <v/>
      </c>
      <c r="J69" s="152">
        <f>COUNTIF('06 Pasta Dough BOM'!$B$14:$B$206,$B69)+COUNTIF('07 Core Sauce BOM CK'!$B$14:$B$412,$B69)+COUNTIF('08 Seasonal Sauce BOM CK'!$B$14:$B$324,$B69)+COUNTIF('10 Core Menu BOM'!$E$5:$E$300,$B69)+COUNTIF('11 Seasonal Menu BOM'!$E$5:$E$365,$B69)</f>
        <v/>
      </c>
      <c r="K69" s="119" t="inlineStr">
        <is>
          <t>Medium</t>
        </is>
      </c>
      <c r="L69" s="140" t="n"/>
      <c r="M69" s="140" t="n"/>
      <c r="N69" s="141" t="n"/>
      <c r="O69" s="149" t="n"/>
    </row>
    <row r="70" ht="15" customHeight="1" s="106">
      <c r="A70" s="203">
        <f>IF($J70=0,"P5 NOT USED YET",IF($G70&gt;=3,"P5 DONE",IF($G70&gt;0,"P4 GET MORE QUOTES",IF($K70="High",IF($J70&gt;=3,"P1 CRITICAL","P2 HIGH"),IF($K70="Medium",IF($J70&gt;=3,"P2 HIGH","P3 NORMAL"),"P3 NORMAL")))))</f>
        <v/>
      </c>
      <c r="B70" s="134">
        <f>'04 SKU Master'!$A$64</f>
        <v/>
      </c>
      <c r="C70" s="138">
        <f>'04 SKU Master'!$B$64</f>
        <v/>
      </c>
      <c r="D70" s="113">
        <f>'04 SKU Master'!$C$64</f>
        <v/>
      </c>
      <c r="E70" s="164">
        <f>'04 SKU Master'!$D$64</f>
        <v/>
      </c>
      <c r="F70" s="116">
        <f>'04 SKU Master'!$F$64</f>
        <v/>
      </c>
      <c r="G70" s="193">
        <f>'04 SKU Master'!$AN$64</f>
        <v/>
      </c>
      <c r="H70" s="150">
        <f>IF('04 SKU Master'!$AM$64="","",'04 SKU Master'!$AM$64)</f>
        <v/>
      </c>
      <c r="I70" s="204">
        <f>IF('04 SKU Master'!$AL$64="","",'04 SKU Master'!$AL$64)</f>
        <v/>
      </c>
      <c r="J70" s="152">
        <f>COUNTIF('06 Pasta Dough BOM'!$B$14:$B$206,$B70)+COUNTIF('07 Core Sauce BOM CK'!$B$14:$B$412,$B70)+COUNTIF('08 Seasonal Sauce BOM CK'!$B$14:$B$324,$B70)+COUNTIF('10 Core Menu BOM'!$E$5:$E$300,$B70)+COUNTIF('11 Seasonal Menu BOM'!$E$5:$E$365,$B70)</f>
        <v/>
      </c>
      <c r="K70" s="119" t="inlineStr">
        <is>
          <t>Medium</t>
        </is>
      </c>
      <c r="L70" s="140" t="n"/>
      <c r="M70" s="140" t="n"/>
      <c r="N70" s="141" t="n"/>
      <c r="O70" s="149" t="n"/>
    </row>
    <row r="71" ht="15" customHeight="1" s="106">
      <c r="A71" s="203">
        <f>IF($J71=0,"P5 NOT USED YET",IF($G71&gt;=3,"P5 DONE",IF($G71&gt;0,"P4 GET MORE QUOTES",IF($K71="High",IF($J71&gt;=3,"P1 CRITICAL","P2 HIGH"),IF($K71="Medium",IF($J71&gt;=3,"P2 HIGH","P3 NORMAL"),"P3 NORMAL")))))</f>
        <v/>
      </c>
      <c r="B71" s="134">
        <f>'04 SKU Master'!$A$65</f>
        <v/>
      </c>
      <c r="C71" s="138">
        <f>'04 SKU Master'!$B$65</f>
        <v/>
      </c>
      <c r="D71" s="113">
        <f>'04 SKU Master'!$C$65</f>
        <v/>
      </c>
      <c r="E71" s="164">
        <f>'04 SKU Master'!$D$65</f>
        <v/>
      </c>
      <c r="F71" s="116">
        <f>'04 SKU Master'!$F$65</f>
        <v/>
      </c>
      <c r="G71" s="193">
        <f>'04 SKU Master'!$AN$65</f>
        <v/>
      </c>
      <c r="H71" s="150">
        <f>IF('04 SKU Master'!$AM$65="","",'04 SKU Master'!$AM$65)</f>
        <v/>
      </c>
      <c r="I71" s="204">
        <f>IF('04 SKU Master'!$AL$65="","",'04 SKU Master'!$AL$65)</f>
        <v/>
      </c>
      <c r="J71" s="152">
        <f>COUNTIF('06 Pasta Dough BOM'!$B$14:$B$206,$B71)+COUNTIF('07 Core Sauce BOM CK'!$B$14:$B$412,$B71)+COUNTIF('08 Seasonal Sauce BOM CK'!$B$14:$B$324,$B71)+COUNTIF('10 Core Menu BOM'!$E$5:$E$300,$B71)+COUNTIF('11 Seasonal Menu BOM'!$E$5:$E$365,$B71)</f>
        <v/>
      </c>
      <c r="K71" s="119" t="inlineStr">
        <is>
          <t>Medium</t>
        </is>
      </c>
      <c r="L71" s="140" t="n"/>
      <c r="M71" s="140" t="n"/>
      <c r="N71" s="141" t="n"/>
      <c r="O71" s="149" t="n"/>
    </row>
    <row r="72" ht="15" customHeight="1" s="106">
      <c r="A72" s="203">
        <f>IF($J72=0,"P5 NOT USED YET",IF($G72&gt;=3,"P5 DONE",IF($G72&gt;0,"P4 GET MORE QUOTES",IF($K72="High",IF($J72&gt;=3,"P1 CRITICAL","P2 HIGH"),IF($K72="Medium",IF($J72&gt;=3,"P2 HIGH","P3 NORMAL"),"P3 NORMAL")))))</f>
        <v/>
      </c>
      <c r="B72" s="134">
        <f>'04 SKU Master'!$A$66</f>
        <v/>
      </c>
      <c r="C72" s="138">
        <f>'04 SKU Master'!$B$66</f>
        <v/>
      </c>
      <c r="D72" s="113">
        <f>'04 SKU Master'!$C$66</f>
        <v/>
      </c>
      <c r="E72" s="164">
        <f>'04 SKU Master'!$D$66</f>
        <v/>
      </c>
      <c r="F72" s="116">
        <f>'04 SKU Master'!$F$66</f>
        <v/>
      </c>
      <c r="G72" s="193">
        <f>'04 SKU Master'!$AN$66</f>
        <v/>
      </c>
      <c r="H72" s="150">
        <f>IF('04 SKU Master'!$AM$66="","",'04 SKU Master'!$AM$66)</f>
        <v/>
      </c>
      <c r="I72" s="204">
        <f>IF('04 SKU Master'!$AL$66="","",'04 SKU Master'!$AL$66)</f>
        <v/>
      </c>
      <c r="J72" s="152">
        <f>COUNTIF('06 Pasta Dough BOM'!$B$14:$B$206,$B72)+COUNTIF('07 Core Sauce BOM CK'!$B$14:$B$412,$B72)+COUNTIF('08 Seasonal Sauce BOM CK'!$B$14:$B$324,$B72)+COUNTIF('10 Core Menu BOM'!$E$5:$E$300,$B72)+COUNTIF('11 Seasonal Menu BOM'!$E$5:$E$365,$B72)</f>
        <v/>
      </c>
      <c r="K72" s="119" t="inlineStr">
        <is>
          <t>Medium</t>
        </is>
      </c>
      <c r="L72" s="140" t="n"/>
      <c r="M72" s="140" t="n"/>
      <c r="N72" s="141" t="n"/>
      <c r="O72" s="149" t="n"/>
    </row>
    <row r="73" ht="37.3" customHeight="1" s="106">
      <c r="A73" s="203">
        <f>IF($J73=0,"P5 NOT USED YET",IF($G73&gt;=3,"P5 DONE",IF($G73&gt;0,"P4 GET MORE QUOTES",IF($K73="High",IF($J73&gt;=3,"P1 CRITICAL","P2 HIGH"),IF($K73="Medium",IF($J73&gt;=3,"P2 HIGH","P3 NORMAL"),"P3 NORMAL")))))</f>
        <v/>
      </c>
      <c r="B73" s="134">
        <f>'04 SKU Master'!$A$67</f>
        <v/>
      </c>
      <c r="C73" s="138">
        <f>'04 SKU Master'!$B$67</f>
        <v/>
      </c>
      <c r="D73" s="113">
        <f>'04 SKU Master'!$C$67</f>
        <v/>
      </c>
      <c r="E73" s="164">
        <f>'04 SKU Master'!$D$67</f>
        <v/>
      </c>
      <c r="F73" s="116">
        <f>'04 SKU Master'!$F$67</f>
        <v/>
      </c>
      <c r="G73" s="193">
        <f>'04 SKU Master'!$AN$67</f>
        <v/>
      </c>
      <c r="H73" s="150">
        <f>IF('04 SKU Master'!$AM$67="","",'04 SKU Master'!$AM$67)</f>
        <v/>
      </c>
      <c r="I73" s="204">
        <f>IF('04 SKU Master'!$AL$67="","",'04 SKU Master'!$AL$67)</f>
        <v/>
      </c>
      <c r="J73" s="152">
        <f>COUNTIF('06 Pasta Dough BOM'!$B$14:$B$206,$B73)+COUNTIF('07 Core Sauce BOM CK'!$B$14:$B$412,$B73)+COUNTIF('08 Seasonal Sauce BOM CK'!$B$14:$B$324,$B73)+COUNTIF('10 Core Menu BOM'!$E$5:$E$300,$B73)+COUNTIF('11 Seasonal Menu BOM'!$E$5:$E$365,$B73)</f>
        <v/>
      </c>
      <c r="K73" s="119" t="inlineStr">
        <is>
          <t>Medium</t>
        </is>
      </c>
      <c r="L73" s="140" t="n"/>
      <c r="M73" s="140" t="n"/>
      <c r="N73" s="141" t="n"/>
      <c r="O73" s="149" t="n"/>
    </row>
    <row r="74" ht="15" customHeight="1" s="106">
      <c r="A74" s="203">
        <f>IF($J74=0,"P5 NOT USED YET",IF($G74&gt;=3,"P5 DONE",IF($G74&gt;0,"P4 GET MORE QUOTES",IF($K74="High",IF($J74&gt;=3,"P1 CRITICAL","P2 HIGH"),IF($K74="Medium",IF($J74&gt;=3,"P2 HIGH","P3 NORMAL"),"P3 NORMAL")))))</f>
        <v/>
      </c>
      <c r="B74" s="134">
        <f>'04 SKU Master'!$A$68</f>
        <v/>
      </c>
      <c r="C74" s="138">
        <f>'04 SKU Master'!$B$68</f>
        <v/>
      </c>
      <c r="D74" s="113">
        <f>'04 SKU Master'!$C$68</f>
        <v/>
      </c>
      <c r="E74" s="164">
        <f>'04 SKU Master'!$D$68</f>
        <v/>
      </c>
      <c r="F74" s="116">
        <f>'04 SKU Master'!$F$68</f>
        <v/>
      </c>
      <c r="G74" s="193">
        <f>'04 SKU Master'!$AN$68</f>
        <v/>
      </c>
      <c r="H74" s="150">
        <f>IF('04 SKU Master'!$AM$68="","",'04 SKU Master'!$AM$68)</f>
        <v/>
      </c>
      <c r="I74" s="204">
        <f>IF('04 SKU Master'!$AL$68="","",'04 SKU Master'!$AL$68)</f>
        <v/>
      </c>
      <c r="J74" s="152">
        <f>COUNTIF('06 Pasta Dough BOM'!$B$14:$B$206,$B74)+COUNTIF('07 Core Sauce BOM CK'!$B$14:$B$412,$B74)+COUNTIF('08 Seasonal Sauce BOM CK'!$B$14:$B$324,$B74)+COUNTIF('10 Core Menu BOM'!$E$5:$E$300,$B74)+COUNTIF('11 Seasonal Menu BOM'!$E$5:$E$365,$B74)</f>
        <v/>
      </c>
      <c r="K74" s="119" t="inlineStr">
        <is>
          <t>Medium</t>
        </is>
      </c>
      <c r="L74" s="140" t="n"/>
      <c r="M74" s="140" t="n"/>
      <c r="N74" s="141" t="n"/>
      <c r="O74" s="149" t="n"/>
    </row>
    <row r="75" ht="15" customHeight="1" s="106">
      <c r="A75" s="203">
        <f>IF($J75=0,"P5 NOT USED YET",IF($G75&gt;=3,"P5 DONE",IF($G75&gt;0,"P4 GET MORE QUOTES",IF($K75="High",IF($J75&gt;=3,"P1 CRITICAL","P2 HIGH"),IF($K75="Medium",IF($J75&gt;=3,"P2 HIGH","P3 NORMAL"),"P3 NORMAL")))))</f>
        <v/>
      </c>
      <c r="B75" s="134">
        <f>'04 SKU Master'!$A$69</f>
        <v/>
      </c>
      <c r="C75" s="138">
        <f>'04 SKU Master'!$B$69</f>
        <v/>
      </c>
      <c r="D75" s="113">
        <f>'04 SKU Master'!$C$69</f>
        <v/>
      </c>
      <c r="E75" s="164">
        <f>'04 SKU Master'!$D$69</f>
        <v/>
      </c>
      <c r="F75" s="116">
        <f>'04 SKU Master'!$F$69</f>
        <v/>
      </c>
      <c r="G75" s="193">
        <f>'04 SKU Master'!$AN$69</f>
        <v/>
      </c>
      <c r="H75" s="150">
        <f>IF('04 SKU Master'!$AM$69="","",'04 SKU Master'!$AM$69)</f>
        <v/>
      </c>
      <c r="I75" s="204">
        <f>IF('04 SKU Master'!$AL$69="","",'04 SKU Master'!$AL$69)</f>
        <v/>
      </c>
      <c r="J75" s="152">
        <f>COUNTIF('06 Pasta Dough BOM'!$B$14:$B$206,$B75)+COUNTIF('07 Core Sauce BOM CK'!$B$14:$B$412,$B75)+COUNTIF('08 Seasonal Sauce BOM CK'!$B$14:$B$324,$B75)+COUNTIF('10 Core Menu BOM'!$E$5:$E$300,$B75)+COUNTIF('11 Seasonal Menu BOM'!$E$5:$E$365,$B75)</f>
        <v/>
      </c>
      <c r="K75" s="119" t="inlineStr">
        <is>
          <t>Medium</t>
        </is>
      </c>
      <c r="L75" s="140" t="n"/>
      <c r="M75" s="140" t="n"/>
      <c r="N75" s="141" t="n"/>
      <c r="O75" s="149" t="n"/>
    </row>
    <row r="76" ht="15" customHeight="1" s="106">
      <c r="A76" s="203">
        <f>IF($J76=0,"P5 NOT USED YET",IF($G76&gt;=3,"P5 DONE",IF($G76&gt;0,"P4 GET MORE QUOTES",IF($K76="High",IF($J76&gt;=3,"P1 CRITICAL","P2 HIGH"),IF($K76="Medium",IF($J76&gt;=3,"P2 HIGH","P3 NORMAL"),"P3 NORMAL")))))</f>
        <v/>
      </c>
      <c r="B76" s="134">
        <f>'04 SKU Master'!$A$70</f>
        <v/>
      </c>
      <c r="C76" s="138">
        <f>'04 SKU Master'!$B$70</f>
        <v/>
      </c>
      <c r="D76" s="113">
        <f>'04 SKU Master'!$C$70</f>
        <v/>
      </c>
      <c r="E76" s="164">
        <f>'04 SKU Master'!$D$70</f>
        <v/>
      </c>
      <c r="F76" s="116">
        <f>'04 SKU Master'!$F$70</f>
        <v/>
      </c>
      <c r="G76" s="193">
        <f>'04 SKU Master'!$AN$70</f>
        <v/>
      </c>
      <c r="H76" s="150">
        <f>IF('04 SKU Master'!$AM$70="","",'04 SKU Master'!$AM$70)</f>
        <v/>
      </c>
      <c r="I76" s="204">
        <f>IF('04 SKU Master'!$AL$70="","",'04 SKU Master'!$AL$70)</f>
        <v/>
      </c>
      <c r="J76" s="152">
        <f>COUNTIF('06 Pasta Dough BOM'!$B$14:$B$206,$B76)+COUNTIF('07 Core Sauce BOM CK'!$B$14:$B$412,$B76)+COUNTIF('08 Seasonal Sauce BOM CK'!$B$14:$B$324,$B76)+COUNTIF('10 Core Menu BOM'!$E$5:$E$300,$B76)+COUNTIF('11 Seasonal Menu BOM'!$E$5:$E$365,$B76)</f>
        <v/>
      </c>
      <c r="K76" s="119" t="inlineStr">
        <is>
          <t>Medium</t>
        </is>
      </c>
      <c r="L76" s="140" t="n"/>
      <c r="M76" s="140" t="n"/>
      <c r="N76" s="141" t="n"/>
      <c r="O76" s="149" t="n"/>
    </row>
    <row r="77" ht="37.3" customHeight="1" s="106">
      <c r="A77" s="203">
        <f>IF($J77=0,"P5 NOT USED YET",IF($G77&gt;=3,"P5 DONE",IF($G77&gt;0,"P4 GET MORE QUOTES",IF($K77="High",IF($J77&gt;=3,"P1 CRITICAL","P2 HIGH"),IF($K77="Medium",IF($J77&gt;=3,"P2 HIGH","P3 NORMAL"),"P3 NORMAL")))))</f>
        <v/>
      </c>
      <c r="B77" s="134">
        <f>'04 SKU Master'!$A$71</f>
        <v/>
      </c>
      <c r="C77" s="138">
        <f>'04 SKU Master'!$B$71</f>
        <v/>
      </c>
      <c r="D77" s="113">
        <f>'04 SKU Master'!$C$71</f>
        <v/>
      </c>
      <c r="E77" s="164">
        <f>'04 SKU Master'!$D$71</f>
        <v/>
      </c>
      <c r="F77" s="116">
        <f>'04 SKU Master'!$F$71</f>
        <v/>
      </c>
      <c r="G77" s="193">
        <f>'04 SKU Master'!$AN$71</f>
        <v/>
      </c>
      <c r="H77" s="150">
        <f>IF('04 SKU Master'!$AM$71="","",'04 SKU Master'!$AM$71)</f>
        <v/>
      </c>
      <c r="I77" s="204">
        <f>IF('04 SKU Master'!$AL$71="","",'04 SKU Master'!$AL$71)</f>
        <v/>
      </c>
      <c r="J77" s="152">
        <f>COUNTIF('06 Pasta Dough BOM'!$B$14:$B$206,$B77)+COUNTIF('07 Core Sauce BOM CK'!$B$14:$B$412,$B77)+COUNTIF('08 Seasonal Sauce BOM CK'!$B$14:$B$324,$B77)+COUNTIF('10 Core Menu BOM'!$E$5:$E$300,$B77)+COUNTIF('11 Seasonal Menu BOM'!$E$5:$E$365,$B77)</f>
        <v/>
      </c>
      <c r="K77" s="119" t="inlineStr">
        <is>
          <t>High</t>
        </is>
      </c>
      <c r="L77" s="140" t="n"/>
      <c r="M77" s="140" t="n"/>
      <c r="N77" s="141" t="n"/>
      <c r="O77" s="149" t="n"/>
    </row>
    <row r="78" ht="15" customHeight="1" s="106">
      <c r="A78" s="203">
        <f>IF($J78=0,"P5 NOT USED YET",IF($G78&gt;=3,"P5 DONE",IF($G78&gt;0,"P4 GET MORE QUOTES",IF($K78="High",IF($J78&gt;=3,"P1 CRITICAL","P2 HIGH"),IF($K78="Medium",IF($J78&gt;=3,"P2 HIGH","P3 NORMAL"),"P3 NORMAL")))))</f>
        <v/>
      </c>
      <c r="B78" s="134">
        <f>'04 SKU Master'!$A$72</f>
        <v/>
      </c>
      <c r="C78" s="138">
        <f>'04 SKU Master'!$B$72</f>
        <v/>
      </c>
      <c r="D78" s="113">
        <f>'04 SKU Master'!$C$72</f>
        <v/>
      </c>
      <c r="E78" s="164">
        <f>'04 SKU Master'!$D$72</f>
        <v/>
      </c>
      <c r="F78" s="116">
        <f>'04 SKU Master'!$F$72</f>
        <v/>
      </c>
      <c r="G78" s="193">
        <f>'04 SKU Master'!$AN$72</f>
        <v/>
      </c>
      <c r="H78" s="150">
        <f>IF('04 SKU Master'!$AM$72="","",'04 SKU Master'!$AM$72)</f>
        <v/>
      </c>
      <c r="I78" s="204">
        <f>IF('04 SKU Master'!$AL$72="","",'04 SKU Master'!$AL$72)</f>
        <v/>
      </c>
      <c r="J78" s="152">
        <f>COUNTIF('06 Pasta Dough BOM'!$B$14:$B$206,$B78)+COUNTIF('07 Core Sauce BOM CK'!$B$14:$B$412,$B78)+COUNTIF('08 Seasonal Sauce BOM CK'!$B$14:$B$324,$B78)+COUNTIF('10 Core Menu BOM'!$E$5:$E$300,$B78)+COUNTIF('11 Seasonal Menu BOM'!$E$5:$E$365,$B78)</f>
        <v/>
      </c>
      <c r="K78" s="119" t="inlineStr">
        <is>
          <t>Medium</t>
        </is>
      </c>
      <c r="L78" s="140" t="n"/>
      <c r="M78" s="140" t="n"/>
      <c r="N78" s="141" t="n"/>
      <c r="O78" s="149" t="n"/>
    </row>
    <row r="79" ht="15" customHeight="1" s="106">
      <c r="A79" s="203">
        <f>IF($J79=0,"P5 NOT USED YET",IF($G79&gt;=3,"P5 DONE",IF($G79&gt;0,"P4 GET MORE QUOTES",IF($K79="High",IF($J79&gt;=3,"P1 CRITICAL","P2 HIGH"),IF($K79="Medium",IF($J79&gt;=3,"P2 HIGH","P3 NORMAL"),"P3 NORMAL")))))</f>
        <v/>
      </c>
      <c r="B79" s="134">
        <f>'04 SKU Master'!$A$73</f>
        <v/>
      </c>
      <c r="C79" s="138">
        <f>'04 SKU Master'!$B$73</f>
        <v/>
      </c>
      <c r="D79" s="113">
        <f>'04 SKU Master'!$C$73</f>
        <v/>
      </c>
      <c r="E79" s="164">
        <f>'04 SKU Master'!$D$73</f>
        <v/>
      </c>
      <c r="F79" s="116">
        <f>'04 SKU Master'!$F$73</f>
        <v/>
      </c>
      <c r="G79" s="193">
        <f>'04 SKU Master'!$AN$73</f>
        <v/>
      </c>
      <c r="H79" s="150">
        <f>IF('04 SKU Master'!$AM$73="","",'04 SKU Master'!$AM$73)</f>
        <v/>
      </c>
      <c r="I79" s="204">
        <f>IF('04 SKU Master'!$AL$73="","",'04 SKU Master'!$AL$73)</f>
        <v/>
      </c>
      <c r="J79" s="152">
        <f>COUNTIF('06 Pasta Dough BOM'!$B$14:$B$206,$B79)+COUNTIF('07 Core Sauce BOM CK'!$B$14:$B$412,$B79)+COUNTIF('08 Seasonal Sauce BOM CK'!$B$14:$B$324,$B79)+COUNTIF('10 Core Menu BOM'!$E$5:$E$300,$B79)+COUNTIF('11 Seasonal Menu BOM'!$E$5:$E$365,$B79)</f>
        <v/>
      </c>
      <c r="K79" s="119" t="inlineStr">
        <is>
          <t>Medium</t>
        </is>
      </c>
      <c r="L79" s="140" t="n"/>
      <c r="M79" s="140" t="n"/>
      <c r="N79" s="141" t="n"/>
      <c r="O79" s="149" t="n"/>
    </row>
    <row r="80" ht="15" customHeight="1" s="106">
      <c r="A80" s="203">
        <f>IF($J80=0,"P5 NOT USED YET",IF($G80&gt;=3,"P5 DONE",IF($G80&gt;0,"P4 GET MORE QUOTES",IF($K80="High",IF($J80&gt;=3,"P1 CRITICAL","P2 HIGH"),IF($K80="Medium",IF($J80&gt;=3,"P2 HIGH","P3 NORMAL"),"P3 NORMAL")))))</f>
        <v/>
      </c>
      <c r="B80" s="134">
        <f>'04 SKU Master'!$A$74</f>
        <v/>
      </c>
      <c r="C80" s="138">
        <f>'04 SKU Master'!$B$74</f>
        <v/>
      </c>
      <c r="D80" s="113">
        <f>'04 SKU Master'!$C$74</f>
        <v/>
      </c>
      <c r="E80" s="164">
        <f>'04 SKU Master'!$D$74</f>
        <v/>
      </c>
      <c r="F80" s="116">
        <f>'04 SKU Master'!$F$74</f>
        <v/>
      </c>
      <c r="G80" s="193">
        <f>'04 SKU Master'!$AN$74</f>
        <v/>
      </c>
      <c r="H80" s="150">
        <f>IF('04 SKU Master'!$AM$74="","",'04 SKU Master'!$AM$74)</f>
        <v/>
      </c>
      <c r="I80" s="204">
        <f>IF('04 SKU Master'!$AL$74="","",'04 SKU Master'!$AL$74)</f>
        <v/>
      </c>
      <c r="J80" s="152">
        <f>COUNTIF('06 Pasta Dough BOM'!$B$14:$B$206,$B80)+COUNTIF('07 Core Sauce BOM CK'!$B$14:$B$412,$B80)+COUNTIF('08 Seasonal Sauce BOM CK'!$B$14:$B$324,$B80)+COUNTIF('10 Core Menu BOM'!$E$5:$E$300,$B80)+COUNTIF('11 Seasonal Menu BOM'!$E$5:$E$365,$B80)</f>
        <v/>
      </c>
      <c r="K80" s="119" t="inlineStr">
        <is>
          <t>Medium</t>
        </is>
      </c>
      <c r="L80" s="140" t="n"/>
      <c r="M80" s="140" t="n"/>
      <c r="N80" s="141" t="n"/>
      <c r="O80" s="149" t="n"/>
    </row>
    <row r="81" ht="15" customHeight="1" s="106">
      <c r="A81" s="203">
        <f>IF($J81=0,"P5 NOT USED YET",IF($G81&gt;=3,"P5 DONE",IF($G81&gt;0,"P4 GET MORE QUOTES",IF($K81="High",IF($J81&gt;=3,"P1 CRITICAL","P2 HIGH"),IF($K81="Medium",IF($J81&gt;=3,"P2 HIGH","P3 NORMAL"),"P3 NORMAL")))))</f>
        <v/>
      </c>
      <c r="B81" s="134">
        <f>'04 SKU Master'!$A$75</f>
        <v/>
      </c>
      <c r="C81" s="138">
        <f>'04 SKU Master'!$B$75</f>
        <v/>
      </c>
      <c r="D81" s="113">
        <f>'04 SKU Master'!$C$75</f>
        <v/>
      </c>
      <c r="E81" s="164">
        <f>'04 SKU Master'!$D$75</f>
        <v/>
      </c>
      <c r="F81" s="116">
        <f>'04 SKU Master'!$F$75</f>
        <v/>
      </c>
      <c r="G81" s="193">
        <f>'04 SKU Master'!$AN$75</f>
        <v/>
      </c>
      <c r="H81" s="150">
        <f>IF('04 SKU Master'!$AM$75="","",'04 SKU Master'!$AM$75)</f>
        <v/>
      </c>
      <c r="I81" s="204">
        <f>IF('04 SKU Master'!$AL$75="","",'04 SKU Master'!$AL$75)</f>
        <v/>
      </c>
      <c r="J81" s="152">
        <f>COUNTIF('06 Pasta Dough BOM'!$B$14:$B$206,$B81)+COUNTIF('07 Core Sauce BOM CK'!$B$14:$B$412,$B81)+COUNTIF('08 Seasonal Sauce BOM CK'!$B$14:$B$324,$B81)+COUNTIF('10 Core Menu BOM'!$E$5:$E$300,$B81)+COUNTIF('11 Seasonal Menu BOM'!$E$5:$E$365,$B81)</f>
        <v/>
      </c>
      <c r="K81" s="119" t="inlineStr">
        <is>
          <t>Medium</t>
        </is>
      </c>
      <c r="L81" s="140" t="n"/>
      <c r="M81" s="140" t="n"/>
      <c r="N81" s="141" t="n"/>
      <c r="O81" s="149" t="n"/>
    </row>
    <row r="82" ht="15" customHeight="1" s="106">
      <c r="A82" s="203">
        <f>IF($J82=0,"P5 NOT USED YET",IF($G82&gt;=3,"P5 DONE",IF($G82&gt;0,"P4 GET MORE QUOTES",IF($K82="High",IF($J82&gt;=3,"P1 CRITICAL","P2 HIGH"),IF($K82="Medium",IF($J82&gt;=3,"P2 HIGH","P3 NORMAL"),"P3 NORMAL")))))</f>
        <v/>
      </c>
      <c r="B82" s="134">
        <f>'04 SKU Master'!$A$76</f>
        <v/>
      </c>
      <c r="C82" s="138">
        <f>'04 SKU Master'!$B$76</f>
        <v/>
      </c>
      <c r="D82" s="113">
        <f>'04 SKU Master'!$C$76</f>
        <v/>
      </c>
      <c r="E82" s="164">
        <f>'04 SKU Master'!$D$76</f>
        <v/>
      </c>
      <c r="F82" s="116">
        <f>'04 SKU Master'!$F$76</f>
        <v/>
      </c>
      <c r="G82" s="193">
        <f>'04 SKU Master'!$AN$76</f>
        <v/>
      </c>
      <c r="H82" s="150">
        <f>IF('04 SKU Master'!$AM$76="","",'04 SKU Master'!$AM$76)</f>
        <v/>
      </c>
      <c r="I82" s="204">
        <f>IF('04 SKU Master'!$AL$76="","",'04 SKU Master'!$AL$76)</f>
        <v/>
      </c>
      <c r="J82" s="152">
        <f>COUNTIF('06 Pasta Dough BOM'!$B$14:$B$206,$B82)+COUNTIF('07 Core Sauce BOM CK'!$B$14:$B$412,$B82)+COUNTIF('08 Seasonal Sauce BOM CK'!$B$14:$B$324,$B82)+COUNTIF('10 Core Menu BOM'!$E$5:$E$300,$B82)+COUNTIF('11 Seasonal Menu BOM'!$E$5:$E$365,$B82)</f>
        <v/>
      </c>
      <c r="K82" s="119" t="inlineStr">
        <is>
          <t>Medium</t>
        </is>
      </c>
      <c r="L82" s="140" t="n"/>
      <c r="M82" s="140" t="n"/>
      <c r="N82" s="141" t="n"/>
      <c r="O82" s="149" t="n"/>
    </row>
    <row r="83" ht="15" customHeight="1" s="106">
      <c r="A83" s="203">
        <f>IF($J83=0,"P5 NOT USED YET",IF($G83&gt;=3,"P5 DONE",IF($G83&gt;0,"P4 GET MORE QUOTES",IF($K83="High",IF($J83&gt;=3,"P1 CRITICAL","P2 HIGH"),IF($K83="Medium",IF($J83&gt;=3,"P2 HIGH","P3 NORMAL"),"P3 NORMAL")))))</f>
        <v/>
      </c>
      <c r="B83" s="134">
        <f>'04 SKU Master'!$A$77</f>
        <v/>
      </c>
      <c r="C83" s="138">
        <f>'04 SKU Master'!$B$77</f>
        <v/>
      </c>
      <c r="D83" s="113">
        <f>'04 SKU Master'!$C$77</f>
        <v/>
      </c>
      <c r="E83" s="164">
        <f>'04 SKU Master'!$D$77</f>
        <v/>
      </c>
      <c r="F83" s="116">
        <f>'04 SKU Master'!$F$77</f>
        <v/>
      </c>
      <c r="G83" s="193">
        <f>'04 SKU Master'!$AN$77</f>
        <v/>
      </c>
      <c r="H83" s="150">
        <f>IF('04 SKU Master'!$AM$77="","",'04 SKU Master'!$AM$77)</f>
        <v/>
      </c>
      <c r="I83" s="204">
        <f>IF('04 SKU Master'!$AL$77="","",'04 SKU Master'!$AL$77)</f>
        <v/>
      </c>
      <c r="J83" s="152">
        <f>COUNTIF('06 Pasta Dough BOM'!$B$14:$B$206,$B83)+COUNTIF('07 Core Sauce BOM CK'!$B$14:$B$412,$B83)+COUNTIF('08 Seasonal Sauce BOM CK'!$B$14:$B$324,$B83)+COUNTIF('10 Core Menu BOM'!$E$5:$E$300,$B83)+COUNTIF('11 Seasonal Menu BOM'!$E$5:$E$365,$B83)</f>
        <v/>
      </c>
      <c r="K83" s="119" t="inlineStr">
        <is>
          <t>High</t>
        </is>
      </c>
      <c r="L83" s="140" t="n"/>
      <c r="M83" s="140" t="n"/>
      <c r="N83" s="141" t="n"/>
      <c r="O83" s="149" t="n"/>
    </row>
    <row r="84" ht="15" customHeight="1" s="106">
      <c r="A84" s="203">
        <f>IF($J84=0,"P5 NOT USED YET",IF($G84&gt;=3,"P5 DONE",IF($G84&gt;0,"P4 GET MORE QUOTES",IF($K84="High",IF($J84&gt;=3,"P1 CRITICAL","P2 HIGH"),IF($K84="Medium",IF($J84&gt;=3,"P2 HIGH","P3 NORMAL"),"P3 NORMAL")))))</f>
        <v/>
      </c>
      <c r="B84" s="134">
        <f>'04 SKU Master'!$A$78</f>
        <v/>
      </c>
      <c r="C84" s="138">
        <f>'04 SKU Master'!$B$78</f>
        <v/>
      </c>
      <c r="D84" s="113">
        <f>'04 SKU Master'!$C$78</f>
        <v/>
      </c>
      <c r="E84" s="164">
        <f>'04 SKU Master'!$D$78</f>
        <v/>
      </c>
      <c r="F84" s="116">
        <f>'04 SKU Master'!$F$78</f>
        <v/>
      </c>
      <c r="G84" s="193">
        <f>'04 SKU Master'!$AN$78</f>
        <v/>
      </c>
      <c r="H84" s="150">
        <f>IF('04 SKU Master'!$AM$78="","",'04 SKU Master'!$AM$78)</f>
        <v/>
      </c>
      <c r="I84" s="204">
        <f>IF('04 SKU Master'!$AL$78="","",'04 SKU Master'!$AL$78)</f>
        <v/>
      </c>
      <c r="J84" s="152">
        <f>COUNTIF('06 Pasta Dough BOM'!$B$14:$B$206,$B84)+COUNTIF('07 Core Sauce BOM CK'!$B$14:$B$412,$B84)+COUNTIF('08 Seasonal Sauce BOM CK'!$B$14:$B$324,$B84)+COUNTIF('10 Core Menu BOM'!$E$5:$E$300,$B84)+COUNTIF('11 Seasonal Menu BOM'!$E$5:$E$365,$B84)</f>
        <v/>
      </c>
      <c r="K84" s="119" t="inlineStr">
        <is>
          <t>High</t>
        </is>
      </c>
      <c r="L84" s="140" t="n"/>
      <c r="M84" s="140" t="n"/>
      <c r="N84" s="141" t="n"/>
      <c r="O84" s="149" t="n"/>
    </row>
    <row r="85" ht="15" customHeight="1" s="106">
      <c r="A85" s="203">
        <f>IF($J85=0,"P5 NOT USED YET",IF($G85&gt;=3,"P5 DONE",IF($G85&gt;0,"P4 GET MORE QUOTES",IF($K85="High",IF($J85&gt;=3,"P1 CRITICAL","P2 HIGH"),IF($K85="Medium",IF($J85&gt;=3,"P2 HIGH","P3 NORMAL"),"P3 NORMAL")))))</f>
        <v/>
      </c>
      <c r="B85" s="134">
        <f>'04 SKU Master'!$A$79</f>
        <v/>
      </c>
      <c r="C85" s="138">
        <f>'04 SKU Master'!$B$79</f>
        <v/>
      </c>
      <c r="D85" s="113">
        <f>'04 SKU Master'!$C$79</f>
        <v/>
      </c>
      <c r="E85" s="164">
        <f>'04 SKU Master'!$D$79</f>
        <v/>
      </c>
      <c r="F85" s="116">
        <f>'04 SKU Master'!$F$79</f>
        <v/>
      </c>
      <c r="G85" s="193">
        <f>'04 SKU Master'!$AN$79</f>
        <v/>
      </c>
      <c r="H85" s="150">
        <f>IF('04 SKU Master'!$AM$79="","",'04 SKU Master'!$AM$79)</f>
        <v/>
      </c>
      <c r="I85" s="204">
        <f>IF('04 SKU Master'!$AL$79="","",'04 SKU Master'!$AL$79)</f>
        <v/>
      </c>
      <c r="J85" s="152">
        <f>COUNTIF('06 Pasta Dough BOM'!$B$14:$B$206,$B85)+COUNTIF('07 Core Sauce BOM CK'!$B$14:$B$412,$B85)+COUNTIF('08 Seasonal Sauce BOM CK'!$B$14:$B$324,$B85)+COUNTIF('10 Core Menu BOM'!$E$5:$E$300,$B85)+COUNTIF('11 Seasonal Menu BOM'!$E$5:$E$365,$B85)</f>
        <v/>
      </c>
      <c r="K85" s="119" t="inlineStr">
        <is>
          <t>High</t>
        </is>
      </c>
      <c r="L85" s="140" t="n"/>
      <c r="M85" s="140" t="n"/>
      <c r="N85" s="141" t="n"/>
      <c r="O85" s="149" t="n"/>
    </row>
    <row r="86" ht="15" customHeight="1" s="106">
      <c r="A86" s="203">
        <f>IF($J86=0,"P5 NOT USED YET",IF($G86&gt;=3,"P5 DONE",IF($G86&gt;0,"P4 GET MORE QUOTES",IF($K86="High",IF($J86&gt;=3,"P1 CRITICAL","P2 HIGH"),IF($K86="Medium",IF($J86&gt;=3,"P2 HIGH","P3 NORMAL"),"P3 NORMAL")))))</f>
        <v/>
      </c>
      <c r="B86" s="134">
        <f>'04 SKU Master'!$A$80</f>
        <v/>
      </c>
      <c r="C86" s="138">
        <f>'04 SKU Master'!$B$80</f>
        <v/>
      </c>
      <c r="D86" s="113">
        <f>'04 SKU Master'!$C$80</f>
        <v/>
      </c>
      <c r="E86" s="164">
        <f>'04 SKU Master'!$D$80</f>
        <v/>
      </c>
      <c r="F86" s="116">
        <f>'04 SKU Master'!$F$80</f>
        <v/>
      </c>
      <c r="G86" s="193">
        <f>'04 SKU Master'!$AN$80</f>
        <v/>
      </c>
      <c r="H86" s="150">
        <f>IF('04 SKU Master'!$AM$80="","",'04 SKU Master'!$AM$80)</f>
        <v/>
      </c>
      <c r="I86" s="204">
        <f>IF('04 SKU Master'!$AL$80="","",'04 SKU Master'!$AL$80)</f>
        <v/>
      </c>
      <c r="J86" s="152">
        <f>COUNTIF('06 Pasta Dough BOM'!$B$14:$B$206,$B86)+COUNTIF('07 Core Sauce BOM CK'!$B$14:$B$412,$B86)+COUNTIF('08 Seasonal Sauce BOM CK'!$B$14:$B$324,$B86)+COUNTIF('10 Core Menu BOM'!$E$5:$E$300,$B86)+COUNTIF('11 Seasonal Menu BOM'!$E$5:$E$365,$B86)</f>
        <v/>
      </c>
      <c r="K86" s="119" t="inlineStr">
        <is>
          <t>High</t>
        </is>
      </c>
      <c r="L86" s="140" t="n"/>
      <c r="M86" s="140" t="n"/>
      <c r="N86" s="141" t="n"/>
      <c r="O86" s="149" t="n"/>
    </row>
    <row r="87" ht="37.3" customHeight="1" s="106">
      <c r="A87" s="203">
        <f>IF($J87=0,"P5 NOT USED YET",IF($G87&gt;=3,"P5 DONE",IF($G87&gt;0,"P4 GET MORE QUOTES",IF($K87="High",IF($J87&gt;=3,"P1 CRITICAL","P2 HIGH"),IF($K87="Medium",IF($J87&gt;=3,"P2 HIGH","P3 NORMAL"),"P3 NORMAL")))))</f>
        <v/>
      </c>
      <c r="B87" s="134">
        <f>'04 SKU Master'!$A$81</f>
        <v/>
      </c>
      <c r="C87" s="138">
        <f>'04 SKU Master'!$B$81</f>
        <v/>
      </c>
      <c r="D87" s="113">
        <f>'04 SKU Master'!$C$81</f>
        <v/>
      </c>
      <c r="E87" s="164">
        <f>'04 SKU Master'!$D$81</f>
        <v/>
      </c>
      <c r="F87" s="116">
        <f>'04 SKU Master'!$F$81</f>
        <v/>
      </c>
      <c r="G87" s="193">
        <f>'04 SKU Master'!$AN$81</f>
        <v/>
      </c>
      <c r="H87" s="150">
        <f>IF('04 SKU Master'!$AM$81="","",'04 SKU Master'!$AM$81)</f>
        <v/>
      </c>
      <c r="I87" s="204">
        <f>IF('04 SKU Master'!$AL$81="","",'04 SKU Master'!$AL$81)</f>
        <v/>
      </c>
      <c r="J87" s="152">
        <f>COUNTIF('06 Pasta Dough BOM'!$B$14:$B$206,$B87)+COUNTIF('07 Core Sauce BOM CK'!$B$14:$B$412,$B87)+COUNTIF('08 Seasonal Sauce BOM CK'!$B$14:$B$324,$B87)+COUNTIF('10 Core Menu BOM'!$E$5:$E$300,$B87)+COUNTIF('11 Seasonal Menu BOM'!$E$5:$E$365,$B87)</f>
        <v/>
      </c>
      <c r="K87" s="119" t="inlineStr">
        <is>
          <t>High</t>
        </is>
      </c>
      <c r="L87" s="140" t="n"/>
      <c r="M87" s="140" t="n"/>
      <c r="N87" s="141" t="n"/>
      <c r="O87" s="149" t="n"/>
    </row>
    <row r="88" ht="15" customHeight="1" s="106">
      <c r="A88" s="203">
        <f>IF($J88=0,"P5 NOT USED YET",IF($G88&gt;=3,"P5 DONE",IF($G88&gt;0,"P4 GET MORE QUOTES",IF($K88="High",IF($J88&gt;=3,"P1 CRITICAL","P2 HIGH"),IF($K88="Medium",IF($J88&gt;=3,"P2 HIGH","P3 NORMAL"),"P3 NORMAL")))))</f>
        <v/>
      </c>
      <c r="B88" s="134">
        <f>'04 SKU Master'!$A$82</f>
        <v/>
      </c>
      <c r="C88" s="138">
        <f>'04 SKU Master'!$B$82</f>
        <v/>
      </c>
      <c r="D88" s="113">
        <f>'04 SKU Master'!$C$82</f>
        <v/>
      </c>
      <c r="E88" s="164">
        <f>'04 SKU Master'!$D$82</f>
        <v/>
      </c>
      <c r="F88" s="116">
        <f>'04 SKU Master'!$F$82</f>
        <v/>
      </c>
      <c r="G88" s="193">
        <f>'04 SKU Master'!$AN$82</f>
        <v/>
      </c>
      <c r="H88" s="150">
        <f>IF('04 SKU Master'!$AM$82="","",'04 SKU Master'!$AM$82)</f>
        <v/>
      </c>
      <c r="I88" s="204">
        <f>IF('04 SKU Master'!$AL$82="","",'04 SKU Master'!$AL$82)</f>
        <v/>
      </c>
      <c r="J88" s="152">
        <f>COUNTIF('06 Pasta Dough BOM'!$B$14:$B$206,$B88)+COUNTIF('07 Core Sauce BOM CK'!$B$14:$B$412,$B88)+COUNTIF('08 Seasonal Sauce BOM CK'!$B$14:$B$324,$B88)+COUNTIF('10 Core Menu BOM'!$E$5:$E$300,$B88)+COUNTIF('11 Seasonal Menu BOM'!$E$5:$E$365,$B88)</f>
        <v/>
      </c>
      <c r="K88" s="119" t="inlineStr">
        <is>
          <t>High</t>
        </is>
      </c>
      <c r="L88" s="140" t="n"/>
      <c r="M88" s="140" t="n"/>
      <c r="N88" s="141" t="n"/>
      <c r="O88" s="149" t="n"/>
    </row>
    <row r="89" ht="15" customHeight="1" s="106">
      <c r="A89" s="203">
        <f>IF($J89=0,"P5 NOT USED YET",IF($G89&gt;=3,"P5 DONE",IF($G89&gt;0,"P4 GET MORE QUOTES",IF($K89="High",IF($J89&gt;=3,"P1 CRITICAL","P2 HIGH"),IF($K89="Medium",IF($J89&gt;=3,"P2 HIGH","P3 NORMAL"),"P3 NORMAL")))))</f>
        <v/>
      </c>
      <c r="B89" s="134">
        <f>'04 SKU Master'!$A$83</f>
        <v/>
      </c>
      <c r="C89" s="138">
        <f>'04 SKU Master'!$B$83</f>
        <v/>
      </c>
      <c r="D89" s="113">
        <f>'04 SKU Master'!$C$83</f>
        <v/>
      </c>
      <c r="E89" s="164">
        <f>'04 SKU Master'!$D$83</f>
        <v/>
      </c>
      <c r="F89" s="116">
        <f>'04 SKU Master'!$F$83</f>
        <v/>
      </c>
      <c r="G89" s="193">
        <f>'04 SKU Master'!$AN$83</f>
        <v/>
      </c>
      <c r="H89" s="150">
        <f>IF('04 SKU Master'!$AM$83="","",'04 SKU Master'!$AM$83)</f>
        <v/>
      </c>
      <c r="I89" s="204">
        <f>IF('04 SKU Master'!$AL$83="","",'04 SKU Master'!$AL$83)</f>
        <v/>
      </c>
      <c r="J89" s="152">
        <f>COUNTIF('06 Pasta Dough BOM'!$B$14:$B$206,$B89)+COUNTIF('07 Core Sauce BOM CK'!$B$14:$B$412,$B89)+COUNTIF('08 Seasonal Sauce BOM CK'!$B$14:$B$324,$B89)+COUNTIF('10 Core Menu BOM'!$E$5:$E$300,$B89)+COUNTIF('11 Seasonal Menu BOM'!$E$5:$E$365,$B89)</f>
        <v/>
      </c>
      <c r="K89" s="119" t="inlineStr">
        <is>
          <t>High</t>
        </is>
      </c>
      <c r="L89" s="140" t="n"/>
      <c r="M89" s="140" t="n"/>
      <c r="N89" s="141" t="n"/>
      <c r="O89" s="149" t="n"/>
    </row>
    <row r="90" ht="15" customHeight="1" s="106">
      <c r="A90" s="203">
        <f>IF($J90=0,"P5 NOT USED YET",IF($G90&gt;=3,"P5 DONE",IF($G90&gt;0,"P4 GET MORE QUOTES",IF($K90="High",IF($J90&gt;=3,"P1 CRITICAL","P2 HIGH"),IF($K90="Medium",IF($J90&gt;=3,"P2 HIGH","P3 NORMAL"),"P3 NORMAL")))))</f>
        <v/>
      </c>
      <c r="B90" s="134">
        <f>'04 SKU Master'!$A$84</f>
        <v/>
      </c>
      <c r="C90" s="138">
        <f>'04 SKU Master'!$B$84</f>
        <v/>
      </c>
      <c r="D90" s="113">
        <f>'04 SKU Master'!$C$84</f>
        <v/>
      </c>
      <c r="E90" s="164">
        <f>'04 SKU Master'!$D$84</f>
        <v/>
      </c>
      <c r="F90" s="116">
        <f>'04 SKU Master'!$F$84</f>
        <v/>
      </c>
      <c r="G90" s="193">
        <f>'04 SKU Master'!$AN$84</f>
        <v/>
      </c>
      <c r="H90" s="150">
        <f>IF('04 SKU Master'!$AM$84="","",'04 SKU Master'!$AM$84)</f>
        <v/>
      </c>
      <c r="I90" s="204">
        <f>IF('04 SKU Master'!$AL$84="","",'04 SKU Master'!$AL$84)</f>
        <v/>
      </c>
      <c r="J90" s="152">
        <f>COUNTIF('06 Pasta Dough BOM'!$B$14:$B$206,$B90)+COUNTIF('07 Core Sauce BOM CK'!$B$14:$B$412,$B90)+COUNTIF('08 Seasonal Sauce BOM CK'!$B$14:$B$324,$B90)+COUNTIF('10 Core Menu BOM'!$E$5:$E$300,$B90)+COUNTIF('11 Seasonal Menu BOM'!$E$5:$E$365,$B90)</f>
        <v/>
      </c>
      <c r="K90" s="119" t="inlineStr">
        <is>
          <t>High</t>
        </is>
      </c>
      <c r="L90" s="140" t="n"/>
      <c r="M90" s="140" t="n"/>
      <c r="N90" s="141" t="n"/>
      <c r="O90" s="149" t="n"/>
    </row>
    <row r="91" ht="15" customHeight="1" s="106">
      <c r="A91" s="203">
        <f>IF($J91=0,"P5 NOT USED YET",IF($G91&gt;=3,"P5 DONE",IF($G91&gt;0,"P4 GET MORE QUOTES",IF($K91="High",IF($J91&gt;=3,"P1 CRITICAL","P2 HIGH"),IF($K91="Medium",IF($J91&gt;=3,"P2 HIGH","P3 NORMAL"),"P3 NORMAL")))))</f>
        <v/>
      </c>
      <c r="B91" s="134">
        <f>'04 SKU Master'!$A$85</f>
        <v/>
      </c>
      <c r="C91" s="138">
        <f>'04 SKU Master'!$B$85</f>
        <v/>
      </c>
      <c r="D91" s="113">
        <f>'04 SKU Master'!$C$85</f>
        <v/>
      </c>
      <c r="E91" s="164">
        <f>'04 SKU Master'!$D$85</f>
        <v/>
      </c>
      <c r="F91" s="116">
        <f>'04 SKU Master'!$F$85</f>
        <v/>
      </c>
      <c r="G91" s="193">
        <f>'04 SKU Master'!$AN$85</f>
        <v/>
      </c>
      <c r="H91" s="150">
        <f>IF('04 SKU Master'!$AM$85="","",'04 SKU Master'!$AM$85)</f>
        <v/>
      </c>
      <c r="I91" s="204">
        <f>IF('04 SKU Master'!$AL$85="","",'04 SKU Master'!$AL$85)</f>
        <v/>
      </c>
      <c r="J91" s="152">
        <f>COUNTIF('06 Pasta Dough BOM'!$B$14:$B$206,$B91)+COUNTIF('07 Core Sauce BOM CK'!$B$14:$B$412,$B91)+COUNTIF('08 Seasonal Sauce BOM CK'!$B$14:$B$324,$B91)+COUNTIF('10 Core Menu BOM'!$E$5:$E$300,$B91)+COUNTIF('11 Seasonal Menu BOM'!$E$5:$E$365,$B91)</f>
        <v/>
      </c>
      <c r="K91" s="119" t="inlineStr">
        <is>
          <t>High</t>
        </is>
      </c>
      <c r="L91" s="140" t="n"/>
      <c r="M91" s="140" t="n"/>
      <c r="N91" s="141" t="n"/>
      <c r="O91" s="149" t="n"/>
    </row>
    <row r="92" ht="15" customHeight="1" s="106">
      <c r="A92" s="203">
        <f>IF($J92=0,"P5 NOT USED YET",IF($G92&gt;=3,"P5 DONE",IF($G92&gt;0,"P4 GET MORE QUOTES",IF($K92="High",IF($J92&gt;=3,"P1 CRITICAL","P2 HIGH"),IF($K92="Medium",IF($J92&gt;=3,"P2 HIGH","P3 NORMAL"),"P3 NORMAL")))))</f>
        <v/>
      </c>
      <c r="B92" s="134">
        <f>'04 SKU Master'!$A$86</f>
        <v/>
      </c>
      <c r="C92" s="138">
        <f>'04 SKU Master'!$B$86</f>
        <v/>
      </c>
      <c r="D92" s="113">
        <f>'04 SKU Master'!$C$86</f>
        <v/>
      </c>
      <c r="E92" s="164">
        <f>'04 SKU Master'!$D$86</f>
        <v/>
      </c>
      <c r="F92" s="116">
        <f>'04 SKU Master'!$F$86</f>
        <v/>
      </c>
      <c r="G92" s="193">
        <f>'04 SKU Master'!$AN$86</f>
        <v/>
      </c>
      <c r="H92" s="150">
        <f>IF('04 SKU Master'!$AM$86="","",'04 SKU Master'!$AM$86)</f>
        <v/>
      </c>
      <c r="I92" s="204">
        <f>IF('04 SKU Master'!$AL$86="","",'04 SKU Master'!$AL$86)</f>
        <v/>
      </c>
      <c r="J92" s="152">
        <f>COUNTIF('06 Pasta Dough BOM'!$B$14:$B$206,$B92)+COUNTIF('07 Core Sauce BOM CK'!$B$14:$B$412,$B92)+COUNTIF('08 Seasonal Sauce BOM CK'!$B$14:$B$324,$B92)+COUNTIF('10 Core Menu BOM'!$E$5:$E$300,$B92)+COUNTIF('11 Seasonal Menu BOM'!$E$5:$E$365,$B92)</f>
        <v/>
      </c>
      <c r="K92" s="119" t="inlineStr">
        <is>
          <t>Medium</t>
        </is>
      </c>
      <c r="L92" s="140" t="n"/>
      <c r="M92" s="140" t="n"/>
      <c r="N92" s="141" t="n"/>
      <c r="O92" s="149" t="n"/>
    </row>
    <row r="93" ht="15" customHeight="1" s="106">
      <c r="A93" s="203">
        <f>IF($J93=0,"P5 NOT USED YET",IF($G93&gt;=3,"P5 DONE",IF($G93&gt;0,"P4 GET MORE QUOTES",IF($K93="High",IF($J93&gt;=3,"P1 CRITICAL","P2 HIGH"),IF($K93="Medium",IF($J93&gt;=3,"P2 HIGH","P3 NORMAL"),"P3 NORMAL")))))</f>
        <v/>
      </c>
      <c r="B93" s="134">
        <f>'04 SKU Master'!$A$87</f>
        <v/>
      </c>
      <c r="C93" s="138">
        <f>'04 SKU Master'!$B$87</f>
        <v/>
      </c>
      <c r="D93" s="113">
        <f>'04 SKU Master'!$C$87</f>
        <v/>
      </c>
      <c r="E93" s="164">
        <f>'04 SKU Master'!$D$87</f>
        <v/>
      </c>
      <c r="F93" s="116">
        <f>'04 SKU Master'!$F$87</f>
        <v/>
      </c>
      <c r="G93" s="193">
        <f>'04 SKU Master'!$AN$87</f>
        <v/>
      </c>
      <c r="H93" s="150">
        <f>IF('04 SKU Master'!$AM$87="","",'04 SKU Master'!$AM$87)</f>
        <v/>
      </c>
      <c r="I93" s="204">
        <f>IF('04 SKU Master'!$AL$87="","",'04 SKU Master'!$AL$87)</f>
        <v/>
      </c>
      <c r="J93" s="152">
        <f>COUNTIF('06 Pasta Dough BOM'!$B$14:$B$206,$B93)+COUNTIF('07 Core Sauce BOM CK'!$B$14:$B$412,$B93)+COUNTIF('08 Seasonal Sauce BOM CK'!$B$14:$B$324,$B93)+COUNTIF('10 Core Menu BOM'!$E$5:$E$300,$B93)+COUNTIF('11 Seasonal Menu BOM'!$E$5:$E$365,$B93)</f>
        <v/>
      </c>
      <c r="K93" s="119" t="inlineStr">
        <is>
          <t>High</t>
        </is>
      </c>
      <c r="L93" s="140" t="n"/>
      <c r="M93" s="140" t="n"/>
      <c r="N93" s="141" t="n"/>
      <c r="O93" s="149" t="n"/>
    </row>
    <row r="94" ht="15" customHeight="1" s="106">
      <c r="A94" s="203">
        <f>IF($J94=0,"P5 NOT USED YET",IF($G94&gt;=3,"P5 DONE",IF($G94&gt;0,"P4 GET MORE QUOTES",IF($K94="High",IF($J94&gt;=3,"P1 CRITICAL","P2 HIGH"),IF($K94="Medium",IF($J94&gt;=3,"P2 HIGH","P3 NORMAL"),"P3 NORMAL")))))</f>
        <v/>
      </c>
      <c r="B94" s="134">
        <f>'04 SKU Master'!$A$88</f>
        <v/>
      </c>
      <c r="C94" s="138">
        <f>'04 SKU Master'!$B$88</f>
        <v/>
      </c>
      <c r="D94" s="113">
        <f>'04 SKU Master'!$C$88</f>
        <v/>
      </c>
      <c r="E94" s="164">
        <f>'04 SKU Master'!$D$88</f>
        <v/>
      </c>
      <c r="F94" s="116">
        <f>'04 SKU Master'!$F$88</f>
        <v/>
      </c>
      <c r="G94" s="193">
        <f>'04 SKU Master'!$AN$88</f>
        <v/>
      </c>
      <c r="H94" s="150">
        <f>IF('04 SKU Master'!$AM$88="","",'04 SKU Master'!$AM$88)</f>
        <v/>
      </c>
      <c r="I94" s="204">
        <f>IF('04 SKU Master'!$AL$88="","",'04 SKU Master'!$AL$88)</f>
        <v/>
      </c>
      <c r="J94" s="152">
        <f>COUNTIF('06 Pasta Dough BOM'!$B$14:$B$206,$B94)+COUNTIF('07 Core Sauce BOM CK'!$B$14:$B$412,$B94)+COUNTIF('08 Seasonal Sauce BOM CK'!$B$14:$B$324,$B94)+COUNTIF('10 Core Menu BOM'!$E$5:$E$300,$B94)+COUNTIF('11 Seasonal Menu BOM'!$E$5:$E$365,$B94)</f>
        <v/>
      </c>
      <c r="K94" s="119" t="inlineStr">
        <is>
          <t>Medium</t>
        </is>
      </c>
      <c r="L94" s="140" t="n"/>
      <c r="M94" s="140" t="n"/>
      <c r="N94" s="141" t="n"/>
      <c r="O94" s="149" t="n"/>
    </row>
    <row r="95" ht="15" customHeight="1" s="106">
      <c r="A95" s="203">
        <f>IF($J95=0,"P5 NOT USED YET",IF($G95&gt;=3,"P5 DONE",IF($G95&gt;0,"P4 GET MORE QUOTES",IF($K95="High",IF($J95&gt;=3,"P1 CRITICAL","P2 HIGH"),IF($K95="Medium",IF($J95&gt;=3,"P2 HIGH","P3 NORMAL"),"P3 NORMAL")))))</f>
        <v/>
      </c>
      <c r="B95" s="134">
        <f>'04 SKU Master'!$A$89</f>
        <v/>
      </c>
      <c r="C95" s="138">
        <f>'04 SKU Master'!$B$89</f>
        <v/>
      </c>
      <c r="D95" s="113">
        <f>'04 SKU Master'!$C$89</f>
        <v/>
      </c>
      <c r="E95" s="164">
        <f>'04 SKU Master'!$D$89</f>
        <v/>
      </c>
      <c r="F95" s="116">
        <f>'04 SKU Master'!$F$89</f>
        <v/>
      </c>
      <c r="G95" s="193">
        <f>'04 SKU Master'!$AN$89</f>
        <v/>
      </c>
      <c r="H95" s="150">
        <f>IF('04 SKU Master'!$AM$89="","",'04 SKU Master'!$AM$89)</f>
        <v/>
      </c>
      <c r="I95" s="204">
        <f>IF('04 SKU Master'!$AL$89="","",'04 SKU Master'!$AL$89)</f>
        <v/>
      </c>
      <c r="J95" s="152">
        <f>COUNTIF('06 Pasta Dough BOM'!$B$14:$B$206,$B95)+COUNTIF('07 Core Sauce BOM CK'!$B$14:$B$412,$B95)+COUNTIF('08 Seasonal Sauce BOM CK'!$B$14:$B$324,$B95)+COUNTIF('10 Core Menu BOM'!$E$5:$E$300,$B95)+COUNTIF('11 Seasonal Menu BOM'!$E$5:$E$365,$B95)</f>
        <v/>
      </c>
      <c r="K95" s="119" t="inlineStr">
        <is>
          <t>Medium</t>
        </is>
      </c>
      <c r="L95" s="140" t="n"/>
      <c r="M95" s="140" t="n"/>
      <c r="N95" s="141" t="n"/>
      <c r="O95" s="149" t="n"/>
    </row>
    <row r="96" ht="15" customHeight="1" s="106">
      <c r="A96" s="203">
        <f>IF($J96=0,"P5 NOT USED YET",IF($G96&gt;=3,"P5 DONE",IF($G96&gt;0,"P4 GET MORE QUOTES",IF($K96="High",IF($J96&gt;=3,"P1 CRITICAL","P2 HIGH"),IF($K96="Medium",IF($J96&gt;=3,"P2 HIGH","P3 NORMAL"),"P3 NORMAL")))))</f>
        <v/>
      </c>
      <c r="B96" s="134">
        <f>'04 SKU Master'!$A$90</f>
        <v/>
      </c>
      <c r="C96" s="138">
        <f>'04 SKU Master'!$B$90</f>
        <v/>
      </c>
      <c r="D96" s="113">
        <f>'04 SKU Master'!$C$90</f>
        <v/>
      </c>
      <c r="E96" s="164">
        <f>'04 SKU Master'!$D$90</f>
        <v/>
      </c>
      <c r="F96" s="116">
        <f>'04 SKU Master'!$F$90</f>
        <v/>
      </c>
      <c r="G96" s="193">
        <f>'04 SKU Master'!$AN$90</f>
        <v/>
      </c>
      <c r="H96" s="150">
        <f>IF('04 SKU Master'!$AM$90="","",'04 SKU Master'!$AM$90)</f>
        <v/>
      </c>
      <c r="I96" s="204">
        <f>IF('04 SKU Master'!$AL$90="","",'04 SKU Master'!$AL$90)</f>
        <v/>
      </c>
      <c r="J96" s="152">
        <f>COUNTIF('06 Pasta Dough BOM'!$B$14:$B$206,$B96)+COUNTIF('07 Core Sauce BOM CK'!$B$14:$B$412,$B96)+COUNTIF('08 Seasonal Sauce BOM CK'!$B$14:$B$324,$B96)+COUNTIF('10 Core Menu BOM'!$E$5:$E$300,$B96)+COUNTIF('11 Seasonal Menu BOM'!$E$5:$E$365,$B96)</f>
        <v/>
      </c>
      <c r="K96" s="119" t="inlineStr">
        <is>
          <t>Medium</t>
        </is>
      </c>
      <c r="L96" s="140" t="n"/>
      <c r="M96" s="140" t="n"/>
      <c r="N96" s="141" t="n"/>
      <c r="O96" s="149" t="n"/>
    </row>
    <row r="97" ht="15" customHeight="1" s="106">
      <c r="A97" s="203">
        <f>IF($J97=0,"P5 NOT USED YET",IF($G97&gt;=3,"P5 DONE",IF($G97&gt;0,"P4 GET MORE QUOTES",IF($K97="High",IF($J97&gt;=3,"P1 CRITICAL","P2 HIGH"),IF($K97="Medium",IF($J97&gt;=3,"P2 HIGH","P3 NORMAL"),"P3 NORMAL")))))</f>
        <v/>
      </c>
      <c r="B97" s="134">
        <f>'04 SKU Master'!$A$91</f>
        <v/>
      </c>
      <c r="C97" s="138">
        <f>'04 SKU Master'!$B$91</f>
        <v/>
      </c>
      <c r="D97" s="113">
        <f>'04 SKU Master'!$C$91</f>
        <v/>
      </c>
      <c r="E97" s="164">
        <f>'04 SKU Master'!$D$91</f>
        <v/>
      </c>
      <c r="F97" s="116">
        <f>'04 SKU Master'!$F$91</f>
        <v/>
      </c>
      <c r="G97" s="193">
        <f>'04 SKU Master'!$AN$91</f>
        <v/>
      </c>
      <c r="H97" s="150">
        <f>IF('04 SKU Master'!$AM$91="","",'04 SKU Master'!$AM$91)</f>
        <v/>
      </c>
      <c r="I97" s="204">
        <f>IF('04 SKU Master'!$AL$91="","",'04 SKU Master'!$AL$91)</f>
        <v/>
      </c>
      <c r="J97" s="152">
        <f>COUNTIF('06 Pasta Dough BOM'!$B$14:$B$206,$B97)+COUNTIF('07 Core Sauce BOM CK'!$B$14:$B$412,$B97)+COUNTIF('08 Seasonal Sauce BOM CK'!$B$14:$B$324,$B97)+COUNTIF('10 Core Menu BOM'!$E$5:$E$300,$B97)+COUNTIF('11 Seasonal Menu BOM'!$E$5:$E$365,$B97)</f>
        <v/>
      </c>
      <c r="K97" s="119" t="inlineStr">
        <is>
          <t>Medium</t>
        </is>
      </c>
      <c r="L97" s="140" t="n"/>
      <c r="M97" s="140" t="n"/>
      <c r="N97" s="141" t="n"/>
      <c r="O97" s="149" t="n"/>
    </row>
    <row r="98" ht="15" customHeight="1" s="106">
      <c r="A98" s="203">
        <f>IF($J98=0,"P5 NOT USED YET",IF($G98&gt;=3,"P5 DONE",IF($G98&gt;0,"P4 GET MORE QUOTES",IF($K98="High",IF($J98&gt;=3,"P1 CRITICAL","P2 HIGH"),IF($K98="Medium",IF($J98&gt;=3,"P2 HIGH","P3 NORMAL"),"P3 NORMAL")))))</f>
        <v/>
      </c>
      <c r="B98" s="134">
        <f>'04 SKU Master'!$A$92</f>
        <v/>
      </c>
      <c r="C98" s="138">
        <f>'04 SKU Master'!$B$92</f>
        <v/>
      </c>
      <c r="D98" s="113">
        <f>'04 SKU Master'!$C$92</f>
        <v/>
      </c>
      <c r="E98" s="164">
        <f>'04 SKU Master'!$D$92</f>
        <v/>
      </c>
      <c r="F98" s="116">
        <f>'04 SKU Master'!$F$92</f>
        <v/>
      </c>
      <c r="G98" s="193">
        <f>'04 SKU Master'!$AN$92</f>
        <v/>
      </c>
      <c r="H98" s="150">
        <f>IF('04 SKU Master'!$AM$92="","",'04 SKU Master'!$AM$92)</f>
        <v/>
      </c>
      <c r="I98" s="204">
        <f>IF('04 SKU Master'!$AL$92="","",'04 SKU Master'!$AL$92)</f>
        <v/>
      </c>
      <c r="J98" s="152">
        <f>COUNTIF('06 Pasta Dough BOM'!$B$14:$B$206,$B98)+COUNTIF('07 Core Sauce BOM CK'!$B$14:$B$412,$B98)+COUNTIF('08 Seasonal Sauce BOM CK'!$B$14:$B$324,$B98)+COUNTIF('10 Core Menu BOM'!$E$5:$E$300,$B98)+COUNTIF('11 Seasonal Menu BOM'!$E$5:$E$365,$B98)</f>
        <v/>
      </c>
      <c r="K98" s="119" t="inlineStr">
        <is>
          <t>Medium</t>
        </is>
      </c>
      <c r="L98" s="140" t="n"/>
      <c r="M98" s="140" t="n"/>
      <c r="N98" s="141" t="n"/>
      <c r="O98" s="149" t="n"/>
    </row>
    <row r="99" ht="15" customHeight="1" s="106">
      <c r="A99" s="203">
        <f>IF($J99=0,"P5 NOT USED YET",IF($G99&gt;=3,"P5 DONE",IF($G99&gt;0,"P4 GET MORE QUOTES",IF($K99="High",IF($J99&gt;=3,"P1 CRITICAL","P2 HIGH"),IF($K99="Medium",IF($J99&gt;=3,"P2 HIGH","P3 NORMAL"),"P3 NORMAL")))))</f>
        <v/>
      </c>
      <c r="B99" s="134">
        <f>'04 SKU Master'!$A$93</f>
        <v/>
      </c>
      <c r="C99" s="138">
        <f>'04 SKU Master'!$B$93</f>
        <v/>
      </c>
      <c r="D99" s="113">
        <f>'04 SKU Master'!$C$93</f>
        <v/>
      </c>
      <c r="E99" s="164">
        <f>'04 SKU Master'!$D$93</f>
        <v/>
      </c>
      <c r="F99" s="116">
        <f>'04 SKU Master'!$F$93</f>
        <v/>
      </c>
      <c r="G99" s="193">
        <f>'04 SKU Master'!$AN$93</f>
        <v/>
      </c>
      <c r="H99" s="150">
        <f>IF('04 SKU Master'!$AM$93="","",'04 SKU Master'!$AM$93)</f>
        <v/>
      </c>
      <c r="I99" s="204">
        <f>IF('04 SKU Master'!$AL$93="","",'04 SKU Master'!$AL$93)</f>
        <v/>
      </c>
      <c r="J99" s="152">
        <f>COUNTIF('06 Pasta Dough BOM'!$B$14:$B$206,$B99)+COUNTIF('07 Core Sauce BOM CK'!$B$14:$B$412,$B99)+COUNTIF('08 Seasonal Sauce BOM CK'!$B$14:$B$324,$B99)+COUNTIF('10 Core Menu BOM'!$E$5:$E$300,$B99)+COUNTIF('11 Seasonal Menu BOM'!$E$5:$E$365,$B99)</f>
        <v/>
      </c>
      <c r="K99" s="119" t="inlineStr">
        <is>
          <t>Medium</t>
        </is>
      </c>
      <c r="L99" s="140" t="n"/>
      <c r="M99" s="140" t="n"/>
      <c r="N99" s="141" t="n"/>
      <c r="O99" s="149" t="n"/>
    </row>
    <row r="100" ht="15" customHeight="1" s="106">
      <c r="A100" s="203">
        <f>IF($J100=0,"P5 NOT USED YET",IF($G100&gt;=3,"P5 DONE",IF($G100&gt;0,"P4 GET MORE QUOTES",IF($K100="High",IF($J100&gt;=3,"P1 CRITICAL","P2 HIGH"),IF($K100="Medium",IF($J100&gt;=3,"P2 HIGH","P3 NORMAL"),"P3 NORMAL")))))</f>
        <v/>
      </c>
      <c r="B100" s="134">
        <f>'04 SKU Master'!$A$94</f>
        <v/>
      </c>
      <c r="C100" s="138">
        <f>'04 SKU Master'!$B$94</f>
        <v/>
      </c>
      <c r="D100" s="113">
        <f>'04 SKU Master'!$C$94</f>
        <v/>
      </c>
      <c r="E100" s="164">
        <f>'04 SKU Master'!$D$94</f>
        <v/>
      </c>
      <c r="F100" s="116">
        <f>'04 SKU Master'!$F$94</f>
        <v/>
      </c>
      <c r="G100" s="193">
        <f>'04 SKU Master'!$AN$94</f>
        <v/>
      </c>
      <c r="H100" s="150">
        <f>IF('04 SKU Master'!$AM$94="","",'04 SKU Master'!$AM$94)</f>
        <v/>
      </c>
      <c r="I100" s="204">
        <f>IF('04 SKU Master'!$AL$94="","",'04 SKU Master'!$AL$94)</f>
        <v/>
      </c>
      <c r="J100" s="152">
        <f>COUNTIF('06 Pasta Dough BOM'!$B$14:$B$206,$B100)+COUNTIF('07 Core Sauce BOM CK'!$B$14:$B$412,$B100)+COUNTIF('08 Seasonal Sauce BOM CK'!$B$14:$B$324,$B100)+COUNTIF('10 Core Menu BOM'!$E$5:$E$300,$B100)+COUNTIF('11 Seasonal Menu BOM'!$E$5:$E$365,$B100)</f>
        <v/>
      </c>
      <c r="K100" s="119" t="inlineStr">
        <is>
          <t>Medium</t>
        </is>
      </c>
      <c r="L100" s="140" t="n"/>
      <c r="M100" s="140" t="n"/>
      <c r="N100" s="141" t="n"/>
      <c r="O100" s="149" t="n"/>
    </row>
    <row r="101" ht="15" customHeight="1" s="106">
      <c r="A101" s="203">
        <f>IF($J101=0,"P5 NOT USED YET",IF($G101&gt;=3,"P5 DONE",IF($G101&gt;0,"P4 GET MORE QUOTES",IF($K101="High",IF($J101&gt;=3,"P1 CRITICAL","P2 HIGH"),IF($K101="Medium",IF($J101&gt;=3,"P2 HIGH","P3 NORMAL"),"P3 NORMAL")))))</f>
        <v/>
      </c>
      <c r="B101" s="134">
        <f>'04 SKU Master'!$A$95</f>
        <v/>
      </c>
      <c r="C101" s="138">
        <f>'04 SKU Master'!$B$95</f>
        <v/>
      </c>
      <c r="D101" s="113">
        <f>'04 SKU Master'!$C$95</f>
        <v/>
      </c>
      <c r="E101" s="164">
        <f>'04 SKU Master'!$D$95</f>
        <v/>
      </c>
      <c r="F101" s="116">
        <f>'04 SKU Master'!$F$95</f>
        <v/>
      </c>
      <c r="G101" s="193">
        <f>'04 SKU Master'!$AN$95</f>
        <v/>
      </c>
      <c r="H101" s="150">
        <f>IF('04 SKU Master'!$AM$95="","",'04 SKU Master'!$AM$95)</f>
        <v/>
      </c>
      <c r="I101" s="204">
        <f>IF('04 SKU Master'!$AL$95="","",'04 SKU Master'!$AL$95)</f>
        <v/>
      </c>
      <c r="J101" s="152">
        <f>COUNTIF('06 Pasta Dough BOM'!$B$14:$B$206,$B101)+COUNTIF('07 Core Sauce BOM CK'!$B$14:$B$412,$B101)+COUNTIF('08 Seasonal Sauce BOM CK'!$B$14:$B$324,$B101)+COUNTIF('10 Core Menu BOM'!$E$5:$E$300,$B101)+COUNTIF('11 Seasonal Menu BOM'!$E$5:$E$365,$B101)</f>
        <v/>
      </c>
      <c r="K101" s="119" t="inlineStr">
        <is>
          <t>Medium</t>
        </is>
      </c>
      <c r="L101" s="140" t="n"/>
      <c r="M101" s="140" t="n"/>
      <c r="N101" s="141" t="n"/>
      <c r="O101" s="149" t="n"/>
    </row>
    <row r="102" ht="15" customHeight="1" s="106">
      <c r="A102" s="203">
        <f>IF($J102=0,"P5 NOT USED YET",IF($G102&gt;=3,"P5 DONE",IF($G102&gt;0,"P4 GET MORE QUOTES",IF($K102="High",IF($J102&gt;=3,"P1 CRITICAL","P2 HIGH"),IF($K102="Medium",IF($J102&gt;=3,"P2 HIGH","P3 NORMAL"),"P3 NORMAL")))))</f>
        <v/>
      </c>
      <c r="B102" s="134">
        <f>'04 SKU Master'!$A$96</f>
        <v/>
      </c>
      <c r="C102" s="138">
        <f>'04 SKU Master'!$B$96</f>
        <v/>
      </c>
      <c r="D102" s="113">
        <f>'04 SKU Master'!$C$96</f>
        <v/>
      </c>
      <c r="E102" s="164">
        <f>'04 SKU Master'!$D$96</f>
        <v/>
      </c>
      <c r="F102" s="116">
        <f>'04 SKU Master'!$F$96</f>
        <v/>
      </c>
      <c r="G102" s="193">
        <f>'04 SKU Master'!$AN$96</f>
        <v/>
      </c>
      <c r="H102" s="150">
        <f>IF('04 SKU Master'!$AM$96="","",'04 SKU Master'!$AM$96)</f>
        <v/>
      </c>
      <c r="I102" s="204">
        <f>IF('04 SKU Master'!$AL$96="","",'04 SKU Master'!$AL$96)</f>
        <v/>
      </c>
      <c r="J102" s="152">
        <f>COUNTIF('06 Pasta Dough BOM'!$B$14:$B$206,$B102)+COUNTIF('07 Core Sauce BOM CK'!$B$14:$B$412,$B102)+COUNTIF('08 Seasonal Sauce BOM CK'!$B$14:$B$324,$B102)+COUNTIF('10 Core Menu BOM'!$E$5:$E$300,$B102)+COUNTIF('11 Seasonal Menu BOM'!$E$5:$E$365,$B102)</f>
        <v/>
      </c>
      <c r="K102" s="119" t="inlineStr">
        <is>
          <t>Medium</t>
        </is>
      </c>
      <c r="L102" s="140" t="n"/>
      <c r="M102" s="140" t="n"/>
      <c r="N102" s="141" t="n"/>
      <c r="O102" s="149" t="n"/>
    </row>
    <row r="103" ht="15" customHeight="1" s="106">
      <c r="A103" s="203">
        <f>IF($J103=0,"P5 NOT USED YET",IF($G103&gt;=3,"P5 DONE",IF($G103&gt;0,"P4 GET MORE QUOTES",IF($K103="High",IF($J103&gt;=3,"P1 CRITICAL","P2 HIGH"),IF($K103="Medium",IF($J103&gt;=3,"P2 HIGH","P3 NORMAL"),"P3 NORMAL")))))</f>
        <v/>
      </c>
      <c r="B103" s="134">
        <f>'04 SKU Master'!$A$97</f>
        <v/>
      </c>
      <c r="C103" s="138">
        <f>'04 SKU Master'!$B$97</f>
        <v/>
      </c>
      <c r="D103" s="113">
        <f>'04 SKU Master'!$C$97</f>
        <v/>
      </c>
      <c r="E103" s="164">
        <f>'04 SKU Master'!$D$97</f>
        <v/>
      </c>
      <c r="F103" s="116">
        <f>'04 SKU Master'!$F$97</f>
        <v/>
      </c>
      <c r="G103" s="193">
        <f>'04 SKU Master'!$AN$97</f>
        <v/>
      </c>
      <c r="H103" s="150">
        <f>IF('04 SKU Master'!$AM$97="","",'04 SKU Master'!$AM$97)</f>
        <v/>
      </c>
      <c r="I103" s="204">
        <f>IF('04 SKU Master'!$AL$97="","",'04 SKU Master'!$AL$97)</f>
        <v/>
      </c>
      <c r="J103" s="152">
        <f>COUNTIF('06 Pasta Dough BOM'!$B$14:$B$206,$B103)+COUNTIF('07 Core Sauce BOM CK'!$B$14:$B$412,$B103)+COUNTIF('08 Seasonal Sauce BOM CK'!$B$14:$B$324,$B103)+COUNTIF('10 Core Menu BOM'!$E$5:$E$300,$B103)+COUNTIF('11 Seasonal Menu BOM'!$E$5:$E$365,$B103)</f>
        <v/>
      </c>
      <c r="K103" s="119" t="inlineStr">
        <is>
          <t>Medium</t>
        </is>
      </c>
      <c r="L103" s="140" t="n"/>
      <c r="M103" s="140" t="n"/>
      <c r="N103" s="141" t="n"/>
      <c r="O103" s="149" t="n"/>
    </row>
    <row r="104" ht="15" customHeight="1" s="106">
      <c r="A104" s="203">
        <f>IF($J104=0,"P5 NOT USED YET",IF($G104&gt;=3,"P5 DONE",IF($G104&gt;0,"P4 GET MORE QUOTES",IF($K104="High",IF($J104&gt;=3,"P1 CRITICAL","P2 HIGH"),IF($K104="Medium",IF($J104&gt;=3,"P2 HIGH","P3 NORMAL"),"P3 NORMAL")))))</f>
        <v/>
      </c>
      <c r="B104" s="134">
        <f>'04 SKU Master'!$A$98</f>
        <v/>
      </c>
      <c r="C104" s="138">
        <f>'04 SKU Master'!$B$98</f>
        <v/>
      </c>
      <c r="D104" s="113">
        <f>'04 SKU Master'!$C$98</f>
        <v/>
      </c>
      <c r="E104" s="164">
        <f>'04 SKU Master'!$D$98</f>
        <v/>
      </c>
      <c r="F104" s="116">
        <f>'04 SKU Master'!$F$98</f>
        <v/>
      </c>
      <c r="G104" s="193">
        <f>'04 SKU Master'!$AN$98</f>
        <v/>
      </c>
      <c r="H104" s="150">
        <f>IF('04 SKU Master'!$AM$98="","",'04 SKU Master'!$AM$98)</f>
        <v/>
      </c>
      <c r="I104" s="204">
        <f>IF('04 SKU Master'!$AL$98="","",'04 SKU Master'!$AL$98)</f>
        <v/>
      </c>
      <c r="J104" s="152">
        <f>COUNTIF('06 Pasta Dough BOM'!$B$14:$B$206,$B104)+COUNTIF('07 Core Sauce BOM CK'!$B$14:$B$412,$B104)+COUNTIF('08 Seasonal Sauce BOM CK'!$B$14:$B$324,$B104)+COUNTIF('10 Core Menu BOM'!$E$5:$E$300,$B104)+COUNTIF('11 Seasonal Menu BOM'!$E$5:$E$365,$B104)</f>
        <v/>
      </c>
      <c r="K104" s="119" t="inlineStr">
        <is>
          <t>Medium</t>
        </is>
      </c>
      <c r="L104" s="140" t="n"/>
      <c r="M104" s="140" t="n"/>
      <c r="N104" s="141" t="n"/>
      <c r="O104" s="149" t="n"/>
    </row>
    <row r="105" ht="15" customHeight="1" s="106">
      <c r="A105" s="203">
        <f>IF($J105=0,"P5 NOT USED YET",IF($G105&gt;=3,"P5 DONE",IF($G105&gt;0,"P4 GET MORE QUOTES",IF($K105="High",IF($J105&gt;=3,"P1 CRITICAL","P2 HIGH"),IF($K105="Medium",IF($J105&gt;=3,"P2 HIGH","P3 NORMAL"),"P3 NORMAL")))))</f>
        <v/>
      </c>
      <c r="B105" s="134">
        <f>'04 SKU Master'!$A$99</f>
        <v/>
      </c>
      <c r="C105" s="138">
        <f>'04 SKU Master'!$B$99</f>
        <v/>
      </c>
      <c r="D105" s="113">
        <f>'04 SKU Master'!$C$99</f>
        <v/>
      </c>
      <c r="E105" s="164">
        <f>'04 SKU Master'!$D$99</f>
        <v/>
      </c>
      <c r="F105" s="116">
        <f>'04 SKU Master'!$F$99</f>
        <v/>
      </c>
      <c r="G105" s="193">
        <f>'04 SKU Master'!$AN$99</f>
        <v/>
      </c>
      <c r="H105" s="150">
        <f>IF('04 SKU Master'!$AM$99="","",'04 SKU Master'!$AM$99)</f>
        <v/>
      </c>
      <c r="I105" s="204">
        <f>IF('04 SKU Master'!$AL$99="","",'04 SKU Master'!$AL$99)</f>
        <v/>
      </c>
      <c r="J105" s="152">
        <f>COUNTIF('06 Pasta Dough BOM'!$B$14:$B$206,$B105)+COUNTIF('07 Core Sauce BOM CK'!$B$14:$B$412,$B105)+COUNTIF('08 Seasonal Sauce BOM CK'!$B$14:$B$324,$B105)+COUNTIF('10 Core Menu BOM'!$E$5:$E$300,$B105)+COUNTIF('11 Seasonal Menu BOM'!$E$5:$E$365,$B105)</f>
        <v/>
      </c>
      <c r="K105" s="119" t="inlineStr">
        <is>
          <t>Medium</t>
        </is>
      </c>
      <c r="L105" s="140" t="n"/>
      <c r="M105" s="140" t="n"/>
      <c r="N105" s="141" t="n"/>
      <c r="O105" s="149" t="n"/>
    </row>
    <row r="106" ht="15" customHeight="1" s="106">
      <c r="A106" s="203">
        <f>IF($J106=0,"P5 NOT USED YET",IF($G106&gt;=3,"P5 DONE",IF($G106&gt;0,"P4 GET MORE QUOTES",IF($K106="High",IF($J106&gt;=3,"P1 CRITICAL","P2 HIGH"),IF($K106="Medium",IF($J106&gt;=3,"P2 HIGH","P3 NORMAL"),"P3 NORMAL")))))</f>
        <v/>
      </c>
      <c r="B106" s="134">
        <f>'04 SKU Master'!$A$100</f>
        <v/>
      </c>
      <c r="C106" s="138">
        <f>'04 SKU Master'!$B$100</f>
        <v/>
      </c>
      <c r="D106" s="113">
        <f>'04 SKU Master'!$C$100</f>
        <v/>
      </c>
      <c r="E106" s="164">
        <f>'04 SKU Master'!$D$100</f>
        <v/>
      </c>
      <c r="F106" s="116">
        <f>'04 SKU Master'!$F$100</f>
        <v/>
      </c>
      <c r="G106" s="193">
        <f>'04 SKU Master'!$AN$100</f>
        <v/>
      </c>
      <c r="H106" s="150">
        <f>IF('04 SKU Master'!$AM$100="","",'04 SKU Master'!$AM$100)</f>
        <v/>
      </c>
      <c r="I106" s="204">
        <f>IF('04 SKU Master'!$AL$100="","",'04 SKU Master'!$AL$100)</f>
        <v/>
      </c>
      <c r="J106" s="152">
        <f>COUNTIF('06 Pasta Dough BOM'!$B$14:$B$206,$B106)+COUNTIF('07 Core Sauce BOM CK'!$B$14:$B$412,$B106)+COUNTIF('08 Seasonal Sauce BOM CK'!$B$14:$B$324,$B106)+COUNTIF('10 Core Menu BOM'!$E$5:$E$300,$B106)+COUNTIF('11 Seasonal Menu BOM'!$E$5:$E$365,$B106)</f>
        <v/>
      </c>
      <c r="K106" s="119" t="inlineStr">
        <is>
          <t>High</t>
        </is>
      </c>
      <c r="L106" s="140" t="n"/>
      <c r="M106" s="140" t="n"/>
      <c r="N106" s="141" t="n"/>
      <c r="O106" s="149" t="n"/>
    </row>
    <row r="107" ht="15" customHeight="1" s="106">
      <c r="A107" s="203">
        <f>IF($J107=0,"P5 NOT USED YET",IF($G107&gt;=3,"P5 DONE",IF($G107&gt;0,"P4 GET MORE QUOTES",IF($K107="High",IF($J107&gt;=3,"P1 CRITICAL","P2 HIGH"),IF($K107="Medium",IF($J107&gt;=3,"P2 HIGH","P3 NORMAL"),"P3 NORMAL")))))</f>
        <v/>
      </c>
      <c r="B107" s="134">
        <f>'04 SKU Master'!$A$101</f>
        <v/>
      </c>
      <c r="C107" s="138">
        <f>'04 SKU Master'!$B$101</f>
        <v/>
      </c>
      <c r="D107" s="113">
        <f>'04 SKU Master'!$C$101</f>
        <v/>
      </c>
      <c r="E107" s="164">
        <f>'04 SKU Master'!$D$101</f>
        <v/>
      </c>
      <c r="F107" s="116">
        <f>'04 SKU Master'!$F$101</f>
        <v/>
      </c>
      <c r="G107" s="193">
        <f>'04 SKU Master'!$AN$101</f>
        <v/>
      </c>
      <c r="H107" s="150">
        <f>IF('04 SKU Master'!$AM$101="","",'04 SKU Master'!$AM$101)</f>
        <v/>
      </c>
      <c r="I107" s="204">
        <f>IF('04 SKU Master'!$AL$101="","",'04 SKU Master'!$AL$101)</f>
        <v/>
      </c>
      <c r="J107" s="152">
        <f>COUNTIF('06 Pasta Dough BOM'!$B$14:$B$206,$B107)+COUNTIF('07 Core Sauce BOM CK'!$B$14:$B$412,$B107)+COUNTIF('08 Seasonal Sauce BOM CK'!$B$14:$B$324,$B107)+COUNTIF('10 Core Menu BOM'!$E$5:$E$300,$B107)+COUNTIF('11 Seasonal Menu BOM'!$E$5:$E$365,$B107)</f>
        <v/>
      </c>
      <c r="K107" s="119" t="inlineStr">
        <is>
          <t>Medium</t>
        </is>
      </c>
      <c r="L107" s="140" t="n"/>
      <c r="M107" s="140" t="n"/>
      <c r="N107" s="141" t="n"/>
      <c r="O107" s="149" t="n"/>
    </row>
    <row r="108" ht="15" customHeight="1" s="106">
      <c r="A108" s="203">
        <f>IF($J108=0,"P5 NOT USED YET",IF($G108&gt;=3,"P5 DONE",IF($G108&gt;0,"P4 GET MORE QUOTES",IF($K108="High",IF($J108&gt;=3,"P1 CRITICAL","P2 HIGH"),IF($K108="Medium",IF($J108&gt;=3,"P2 HIGH","P3 NORMAL"),"P3 NORMAL")))))</f>
        <v/>
      </c>
      <c r="B108" s="134">
        <f>'04 SKU Master'!$A$102</f>
        <v/>
      </c>
      <c r="C108" s="138">
        <f>'04 SKU Master'!$B$102</f>
        <v/>
      </c>
      <c r="D108" s="113">
        <f>'04 SKU Master'!$C$102</f>
        <v/>
      </c>
      <c r="E108" s="164">
        <f>'04 SKU Master'!$D$102</f>
        <v/>
      </c>
      <c r="F108" s="116">
        <f>'04 SKU Master'!$F$102</f>
        <v/>
      </c>
      <c r="G108" s="193">
        <f>'04 SKU Master'!$AN$102</f>
        <v/>
      </c>
      <c r="H108" s="150">
        <f>IF('04 SKU Master'!$AM$102="","",'04 SKU Master'!$AM$102)</f>
        <v/>
      </c>
      <c r="I108" s="204">
        <f>IF('04 SKU Master'!$AL$102="","",'04 SKU Master'!$AL$102)</f>
        <v/>
      </c>
      <c r="J108" s="152">
        <f>COUNTIF('06 Pasta Dough BOM'!$B$14:$B$206,$B108)+COUNTIF('07 Core Sauce BOM CK'!$B$14:$B$412,$B108)+COUNTIF('08 Seasonal Sauce BOM CK'!$B$14:$B$324,$B108)+COUNTIF('10 Core Menu BOM'!$E$5:$E$300,$B108)+COUNTIF('11 Seasonal Menu BOM'!$E$5:$E$365,$B108)</f>
        <v/>
      </c>
      <c r="K108" s="119" t="inlineStr">
        <is>
          <t>Medium</t>
        </is>
      </c>
      <c r="L108" s="140" t="n"/>
      <c r="M108" s="140" t="n"/>
      <c r="N108" s="141" t="n"/>
      <c r="O108" s="149" t="n"/>
    </row>
    <row r="109" ht="15" customHeight="1" s="106">
      <c r="A109" s="203">
        <f>IF($J109=0,"P5 NOT USED YET",IF($G109&gt;=3,"P5 DONE",IF($G109&gt;0,"P4 GET MORE QUOTES",IF($K109="High",IF($J109&gt;=3,"P1 CRITICAL","P2 HIGH"),IF($K109="Medium",IF($J109&gt;=3,"P2 HIGH","P3 NORMAL"),"P3 NORMAL")))))</f>
        <v/>
      </c>
      <c r="B109" s="134">
        <f>'04 SKU Master'!$A$103</f>
        <v/>
      </c>
      <c r="C109" s="138">
        <f>'04 SKU Master'!$B$103</f>
        <v/>
      </c>
      <c r="D109" s="113">
        <f>'04 SKU Master'!$C$103</f>
        <v/>
      </c>
      <c r="E109" s="164">
        <f>'04 SKU Master'!$D$103</f>
        <v/>
      </c>
      <c r="F109" s="116">
        <f>'04 SKU Master'!$F$103</f>
        <v/>
      </c>
      <c r="G109" s="193">
        <f>'04 SKU Master'!$AN$103</f>
        <v/>
      </c>
      <c r="H109" s="150">
        <f>IF('04 SKU Master'!$AM$103="","",'04 SKU Master'!$AM$103)</f>
        <v/>
      </c>
      <c r="I109" s="204">
        <f>IF('04 SKU Master'!$AL$103="","",'04 SKU Master'!$AL$103)</f>
        <v/>
      </c>
      <c r="J109" s="152">
        <f>COUNTIF('06 Pasta Dough BOM'!$B$14:$B$206,$B109)+COUNTIF('07 Core Sauce BOM CK'!$B$14:$B$412,$B109)+COUNTIF('08 Seasonal Sauce BOM CK'!$B$14:$B$324,$B109)+COUNTIF('10 Core Menu BOM'!$E$5:$E$300,$B109)+COUNTIF('11 Seasonal Menu BOM'!$E$5:$E$365,$B109)</f>
        <v/>
      </c>
      <c r="K109" s="119" t="inlineStr">
        <is>
          <t>Medium</t>
        </is>
      </c>
      <c r="L109" s="140" t="n"/>
      <c r="M109" s="140" t="n"/>
      <c r="N109" s="141" t="n"/>
      <c r="O109" s="149" t="n"/>
    </row>
    <row r="110" ht="15" customHeight="1" s="106">
      <c r="A110" s="203">
        <f>IF($J110=0,"P5 NOT USED YET",IF($G110&gt;=3,"P5 DONE",IF($G110&gt;0,"P4 GET MORE QUOTES",IF($K110="High",IF($J110&gt;=3,"P1 CRITICAL","P2 HIGH"),IF($K110="Medium",IF($J110&gt;=3,"P2 HIGH","P3 NORMAL"),"P3 NORMAL")))))</f>
        <v/>
      </c>
      <c r="B110" s="134">
        <f>'04 SKU Master'!$A$104</f>
        <v/>
      </c>
      <c r="C110" s="138">
        <f>'04 SKU Master'!$B$104</f>
        <v/>
      </c>
      <c r="D110" s="113">
        <f>'04 SKU Master'!$C$104</f>
        <v/>
      </c>
      <c r="E110" s="164">
        <f>'04 SKU Master'!$D$104</f>
        <v/>
      </c>
      <c r="F110" s="116">
        <f>'04 SKU Master'!$F$104</f>
        <v/>
      </c>
      <c r="G110" s="193">
        <f>'04 SKU Master'!$AN$104</f>
        <v/>
      </c>
      <c r="H110" s="150">
        <f>IF('04 SKU Master'!$AM$104="","",'04 SKU Master'!$AM$104)</f>
        <v/>
      </c>
      <c r="I110" s="204">
        <f>IF('04 SKU Master'!$AL$104="","",'04 SKU Master'!$AL$104)</f>
        <v/>
      </c>
      <c r="J110" s="152">
        <f>COUNTIF('06 Pasta Dough BOM'!$B$14:$B$206,$B110)+COUNTIF('07 Core Sauce BOM CK'!$B$14:$B$412,$B110)+COUNTIF('08 Seasonal Sauce BOM CK'!$B$14:$B$324,$B110)+COUNTIF('10 Core Menu BOM'!$E$5:$E$300,$B110)+COUNTIF('11 Seasonal Menu BOM'!$E$5:$E$365,$B110)</f>
        <v/>
      </c>
      <c r="K110" s="119" t="inlineStr">
        <is>
          <t>High</t>
        </is>
      </c>
      <c r="L110" s="140" t="n"/>
      <c r="M110" s="140" t="n"/>
      <c r="N110" s="141" t="n"/>
      <c r="O110" s="149" t="n"/>
    </row>
    <row r="111" ht="15" customHeight="1" s="106">
      <c r="A111" s="203">
        <f>IF($J111=0,"P5 NOT USED YET",IF($G111&gt;=3,"P5 DONE",IF($G111&gt;0,"P4 GET MORE QUOTES",IF($K111="High",IF($J111&gt;=3,"P1 CRITICAL","P2 HIGH"),IF($K111="Medium",IF($J111&gt;=3,"P2 HIGH","P3 NORMAL"),"P3 NORMAL")))))</f>
        <v/>
      </c>
      <c r="B111" s="134">
        <f>'04 SKU Master'!$A$105</f>
        <v/>
      </c>
      <c r="C111" s="138">
        <f>'04 SKU Master'!$B$105</f>
        <v/>
      </c>
      <c r="D111" s="113">
        <f>'04 SKU Master'!$C$105</f>
        <v/>
      </c>
      <c r="E111" s="164">
        <f>'04 SKU Master'!$D$105</f>
        <v/>
      </c>
      <c r="F111" s="116">
        <f>'04 SKU Master'!$F$105</f>
        <v/>
      </c>
      <c r="G111" s="193">
        <f>'04 SKU Master'!$AN$105</f>
        <v/>
      </c>
      <c r="H111" s="150">
        <f>IF('04 SKU Master'!$AM$105="","",'04 SKU Master'!$AM$105)</f>
        <v/>
      </c>
      <c r="I111" s="204">
        <f>IF('04 SKU Master'!$AL$105="","",'04 SKU Master'!$AL$105)</f>
        <v/>
      </c>
      <c r="J111" s="152">
        <f>COUNTIF('06 Pasta Dough BOM'!$B$14:$B$206,$B111)+COUNTIF('07 Core Sauce BOM CK'!$B$14:$B$412,$B111)+COUNTIF('08 Seasonal Sauce BOM CK'!$B$14:$B$324,$B111)+COUNTIF('10 Core Menu BOM'!$E$5:$E$300,$B111)+COUNTIF('11 Seasonal Menu BOM'!$E$5:$E$365,$B111)</f>
        <v/>
      </c>
      <c r="K111" s="119" t="inlineStr">
        <is>
          <t>Medium</t>
        </is>
      </c>
      <c r="L111" s="140" t="n"/>
      <c r="M111" s="140" t="n"/>
      <c r="N111" s="141" t="n"/>
      <c r="O111" s="149" t="n"/>
    </row>
    <row r="112" ht="15" customHeight="1" s="106">
      <c r="A112" s="203">
        <f>IF($J112=0,"P5 NOT USED YET",IF($G112&gt;=3,"P5 DONE",IF($G112&gt;0,"P4 GET MORE QUOTES",IF($K112="High",IF($J112&gt;=3,"P1 CRITICAL","P2 HIGH"),IF($K112="Medium",IF($J112&gt;=3,"P2 HIGH","P3 NORMAL"),"P3 NORMAL")))))</f>
        <v/>
      </c>
      <c r="B112" s="134">
        <f>'04 SKU Master'!$A$106</f>
        <v/>
      </c>
      <c r="C112" s="138">
        <f>'04 SKU Master'!$B$106</f>
        <v/>
      </c>
      <c r="D112" s="113">
        <f>'04 SKU Master'!$C$106</f>
        <v/>
      </c>
      <c r="E112" s="164">
        <f>'04 SKU Master'!$D$106</f>
        <v/>
      </c>
      <c r="F112" s="116">
        <f>'04 SKU Master'!$F$106</f>
        <v/>
      </c>
      <c r="G112" s="193">
        <f>'04 SKU Master'!$AN$106</f>
        <v/>
      </c>
      <c r="H112" s="150">
        <f>IF('04 SKU Master'!$AM$106="","",'04 SKU Master'!$AM$106)</f>
        <v/>
      </c>
      <c r="I112" s="204">
        <f>IF('04 SKU Master'!$AL$106="","",'04 SKU Master'!$AL$106)</f>
        <v/>
      </c>
      <c r="J112" s="152">
        <f>COUNTIF('06 Pasta Dough BOM'!$B$14:$B$206,$B112)+COUNTIF('07 Core Sauce BOM CK'!$B$14:$B$412,$B112)+COUNTIF('08 Seasonal Sauce BOM CK'!$B$14:$B$324,$B112)+COUNTIF('10 Core Menu BOM'!$E$5:$E$300,$B112)+COUNTIF('11 Seasonal Menu BOM'!$E$5:$E$365,$B112)</f>
        <v/>
      </c>
      <c r="K112" s="119" t="inlineStr">
        <is>
          <t>Medium</t>
        </is>
      </c>
      <c r="L112" s="140" t="n"/>
      <c r="M112" s="140" t="n"/>
      <c r="N112" s="141" t="n"/>
      <c r="O112" s="149" t="n"/>
    </row>
    <row r="113" ht="15" customHeight="1" s="106">
      <c r="A113" s="203">
        <f>IF($J113=0,"P5 NOT USED YET",IF($G113&gt;=3,"P5 DONE",IF($G113&gt;0,"P4 GET MORE QUOTES",IF($K113="High",IF($J113&gt;=3,"P1 CRITICAL","P2 HIGH"),IF($K113="Medium",IF($J113&gt;=3,"P2 HIGH","P3 NORMAL"),"P3 NORMAL")))))</f>
        <v/>
      </c>
      <c r="B113" s="134">
        <f>'04 SKU Master'!$A$107</f>
        <v/>
      </c>
      <c r="C113" s="138">
        <f>'04 SKU Master'!$B$107</f>
        <v/>
      </c>
      <c r="D113" s="113">
        <f>'04 SKU Master'!$C$107</f>
        <v/>
      </c>
      <c r="E113" s="164">
        <f>'04 SKU Master'!$D$107</f>
        <v/>
      </c>
      <c r="F113" s="116">
        <f>'04 SKU Master'!$F$107</f>
        <v/>
      </c>
      <c r="G113" s="193">
        <f>'04 SKU Master'!$AN$107</f>
        <v/>
      </c>
      <c r="H113" s="150">
        <f>IF('04 SKU Master'!$AM$107="","",'04 SKU Master'!$AM$107)</f>
        <v/>
      </c>
      <c r="I113" s="204">
        <f>IF('04 SKU Master'!$AL$107="","",'04 SKU Master'!$AL$107)</f>
        <v/>
      </c>
      <c r="J113" s="152">
        <f>COUNTIF('06 Pasta Dough BOM'!$B$14:$B$206,$B113)+COUNTIF('07 Core Sauce BOM CK'!$B$14:$B$412,$B113)+COUNTIF('08 Seasonal Sauce BOM CK'!$B$14:$B$324,$B113)+COUNTIF('10 Core Menu BOM'!$E$5:$E$300,$B113)+COUNTIF('11 Seasonal Menu BOM'!$E$5:$E$365,$B113)</f>
        <v/>
      </c>
      <c r="K113" s="119" t="inlineStr">
        <is>
          <t>Medium</t>
        </is>
      </c>
      <c r="L113" s="140" t="n"/>
      <c r="M113" s="140" t="n"/>
      <c r="N113" s="141" t="n"/>
      <c r="O113" s="149" t="n"/>
    </row>
    <row r="114" ht="15" customHeight="1" s="106">
      <c r="A114" s="203">
        <f>IF($J114=0,"P5 NOT USED YET",IF($G114&gt;=3,"P5 DONE",IF($G114&gt;0,"P4 GET MORE QUOTES",IF($K114="High",IF($J114&gt;=3,"P1 CRITICAL","P2 HIGH"),IF($K114="Medium",IF($J114&gt;=3,"P2 HIGH","P3 NORMAL"),"P3 NORMAL")))))</f>
        <v/>
      </c>
      <c r="B114" s="134">
        <f>'04 SKU Master'!$A$108</f>
        <v/>
      </c>
      <c r="C114" s="138">
        <f>'04 SKU Master'!$B$108</f>
        <v/>
      </c>
      <c r="D114" s="113">
        <f>'04 SKU Master'!$C$108</f>
        <v/>
      </c>
      <c r="E114" s="164">
        <f>'04 SKU Master'!$D$108</f>
        <v/>
      </c>
      <c r="F114" s="116">
        <f>'04 SKU Master'!$F$108</f>
        <v/>
      </c>
      <c r="G114" s="193">
        <f>'04 SKU Master'!$AN$108</f>
        <v/>
      </c>
      <c r="H114" s="150">
        <f>IF('04 SKU Master'!$AM$108="","",'04 SKU Master'!$AM$108)</f>
        <v/>
      </c>
      <c r="I114" s="204">
        <f>IF('04 SKU Master'!$AL$108="","",'04 SKU Master'!$AL$108)</f>
        <v/>
      </c>
      <c r="J114" s="152">
        <f>COUNTIF('06 Pasta Dough BOM'!$B$14:$B$206,$B114)+COUNTIF('07 Core Sauce BOM CK'!$B$14:$B$412,$B114)+COUNTIF('08 Seasonal Sauce BOM CK'!$B$14:$B$324,$B114)+COUNTIF('10 Core Menu BOM'!$E$5:$E$300,$B114)+COUNTIF('11 Seasonal Menu BOM'!$E$5:$E$365,$B114)</f>
        <v/>
      </c>
      <c r="K114" s="119" t="inlineStr">
        <is>
          <t>Medium</t>
        </is>
      </c>
      <c r="L114" s="140" t="n"/>
      <c r="M114" s="140" t="n"/>
      <c r="N114" s="141" t="n"/>
      <c r="O114" s="149" t="n"/>
    </row>
    <row r="115" ht="15" customHeight="1" s="106">
      <c r="A115" s="203">
        <f>IF($J115=0,"P5 NOT USED YET",IF($G115&gt;=3,"P5 DONE",IF($G115&gt;0,"P4 GET MORE QUOTES",IF($K115="High",IF($J115&gt;=3,"P1 CRITICAL","P2 HIGH"),IF($K115="Medium",IF($J115&gt;=3,"P2 HIGH","P3 NORMAL"),"P3 NORMAL")))))</f>
        <v/>
      </c>
      <c r="B115" s="134">
        <f>'04 SKU Master'!$A$109</f>
        <v/>
      </c>
      <c r="C115" s="138">
        <f>'04 SKU Master'!$B$109</f>
        <v/>
      </c>
      <c r="D115" s="113">
        <f>'04 SKU Master'!$C$109</f>
        <v/>
      </c>
      <c r="E115" s="164">
        <f>'04 SKU Master'!$D$109</f>
        <v/>
      </c>
      <c r="F115" s="116">
        <f>'04 SKU Master'!$F$109</f>
        <v/>
      </c>
      <c r="G115" s="193">
        <f>'04 SKU Master'!$AN$109</f>
        <v/>
      </c>
      <c r="H115" s="150">
        <f>IF('04 SKU Master'!$AM$109="","",'04 SKU Master'!$AM$109)</f>
        <v/>
      </c>
      <c r="I115" s="204">
        <f>IF('04 SKU Master'!$AL$109="","",'04 SKU Master'!$AL$109)</f>
        <v/>
      </c>
      <c r="J115" s="152">
        <f>COUNTIF('06 Pasta Dough BOM'!$B$14:$B$206,$B115)+COUNTIF('07 Core Sauce BOM CK'!$B$14:$B$412,$B115)+COUNTIF('08 Seasonal Sauce BOM CK'!$B$14:$B$324,$B115)+COUNTIF('10 Core Menu BOM'!$E$5:$E$300,$B115)+COUNTIF('11 Seasonal Menu BOM'!$E$5:$E$365,$B115)</f>
        <v/>
      </c>
      <c r="K115" s="119" t="inlineStr">
        <is>
          <t>Medium</t>
        </is>
      </c>
      <c r="L115" s="140" t="n"/>
      <c r="M115" s="140" t="n"/>
      <c r="N115" s="141" t="n"/>
      <c r="O115" s="149" t="n"/>
    </row>
    <row r="116" ht="15" customHeight="1" s="106">
      <c r="A116" s="203">
        <f>IF($J116=0,"P5 NOT USED YET",IF($G116&gt;=3,"P5 DONE",IF($G116&gt;0,"P4 GET MORE QUOTES",IF($K116="High",IF($J116&gt;=3,"P1 CRITICAL","P2 HIGH"),IF($K116="Medium",IF($J116&gt;=3,"P2 HIGH","P3 NORMAL"),"P3 NORMAL")))))</f>
        <v/>
      </c>
      <c r="B116" s="134">
        <f>'04 SKU Master'!$A$110</f>
        <v/>
      </c>
      <c r="C116" s="138">
        <f>'04 SKU Master'!$B$110</f>
        <v/>
      </c>
      <c r="D116" s="113">
        <f>'04 SKU Master'!$C$110</f>
        <v/>
      </c>
      <c r="E116" s="164">
        <f>'04 SKU Master'!$D$110</f>
        <v/>
      </c>
      <c r="F116" s="116">
        <f>'04 SKU Master'!$F$110</f>
        <v/>
      </c>
      <c r="G116" s="193">
        <f>'04 SKU Master'!$AN$110</f>
        <v/>
      </c>
      <c r="H116" s="150">
        <f>IF('04 SKU Master'!$AM$110="","",'04 SKU Master'!$AM$110)</f>
        <v/>
      </c>
      <c r="I116" s="204">
        <f>IF('04 SKU Master'!$AL$110="","",'04 SKU Master'!$AL$110)</f>
        <v/>
      </c>
      <c r="J116" s="152">
        <f>COUNTIF('06 Pasta Dough BOM'!$B$14:$B$206,$B116)+COUNTIF('07 Core Sauce BOM CK'!$B$14:$B$412,$B116)+COUNTIF('08 Seasonal Sauce BOM CK'!$B$14:$B$324,$B116)+COUNTIF('10 Core Menu BOM'!$E$5:$E$300,$B116)+COUNTIF('11 Seasonal Menu BOM'!$E$5:$E$365,$B116)</f>
        <v/>
      </c>
      <c r="K116" s="119" t="inlineStr">
        <is>
          <t>Medium</t>
        </is>
      </c>
      <c r="L116" s="140" t="n"/>
      <c r="M116" s="140" t="n"/>
      <c r="N116" s="141" t="n"/>
      <c r="O116" s="149" t="n"/>
    </row>
    <row r="117" ht="15" customHeight="1" s="106">
      <c r="A117" s="203">
        <f>IF($J117=0,"P5 NOT USED YET",IF($G117&gt;=3,"P5 DONE",IF($G117&gt;0,"P4 GET MORE QUOTES",IF($K117="High",IF($J117&gt;=3,"P1 CRITICAL","P2 HIGH"),IF($K117="Medium",IF($J117&gt;=3,"P2 HIGH","P3 NORMAL"),"P3 NORMAL")))))</f>
        <v/>
      </c>
      <c r="B117" s="134">
        <f>'04 SKU Master'!$A$111</f>
        <v/>
      </c>
      <c r="C117" s="138">
        <f>'04 SKU Master'!$B$111</f>
        <v/>
      </c>
      <c r="D117" s="113">
        <f>'04 SKU Master'!$C$111</f>
        <v/>
      </c>
      <c r="E117" s="164">
        <f>'04 SKU Master'!$D$111</f>
        <v/>
      </c>
      <c r="F117" s="116">
        <f>'04 SKU Master'!$F$111</f>
        <v/>
      </c>
      <c r="G117" s="193">
        <f>'04 SKU Master'!$AN$111</f>
        <v/>
      </c>
      <c r="H117" s="150">
        <f>IF('04 SKU Master'!$AM$111="","",'04 SKU Master'!$AM$111)</f>
        <v/>
      </c>
      <c r="I117" s="204">
        <f>IF('04 SKU Master'!$AL$111="","",'04 SKU Master'!$AL$111)</f>
        <v/>
      </c>
      <c r="J117" s="152">
        <f>COUNTIF('06 Pasta Dough BOM'!$B$14:$B$206,$B117)+COUNTIF('07 Core Sauce BOM CK'!$B$14:$B$412,$B117)+COUNTIF('08 Seasonal Sauce BOM CK'!$B$14:$B$324,$B117)+COUNTIF('10 Core Menu BOM'!$E$5:$E$300,$B117)+COUNTIF('11 Seasonal Menu BOM'!$E$5:$E$365,$B117)</f>
        <v/>
      </c>
      <c r="K117" s="119" t="inlineStr">
        <is>
          <t>Medium</t>
        </is>
      </c>
      <c r="L117" s="140" t="n"/>
      <c r="M117" s="140" t="n"/>
      <c r="N117" s="141" t="n"/>
      <c r="O117" s="149" t="n"/>
    </row>
    <row r="118" ht="19.4" customHeight="1" s="106">
      <c r="A118" s="203">
        <f>IF($J118=0,"P5 NOT USED YET",IF($G118&gt;=3,"P5 DONE",IF($G118&gt;0,"P4 GET MORE QUOTES",IF($K118="High",IF($J118&gt;=3,"P1 CRITICAL","P2 HIGH"),IF($K118="Medium",IF($J118&gt;=3,"P2 HIGH","P3 NORMAL"),"P3 NORMAL")))))</f>
        <v/>
      </c>
      <c r="B118" s="134">
        <f>'04 SKU Master'!$A$112</f>
        <v/>
      </c>
      <c r="C118" s="138">
        <f>'04 SKU Master'!$B$112</f>
        <v/>
      </c>
      <c r="D118" s="113">
        <f>'04 SKU Master'!$C$112</f>
        <v/>
      </c>
      <c r="E118" s="164">
        <f>'04 SKU Master'!$D$112</f>
        <v/>
      </c>
      <c r="F118" s="116">
        <f>'04 SKU Master'!$F$112</f>
        <v/>
      </c>
      <c r="G118" s="193">
        <f>'04 SKU Master'!$AN$112</f>
        <v/>
      </c>
      <c r="H118" s="150">
        <f>IF('04 SKU Master'!$AM$112="","",'04 SKU Master'!$AM$112)</f>
        <v/>
      </c>
      <c r="I118" s="204">
        <f>IF('04 SKU Master'!$AL$112="","",'04 SKU Master'!$AL$112)</f>
        <v/>
      </c>
      <c r="J118" s="152">
        <f>COUNTIF('06 Pasta Dough BOM'!$B$14:$B$206,$B118)+COUNTIF('07 Core Sauce BOM CK'!$B$14:$B$412,$B118)+COUNTIF('08 Seasonal Sauce BOM CK'!$B$14:$B$324,$B118)+COUNTIF('10 Core Menu BOM'!$E$5:$E$300,$B118)+COUNTIF('11 Seasonal Menu BOM'!$E$5:$E$365,$B118)</f>
        <v/>
      </c>
      <c r="K118" s="119" t="inlineStr">
        <is>
          <t>Medium</t>
        </is>
      </c>
      <c r="L118" s="140" t="n"/>
      <c r="M118" s="140" t="n"/>
      <c r="N118" s="141" t="n"/>
      <c r="O118" s="149" t="n"/>
    </row>
    <row r="119" ht="15" customHeight="1" s="106">
      <c r="A119" s="203">
        <f>IF($J119=0,"P5 NOT USED YET",IF($G119&gt;=3,"P5 DONE",IF($G119&gt;0,"P4 GET MORE QUOTES",IF($K119="High",IF($J119&gt;=3,"P1 CRITICAL","P2 HIGH"),IF($K119="Medium",IF($J119&gt;=3,"P2 HIGH","P3 NORMAL"),"P3 NORMAL")))))</f>
        <v/>
      </c>
      <c r="B119" s="134">
        <f>'04 SKU Master'!$A$113</f>
        <v/>
      </c>
      <c r="C119" s="138">
        <f>'04 SKU Master'!$B$113</f>
        <v/>
      </c>
      <c r="D119" s="113">
        <f>'04 SKU Master'!$C$113</f>
        <v/>
      </c>
      <c r="E119" s="164">
        <f>'04 SKU Master'!$D$113</f>
        <v/>
      </c>
      <c r="F119" s="116">
        <f>'04 SKU Master'!$F$113</f>
        <v/>
      </c>
      <c r="G119" s="193">
        <f>'04 SKU Master'!$AN$113</f>
        <v/>
      </c>
      <c r="H119" s="150">
        <f>IF('04 SKU Master'!$AM$113="","",'04 SKU Master'!$AM$113)</f>
        <v/>
      </c>
      <c r="I119" s="204">
        <f>IF('04 SKU Master'!$AL$113="","",'04 SKU Master'!$AL$113)</f>
        <v/>
      </c>
      <c r="J119" s="152">
        <f>COUNTIF('06 Pasta Dough BOM'!$B$14:$B$206,$B119)+COUNTIF('07 Core Sauce BOM CK'!$B$14:$B$412,$B119)+COUNTIF('08 Seasonal Sauce BOM CK'!$B$14:$B$324,$B119)+COUNTIF('10 Core Menu BOM'!$E$5:$E$300,$B119)+COUNTIF('11 Seasonal Menu BOM'!$E$5:$E$365,$B119)</f>
        <v/>
      </c>
      <c r="K119" s="119" t="inlineStr">
        <is>
          <t>Medium</t>
        </is>
      </c>
      <c r="L119" s="140" t="n"/>
      <c r="M119" s="140" t="n"/>
      <c r="N119" s="141" t="n"/>
      <c r="O119" s="149" t="n"/>
    </row>
    <row r="120" ht="15" customHeight="1" s="106">
      <c r="A120" s="203">
        <f>IF($J120=0,"P5 NOT USED YET",IF($G120&gt;=3,"P5 DONE",IF($G120&gt;0,"P4 GET MORE QUOTES",IF($K120="High",IF($J120&gt;=3,"P1 CRITICAL","P2 HIGH"),IF($K120="Medium",IF($J120&gt;=3,"P2 HIGH","P3 NORMAL"),"P3 NORMAL")))))</f>
        <v/>
      </c>
      <c r="B120" s="134">
        <f>'04 SKU Master'!$A$114</f>
        <v/>
      </c>
      <c r="C120" s="138">
        <f>'04 SKU Master'!$B$114</f>
        <v/>
      </c>
      <c r="D120" s="113">
        <f>'04 SKU Master'!$C$114</f>
        <v/>
      </c>
      <c r="E120" s="164">
        <f>'04 SKU Master'!$D$114</f>
        <v/>
      </c>
      <c r="F120" s="116">
        <f>'04 SKU Master'!$F$114</f>
        <v/>
      </c>
      <c r="G120" s="193">
        <f>'04 SKU Master'!$AN$114</f>
        <v/>
      </c>
      <c r="H120" s="150">
        <f>IF('04 SKU Master'!$AM$114="","",'04 SKU Master'!$AM$114)</f>
        <v/>
      </c>
      <c r="I120" s="204">
        <f>IF('04 SKU Master'!$AL$114="","",'04 SKU Master'!$AL$114)</f>
        <v/>
      </c>
      <c r="J120" s="152">
        <f>COUNTIF('06 Pasta Dough BOM'!$B$14:$B$206,$B120)+COUNTIF('07 Core Sauce BOM CK'!$B$14:$B$412,$B120)+COUNTIF('08 Seasonal Sauce BOM CK'!$B$14:$B$324,$B120)+COUNTIF('10 Core Menu BOM'!$E$5:$E$300,$B120)+COUNTIF('11 Seasonal Menu BOM'!$E$5:$E$365,$B120)</f>
        <v/>
      </c>
      <c r="K120" s="119" t="inlineStr">
        <is>
          <t>Medium</t>
        </is>
      </c>
      <c r="L120" s="140" t="n"/>
      <c r="M120" s="140" t="n"/>
      <c r="N120" s="141" t="n"/>
      <c r="O120" s="149" t="n"/>
    </row>
    <row r="121" ht="15" customHeight="1" s="106">
      <c r="A121" s="203">
        <f>IF($J121=0,"P5 NOT USED YET",IF($G121&gt;=3,"P5 DONE",IF($G121&gt;0,"P4 GET MORE QUOTES",IF($K121="High",IF($J121&gt;=3,"P1 CRITICAL","P2 HIGH"),IF($K121="Medium",IF($J121&gt;=3,"P2 HIGH","P3 NORMAL"),"P3 NORMAL")))))</f>
        <v/>
      </c>
      <c r="B121" s="134">
        <f>'04 SKU Master'!$A$115</f>
        <v/>
      </c>
      <c r="C121" s="138">
        <f>'04 SKU Master'!$B$115</f>
        <v/>
      </c>
      <c r="D121" s="113">
        <f>'04 SKU Master'!$C$115</f>
        <v/>
      </c>
      <c r="E121" s="164">
        <f>'04 SKU Master'!$D$115</f>
        <v/>
      </c>
      <c r="F121" s="116">
        <f>'04 SKU Master'!$F$115</f>
        <v/>
      </c>
      <c r="G121" s="193">
        <f>'04 SKU Master'!$AN$115</f>
        <v/>
      </c>
      <c r="H121" s="150">
        <f>IF('04 SKU Master'!$AM$115="","",'04 SKU Master'!$AM$115)</f>
        <v/>
      </c>
      <c r="I121" s="204">
        <f>IF('04 SKU Master'!$AL$115="","",'04 SKU Master'!$AL$115)</f>
        <v/>
      </c>
      <c r="J121" s="152">
        <f>COUNTIF('06 Pasta Dough BOM'!$B$14:$B$206,$B121)+COUNTIF('07 Core Sauce BOM CK'!$B$14:$B$412,$B121)+COUNTIF('08 Seasonal Sauce BOM CK'!$B$14:$B$324,$B121)+COUNTIF('10 Core Menu BOM'!$E$5:$E$300,$B121)+COUNTIF('11 Seasonal Menu BOM'!$E$5:$E$365,$B121)</f>
        <v/>
      </c>
      <c r="K121" s="119" t="inlineStr">
        <is>
          <t>Medium</t>
        </is>
      </c>
      <c r="L121" s="140" t="n"/>
      <c r="M121" s="140" t="n"/>
      <c r="N121" s="141" t="n"/>
      <c r="O121" s="149" t="n"/>
    </row>
    <row r="122" ht="15" customHeight="1" s="106">
      <c r="A122" s="203">
        <f>IF($J122=0,"P5 NOT USED YET",IF($G122&gt;=3,"P5 DONE",IF($G122&gt;0,"P4 GET MORE QUOTES",IF($K122="High",IF($J122&gt;=3,"P1 CRITICAL","P2 HIGH"),IF($K122="Medium",IF($J122&gt;=3,"P2 HIGH","P3 NORMAL"),"P3 NORMAL")))))</f>
        <v/>
      </c>
      <c r="B122" s="134">
        <f>'04 SKU Master'!$A$116</f>
        <v/>
      </c>
      <c r="C122" s="138">
        <f>'04 SKU Master'!$B$116</f>
        <v/>
      </c>
      <c r="D122" s="113">
        <f>'04 SKU Master'!$C$116</f>
        <v/>
      </c>
      <c r="E122" s="164">
        <f>'04 SKU Master'!$D$116</f>
        <v/>
      </c>
      <c r="F122" s="116">
        <f>'04 SKU Master'!$F$116</f>
        <v/>
      </c>
      <c r="G122" s="193">
        <f>'04 SKU Master'!$AN$116</f>
        <v/>
      </c>
      <c r="H122" s="150">
        <f>IF('04 SKU Master'!$AM$116="","",'04 SKU Master'!$AM$116)</f>
        <v/>
      </c>
      <c r="I122" s="204">
        <f>IF('04 SKU Master'!$AL$116="","",'04 SKU Master'!$AL$116)</f>
        <v/>
      </c>
      <c r="J122" s="152">
        <f>COUNTIF('06 Pasta Dough BOM'!$B$14:$B$206,$B122)+COUNTIF('07 Core Sauce BOM CK'!$B$14:$B$412,$B122)+COUNTIF('08 Seasonal Sauce BOM CK'!$B$14:$B$324,$B122)+COUNTIF('10 Core Menu BOM'!$E$5:$E$300,$B122)+COUNTIF('11 Seasonal Menu BOM'!$E$5:$E$365,$B122)</f>
        <v/>
      </c>
      <c r="K122" s="119" t="inlineStr">
        <is>
          <t>Medium</t>
        </is>
      </c>
      <c r="L122" s="140" t="n"/>
      <c r="M122" s="140" t="n"/>
      <c r="N122" s="141" t="n"/>
      <c r="O122" s="149" t="n"/>
    </row>
    <row r="123" ht="15" customHeight="1" s="106">
      <c r="A123" s="203">
        <f>IF($J123=0,"P5 NOT USED YET",IF($G123&gt;=3,"P5 DONE",IF($G123&gt;0,"P4 GET MORE QUOTES",IF($K123="High",IF($J123&gt;=3,"P1 CRITICAL","P2 HIGH"),IF($K123="Medium",IF($J123&gt;=3,"P2 HIGH","P3 NORMAL"),"P3 NORMAL")))))</f>
        <v/>
      </c>
      <c r="B123" s="134">
        <f>'04 SKU Master'!$A$117</f>
        <v/>
      </c>
      <c r="C123" s="138">
        <f>'04 SKU Master'!$B$117</f>
        <v/>
      </c>
      <c r="D123" s="113">
        <f>'04 SKU Master'!$C$117</f>
        <v/>
      </c>
      <c r="E123" s="164">
        <f>'04 SKU Master'!$D$117</f>
        <v/>
      </c>
      <c r="F123" s="116">
        <f>'04 SKU Master'!$F$117</f>
        <v/>
      </c>
      <c r="G123" s="193">
        <f>'04 SKU Master'!$AN$117</f>
        <v/>
      </c>
      <c r="H123" s="150">
        <f>IF('04 SKU Master'!$AM$117="","",'04 SKU Master'!$AM$117)</f>
        <v/>
      </c>
      <c r="I123" s="204">
        <f>IF('04 SKU Master'!$AL$117="","",'04 SKU Master'!$AL$117)</f>
        <v/>
      </c>
      <c r="J123" s="152">
        <f>COUNTIF('06 Pasta Dough BOM'!$B$14:$B$206,$B123)+COUNTIF('07 Core Sauce BOM CK'!$B$14:$B$412,$B123)+COUNTIF('08 Seasonal Sauce BOM CK'!$B$14:$B$324,$B123)+COUNTIF('10 Core Menu BOM'!$E$5:$E$300,$B123)+COUNTIF('11 Seasonal Menu BOM'!$E$5:$E$365,$B123)</f>
        <v/>
      </c>
      <c r="K123" s="119" t="inlineStr">
        <is>
          <t>Medium</t>
        </is>
      </c>
      <c r="L123" s="140" t="n"/>
      <c r="M123" s="140" t="n"/>
      <c r="N123" s="141" t="n"/>
      <c r="O123" s="149" t="n"/>
    </row>
    <row r="124" ht="15" customHeight="1" s="106">
      <c r="A124" s="203">
        <f>IF($J124=0,"P5 NOT USED YET",IF($G124&gt;=3,"P5 DONE",IF($G124&gt;0,"P4 GET MORE QUOTES",IF($K124="High",IF($J124&gt;=3,"P1 CRITICAL","P2 HIGH"),IF($K124="Medium",IF($J124&gt;=3,"P2 HIGH","P3 NORMAL"),"P3 NORMAL")))))</f>
        <v/>
      </c>
      <c r="B124" s="134">
        <f>'04 SKU Master'!$A$118</f>
        <v/>
      </c>
      <c r="C124" s="138">
        <f>'04 SKU Master'!$B$118</f>
        <v/>
      </c>
      <c r="D124" s="113">
        <f>'04 SKU Master'!$C$118</f>
        <v/>
      </c>
      <c r="E124" s="164">
        <f>'04 SKU Master'!$D$118</f>
        <v/>
      </c>
      <c r="F124" s="116">
        <f>'04 SKU Master'!$F$118</f>
        <v/>
      </c>
      <c r="G124" s="193">
        <f>'04 SKU Master'!$AN$118</f>
        <v/>
      </c>
      <c r="H124" s="150">
        <f>IF('04 SKU Master'!$AM$118="","",'04 SKU Master'!$AM$118)</f>
        <v/>
      </c>
      <c r="I124" s="204">
        <f>IF('04 SKU Master'!$AL$118="","",'04 SKU Master'!$AL$118)</f>
        <v/>
      </c>
      <c r="J124" s="152">
        <f>COUNTIF('06 Pasta Dough BOM'!$B$14:$B$206,$B124)+COUNTIF('07 Core Sauce BOM CK'!$B$14:$B$412,$B124)+COUNTIF('08 Seasonal Sauce BOM CK'!$B$14:$B$324,$B124)+COUNTIF('10 Core Menu BOM'!$E$5:$E$300,$B124)+COUNTIF('11 Seasonal Menu BOM'!$E$5:$E$365,$B124)</f>
        <v/>
      </c>
      <c r="K124" s="119" t="inlineStr">
        <is>
          <t>Medium</t>
        </is>
      </c>
      <c r="L124" s="140" t="n"/>
      <c r="M124" s="140" t="n"/>
      <c r="N124" s="141" t="n"/>
      <c r="O124" s="149" t="n"/>
    </row>
    <row r="125" ht="15" customHeight="1" s="106">
      <c r="A125" s="203">
        <f>IF($J125=0,"P5 NOT USED YET",IF($G125&gt;=3,"P5 DONE",IF($G125&gt;0,"P4 GET MORE QUOTES",IF($K125="High",IF($J125&gt;=3,"P1 CRITICAL","P2 HIGH"),IF($K125="Medium",IF($J125&gt;=3,"P2 HIGH","P3 NORMAL"),"P3 NORMAL")))))</f>
        <v/>
      </c>
      <c r="B125" s="134">
        <f>'04 SKU Master'!$A$119</f>
        <v/>
      </c>
      <c r="C125" s="138">
        <f>'04 SKU Master'!$B$119</f>
        <v/>
      </c>
      <c r="D125" s="113">
        <f>'04 SKU Master'!$C$119</f>
        <v/>
      </c>
      <c r="E125" s="164">
        <f>'04 SKU Master'!$D$119</f>
        <v/>
      </c>
      <c r="F125" s="116">
        <f>'04 SKU Master'!$F$119</f>
        <v/>
      </c>
      <c r="G125" s="193">
        <f>'04 SKU Master'!$AN$119</f>
        <v/>
      </c>
      <c r="H125" s="150">
        <f>IF('04 SKU Master'!$AM$119="","",'04 SKU Master'!$AM$119)</f>
        <v/>
      </c>
      <c r="I125" s="204">
        <f>IF('04 SKU Master'!$AL$119="","",'04 SKU Master'!$AL$119)</f>
        <v/>
      </c>
      <c r="J125" s="152">
        <f>COUNTIF('06 Pasta Dough BOM'!$B$14:$B$206,$B125)+COUNTIF('07 Core Sauce BOM CK'!$B$14:$B$412,$B125)+COUNTIF('08 Seasonal Sauce BOM CK'!$B$14:$B$324,$B125)+COUNTIF('10 Core Menu BOM'!$E$5:$E$300,$B125)+COUNTIF('11 Seasonal Menu BOM'!$E$5:$E$365,$B125)</f>
        <v/>
      </c>
      <c r="K125" s="119" t="inlineStr">
        <is>
          <t>Medium</t>
        </is>
      </c>
      <c r="L125" s="140" t="n"/>
      <c r="M125" s="140" t="n"/>
      <c r="N125" s="141" t="n"/>
      <c r="O125" s="149" t="n"/>
    </row>
    <row r="126" ht="15" customHeight="1" s="106">
      <c r="A126" s="203">
        <f>IF($J126=0,"P5 NOT USED YET",IF($G126&gt;=3,"P5 DONE",IF($G126&gt;0,"P4 GET MORE QUOTES",IF($K126="High",IF($J126&gt;=3,"P1 CRITICAL","P2 HIGH"),IF($K126="Medium",IF($J126&gt;=3,"P2 HIGH","P3 NORMAL"),"P3 NORMAL")))))</f>
        <v/>
      </c>
      <c r="B126" s="134">
        <f>'04 SKU Master'!$A$120</f>
        <v/>
      </c>
      <c r="C126" s="138">
        <f>'04 SKU Master'!$B$120</f>
        <v/>
      </c>
      <c r="D126" s="113">
        <f>'04 SKU Master'!$C$120</f>
        <v/>
      </c>
      <c r="E126" s="164">
        <f>'04 SKU Master'!$D$120</f>
        <v/>
      </c>
      <c r="F126" s="116">
        <f>'04 SKU Master'!$F$120</f>
        <v/>
      </c>
      <c r="G126" s="193">
        <f>'04 SKU Master'!$AN$120</f>
        <v/>
      </c>
      <c r="H126" s="150">
        <f>IF('04 SKU Master'!$AM$120="","",'04 SKU Master'!$AM$120)</f>
        <v/>
      </c>
      <c r="I126" s="204">
        <f>IF('04 SKU Master'!$AL$120="","",'04 SKU Master'!$AL$120)</f>
        <v/>
      </c>
      <c r="J126" s="152">
        <f>COUNTIF('06 Pasta Dough BOM'!$B$14:$B$206,$B126)+COUNTIF('07 Core Sauce BOM CK'!$B$14:$B$412,$B126)+COUNTIF('08 Seasonal Sauce BOM CK'!$B$14:$B$324,$B126)+COUNTIF('10 Core Menu BOM'!$E$5:$E$300,$B126)+COUNTIF('11 Seasonal Menu BOM'!$E$5:$E$365,$B126)</f>
        <v/>
      </c>
      <c r="K126" s="119" t="inlineStr">
        <is>
          <t>Medium</t>
        </is>
      </c>
      <c r="L126" s="140" t="n"/>
      <c r="M126" s="140" t="n"/>
      <c r="N126" s="141" t="n"/>
      <c r="O126" s="149" t="n"/>
    </row>
    <row r="128" ht="19.4" customHeight="1" s="106">
      <c r="A128" s="135" t="inlineStr">
        <is>
          <t>How priority is worked out: 'Used in (recipes)' counts every dough, sauce and menu line that needs this ingredient. COST IMPACT is a judgement call on which ingredients actually move a plate cost - flours, proteins, cheeses and the mushroom powders are High; salt, sugar and water are Low. It is an editable column, so override it where you disagree. No quote + High impact + used in 3 or more recipes = P1 CRITICAL. P4 means you have a price but fewer than three, so you have no negotiating position. P5 DONE means three or more quotes are in. Filter column A to P1 and hand that list out first.</t>
        </is>
      </c>
    </row>
  </sheetData>
  <sheetProtection selectLockedCells="0" selectUnlockedCells="0" sheet="1" objects="0" insertRows="1" insertHyperlinks="1" autoFilter="0" scenarios="0" formatColumns="0" deleteColumns="1" insertColumns="1" pivotTables="1" deleteRows="1" formatCells="0" formatRows="0" sort="0"/>
  <autoFilter ref="A10:O126"/>
  <mergeCells count="6">
    <mergeCell ref="A7:O7"/>
    <mergeCell ref="A2:N2"/>
    <mergeCell ref="A128:N128"/>
    <mergeCell ref="A9:O9"/>
    <mergeCell ref="A4:O4"/>
    <mergeCell ref="A1:N1"/>
  </mergeCells>
  <conditionalFormatting sqref="A11:A126">
    <cfRule type="expression" rank="0" priority="2" equalAverage="0" aboveAverage="0" dxfId="12" text="" percent="0" bottom="0">
      <formula>($A11&gt;="P1")*($A11&lt;"P2")</formula>
    </cfRule>
    <cfRule type="expression" rank="0" priority="3" equalAverage="0" aboveAverage="0" dxfId="13" text="" percent="0" bottom="0">
      <formula>($A11&gt;="P2")*($A11&lt;"P3")</formula>
    </cfRule>
    <cfRule type="expression" rank="0" priority="4" equalAverage="0" aboveAverage="0" dxfId="14" text="" percent="0" bottom="0">
      <formula>($A11&gt;="P5")*($A11&lt;"P6")</formula>
    </cfRule>
  </conditionalFormatting>
  <dataValidations count="4">
    <dataValidation sqref="K11:K126" showDropDown="0" showInputMessage="0" showErrorMessage="1" allowBlank="0" type="list" errorStyle="stop" operator="between">
      <formula1>"High,Medium,Low"</formula1>
      <formula2>0</formula2>
    </dataValidation>
    <dataValidation sqref="L11:L126" showDropDown="0" showInputMessage="0" showErrorMessage="0" allowBlank="1" type="list" errorStyle="stop" operator="between">
      <formula1>$Q$5:$Q$7</formula1>
      <formula2>0</formula2>
    </dataValidation>
    <dataValidation sqref="M11:M126" showDropDown="0" showInputMessage="0" showErrorMessage="0" allowBlank="1" type="list" errorStyle="stop" operator="between">
      <formula1>$R$5:$R$34</formula1>
      <formula2>0</formula2>
    </dataValidation>
    <dataValidation sqref="N11:N126" showDropDown="0" showInputMessage="0" showErrorMessage="0" allowBlank="1" type="list" errorStyle="stop" operator="between">
      <formula1>$S$5:$S$10</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M49"/>
  <sheetViews>
    <sheetView showFormulas="0" showGridLines="0"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cols>
    <col width="22" customWidth="1" style="105" min="1" max="1"/>
    <col width="34" customWidth="1" style="105" min="2" max="2"/>
    <col width="16" customWidth="1" style="105" min="3" max="3"/>
    <col width="18" customWidth="1" style="105" min="4" max="4"/>
    <col width="16" customWidth="1" style="105" min="5" max="5"/>
    <col width="13" customWidth="1" style="105" min="6" max="6"/>
    <col width="16" customWidth="1" style="105" min="7" max="7"/>
    <col width="13" customWidth="1" style="105" min="8" max="8"/>
    <col width="14" customWidth="1" style="105" min="9" max="9"/>
    <col width="15" customWidth="1" style="105" min="10" max="11"/>
    <col width="16" customWidth="1" style="105" min="12" max="12"/>
    <col width="46" customWidth="1" style="105" min="13" max="13"/>
  </cols>
  <sheetData>
    <row r="1" ht="30" customHeight="1" s="106">
      <c r="A1" s="107" t="inlineStr">
        <is>
          <t>MENU PRICE REFERENCE  -  SET B ADOPTED (6 Sep 2026).  SET A KEPT AS THE STEP-UP.</t>
        </is>
      </c>
    </row>
    <row r="2" ht="18" customHeight="1" s="106">
      <c r="A2" s="108" t="inlineStr">
        <is>
          <t>DECISION CLOSED: Set B, the Menu Concepts pack 01/05/06, is the print set and is now pre-loaded into Approved Sell on 12 Final Menu. Set A (the TV kiosk boards) stays on this tab as the pre-agreed step-up if landed costs come in at the top of the band - it is R6 to R14 dearer on eight of the nine. This tab keeps both against the model's live cost so the gap stays visible. Sources: TV kiosk boards (Kiosk-Menu-Spec.md, 2 Sep 2026) and the Menu Concepts pack 01/05/06 (2 Sep 2026).</t>
        </is>
      </c>
    </row>
    <row r="4" ht="48" customHeight="1" s="106">
      <c r="A4" s="112" t="inlineStr">
        <is>
          <t>Menu SKU</t>
        </is>
      </c>
      <c r="B4" s="112" t="inlineStr">
        <is>
          <t>Menu Item</t>
        </is>
      </c>
      <c r="C4" s="112" t="inlineStr">
        <is>
          <t>Model Direct
Cost</t>
        </is>
      </c>
      <c r="D4" s="112" t="inlineStr">
        <is>
          <t>Model Recommended
Sell (incl VAT)</t>
        </is>
      </c>
      <c r="E4" s="112" t="inlineStr">
        <is>
          <t>SET A
TV Kiosk Board</t>
        </is>
      </c>
      <c r="F4" s="112" t="inlineStr">
        <is>
          <t>GP% at
Set A</t>
        </is>
      </c>
      <c r="G4" s="112" t="inlineStr">
        <is>
          <t>SET B - ADOPTED
Menu Concepts</t>
        </is>
      </c>
      <c r="H4" s="112" t="inlineStr">
        <is>
          <t>GP% at
Set B</t>
        </is>
      </c>
      <c r="I4" s="112" t="inlineStr">
        <is>
          <t>A vs B
Gap</t>
        </is>
      </c>
      <c r="J4" s="112" t="inlineStr">
        <is>
          <t>A vs Model</t>
        </is>
      </c>
      <c r="K4" s="112" t="inlineStr">
        <is>
          <t>B vs Model</t>
        </is>
      </c>
      <c r="L4" s="112" t="inlineStr">
        <is>
          <t>ADOPTED PRICE
(on 12 Final Menu)</t>
        </is>
      </c>
      <c r="M4" s="112" t="inlineStr">
        <is>
          <t>Read</t>
        </is>
      </c>
    </row>
    <row r="5" ht="15" customHeight="1" s="106">
      <c r="A5" s="134" t="inlineStr">
        <is>
          <t>PP-PASTA-RIG-BOL</t>
        </is>
      </c>
      <c r="B5" s="113" t="inlineStr">
        <is>
          <t>Papa's Bolognese</t>
        </is>
      </c>
      <c r="C5" s="150">
        <f>IFERROR(INDEX('12 Final Menu'!$J$5:$J$200,MATCH($A5,'12 Final Menu'!$A$5:$A$200,0)),"")</f>
        <v/>
      </c>
      <c r="D5" s="150">
        <f>IFERROR(INDEX('12 Final Menu'!$O$5:$O$200,MATCH($A5,'12 Final Menu'!$A$5:$A$200,0)),"")</f>
        <v/>
      </c>
      <c r="E5" s="148" t="n">
        <v>95</v>
      </c>
      <c r="F5" s="182">
        <f>IF(OR($E5="",$C5=""),"",($E5/(1+'01 Control'!$C$6)-$C5)/($E5/(1+'01 Control'!$C$6)))</f>
        <v/>
      </c>
      <c r="G5" s="148" t="n">
        <v>85</v>
      </c>
      <c r="H5" s="182">
        <f>IF(OR($G5="",$C5=""),"",($G5/(1+'01 Control'!$C$6)-$C5)/($G5/(1+'01 Control'!$C$6)))</f>
        <v/>
      </c>
      <c r="I5" s="150">
        <f>IF(OR($E5="",$G5=""),"",$E5-$G5)</f>
        <v/>
      </c>
      <c r="J5" s="150">
        <f>IF(OR($E5="",$D5=""),"",$E5-$D5)</f>
        <v/>
      </c>
      <c r="K5" s="150">
        <f>IF(OR($G5="",$D5=""),"",$G5-$D5)</f>
        <v/>
      </c>
      <c r="L5" s="151">
        <f>IFERROR(INDEX('12 Final Menu'!$Q$5:$Q$200,MATCH($A5,'12 Final Menu'!$A$5:$A$200,0)),"")</f>
        <v/>
      </c>
      <c r="M5" s="161">
        <f>IF($C5="","Waiting on supplier quotes",IF(AND($H5&lt;&gt;"",$H5&lt;'01 Control'!$C$17-0.05),"ADOPTED Set B price is under the GP target - use the Set A step-up",IF(AND($F5&lt;&gt;"",$F5&lt;'01 Control'!$C$17-0.05),"Set B clears, Set A does not","Both sets clear the GP target")))</f>
        <v/>
      </c>
    </row>
    <row r="6" ht="15" customHeight="1" s="106">
      <c r="A6" s="134" t="inlineStr">
        <is>
          <t>PP-PASTA-SPA-CAR</t>
        </is>
      </c>
      <c r="B6" s="113" t="inlineStr">
        <is>
          <t>The Carbonara</t>
        </is>
      </c>
      <c r="C6" s="150">
        <f>IFERROR(INDEX('12 Final Menu'!$J$5:$J$200,MATCH($A6,'12 Final Menu'!$A$5:$A$200,0)),"")</f>
        <v/>
      </c>
      <c r="D6" s="150">
        <f>IFERROR(INDEX('12 Final Menu'!$O$5:$O$200,MATCH($A6,'12 Final Menu'!$A$5:$A$200,0)),"")</f>
        <v/>
      </c>
      <c r="E6" s="148" t="n">
        <v>105</v>
      </c>
      <c r="F6" s="182">
        <f>IF(OR($E6="",$C6=""),"",($E6/(1+'01 Control'!$C$6)-$C6)/($E6/(1+'01 Control'!$C$6)))</f>
        <v/>
      </c>
      <c r="G6" s="148" t="n">
        <v>99</v>
      </c>
      <c r="H6" s="182">
        <f>IF(OR($G6="",$C6=""),"",($G6/(1+'01 Control'!$C$6)-$C6)/($G6/(1+'01 Control'!$C$6)))</f>
        <v/>
      </c>
      <c r="I6" s="150">
        <f>IF(OR($E6="",$G6=""),"",$E6-$G6)</f>
        <v/>
      </c>
      <c r="J6" s="150">
        <f>IF(OR($E6="",$D6=""),"",$E6-$D6)</f>
        <v/>
      </c>
      <c r="K6" s="150">
        <f>IF(OR($G6="",$D6=""),"",$G6-$D6)</f>
        <v/>
      </c>
      <c r="L6" s="151">
        <f>IFERROR(INDEX('12 Final Menu'!$Q$5:$Q$200,MATCH($A6,'12 Final Menu'!$A$5:$A$200,0)),"")</f>
        <v/>
      </c>
      <c r="M6" s="161">
        <f>IF($C6="","Waiting on supplier quotes",IF(AND($H6&lt;&gt;"",$H6&lt;'01 Control'!$C$17-0.05),"ADOPTED Set B price is under the GP target - use the Set A step-up",IF(AND($F6&lt;&gt;"",$F6&lt;'01 Control'!$C$17-0.05),"Set B clears, Set A does not","Both sets clear the GP target")))</f>
        <v/>
      </c>
    </row>
    <row r="7" ht="15" customHeight="1" s="106">
      <c r="A7" s="134" t="inlineStr">
        <is>
          <t>PP-PASTA-SPA-NAP</t>
        </is>
      </c>
      <c r="B7" s="113" t="inlineStr">
        <is>
          <t>Napoletana</t>
        </is>
      </c>
      <c r="C7" s="150">
        <f>IFERROR(INDEX('12 Final Menu'!$J$5:$J$200,MATCH($A7,'12 Final Menu'!$A$5:$A$200,0)),"")</f>
        <v/>
      </c>
      <c r="D7" s="150">
        <f>IFERROR(INDEX('12 Final Menu'!$O$5:$O$200,MATCH($A7,'12 Final Menu'!$A$5:$A$200,0)),"")</f>
        <v/>
      </c>
      <c r="E7" s="148" t="n">
        <v>79</v>
      </c>
      <c r="F7" s="182">
        <f>IF(OR($E7="",$C7=""),"",($E7/(1+'01 Control'!$C$6)-$C7)/($E7/(1+'01 Control'!$C$6)))</f>
        <v/>
      </c>
      <c r="G7" s="148" t="n">
        <v>65</v>
      </c>
      <c r="H7" s="182">
        <f>IF(OR($G7="",$C7=""),"",($G7/(1+'01 Control'!$C$6)-$C7)/($G7/(1+'01 Control'!$C$6)))</f>
        <v/>
      </c>
      <c r="I7" s="150">
        <f>IF(OR($E7="",$G7=""),"",$E7-$G7)</f>
        <v/>
      </c>
      <c r="J7" s="150">
        <f>IF(OR($E7="",$D7=""),"",$E7-$D7)</f>
        <v/>
      </c>
      <c r="K7" s="150">
        <f>IF(OR($G7="",$D7=""),"",$G7-$D7)</f>
        <v/>
      </c>
      <c r="L7" s="151">
        <f>IFERROR(INDEX('12 Final Menu'!$Q$5:$Q$200,MATCH($A7,'12 Final Menu'!$A$5:$A$200,0)),"")</f>
        <v/>
      </c>
      <c r="M7" s="161">
        <f>IF($C7="","Waiting on supplier quotes",IF(AND($H7&lt;&gt;"",$H7&lt;'01 Control'!$C$17-0.05),"ADOPTED Set B price is under the GP target - use the Set A step-up",IF(AND($F7&lt;&gt;"",$F7&lt;'01 Control'!$C$17-0.05),"Set B clears, Set A does not","Both sets clear the GP target")))</f>
        <v/>
      </c>
    </row>
    <row r="8" ht="15" customHeight="1" s="106">
      <c r="A8" s="134" t="inlineStr">
        <is>
          <t>PP-PASTA-FUS-ALF</t>
        </is>
      </c>
      <c r="B8" s="113" t="inlineStr">
        <is>
          <t>Creamy Garlic Alfredo</t>
        </is>
      </c>
      <c r="C8" s="150">
        <f>IFERROR(INDEX('12 Final Menu'!$J$5:$J$200,MATCH($A8,'12 Final Menu'!$A$5:$A$200,0)),"")</f>
        <v/>
      </c>
      <c r="D8" s="150">
        <f>IFERROR(INDEX('12 Final Menu'!$O$5:$O$200,MATCH($A8,'12 Final Menu'!$A$5:$A$200,0)),"")</f>
        <v/>
      </c>
      <c r="E8" s="148" t="n">
        <v>99</v>
      </c>
      <c r="F8" s="182">
        <f>IF(OR($E8="",$C8=""),"",($E8/(1+'01 Control'!$C$6)-$C8)/($E8/(1+'01 Control'!$C$6)))</f>
        <v/>
      </c>
      <c r="G8" s="148" t="n">
        <v>89</v>
      </c>
      <c r="H8" s="182">
        <f>IF(OR($G8="",$C8=""),"",($G8/(1+'01 Control'!$C$6)-$C8)/($G8/(1+'01 Control'!$C$6)))</f>
        <v/>
      </c>
      <c r="I8" s="150">
        <f>IF(OR($E8="",$G8=""),"",$E8-$G8)</f>
        <v/>
      </c>
      <c r="J8" s="150">
        <f>IF(OR($E8="",$D8=""),"",$E8-$D8)</f>
        <v/>
      </c>
      <c r="K8" s="150">
        <f>IF(OR($G8="",$D8=""),"",$G8-$D8)</f>
        <v/>
      </c>
      <c r="L8" s="151">
        <f>IFERROR(INDEX('12 Final Menu'!$Q$5:$Q$200,MATCH($A8,'12 Final Menu'!$A$5:$A$200,0)),"")</f>
        <v/>
      </c>
      <c r="M8" s="161">
        <f>IF($C8="","Waiting on supplier quotes",IF(AND($H8&lt;&gt;"",$H8&lt;'01 Control'!$C$17-0.05),"ADOPTED Set B price is under the GP target - use the Set A step-up",IF(AND($F8&lt;&gt;"",$F8&lt;'01 Control'!$C$17-0.05),"Set B clears, Set A does not","Both sets clear the GP target")))</f>
        <v/>
      </c>
    </row>
    <row r="9" ht="15" customHeight="1" s="106">
      <c r="A9" s="134" t="inlineStr">
        <is>
          <t>PP-PASTA-CAS-ARR</t>
        </is>
      </c>
      <c r="B9" s="113" t="inlineStr">
        <is>
          <t>Arrabbiata</t>
        </is>
      </c>
      <c r="C9" s="150">
        <f>IFERROR(INDEX('12 Final Menu'!$J$5:$J$200,MATCH($A9,'12 Final Menu'!$A$5:$A$200,0)),"")</f>
        <v/>
      </c>
      <c r="D9" s="150">
        <f>IFERROR(INDEX('12 Final Menu'!$O$5:$O$200,MATCH($A9,'12 Final Menu'!$A$5:$A$200,0)),"")</f>
        <v/>
      </c>
      <c r="E9" s="148" t="n">
        <v>85</v>
      </c>
      <c r="F9" s="182">
        <f>IF(OR($E9="",$C9=""),"",($E9/(1+'01 Control'!$C$6)-$C9)/($E9/(1+'01 Control'!$C$6)))</f>
        <v/>
      </c>
      <c r="G9" s="148" t="n">
        <v>72</v>
      </c>
      <c r="H9" s="182">
        <f>IF(OR($G9="",$C9=""),"",($G9/(1+'01 Control'!$C$6)-$C9)/($G9/(1+'01 Control'!$C$6)))</f>
        <v/>
      </c>
      <c r="I9" s="150">
        <f>IF(OR($E9="",$G9=""),"",$E9-$G9)</f>
        <v/>
      </c>
      <c r="J9" s="150">
        <f>IF(OR($E9="",$D9=""),"",$E9-$D9)</f>
        <v/>
      </c>
      <c r="K9" s="150">
        <f>IF(OR($G9="",$D9=""),"",$G9-$D9)</f>
        <v/>
      </c>
      <c r="L9" s="151">
        <f>IFERROR(INDEX('12 Final Menu'!$Q$5:$Q$200,MATCH($A9,'12 Final Menu'!$A$5:$A$200,0)),"")</f>
        <v/>
      </c>
      <c r="M9" s="161">
        <f>IF($C9="","Waiting on supplier quotes",IF(AND($H9&lt;&gt;"",$H9&lt;'01 Control'!$C$17-0.05),"ADOPTED Set B price is under the GP target - use the Set A step-up",IF(AND($F9&lt;&gt;"",$F9&lt;'01 Control'!$C$17-0.05),"Set B clears, Set A does not","Both sets clear the GP target")))</f>
        <v/>
      </c>
    </row>
    <row r="10" ht="15" customHeight="1" s="106">
      <c r="A10" s="134" t="inlineStr">
        <is>
          <t>PP-PASTA-CAS-PES</t>
        </is>
      </c>
      <c r="B10" s="113" t="inlineStr">
        <is>
          <t>Basil Pesto</t>
        </is>
      </c>
      <c r="C10" s="150">
        <f>IFERROR(INDEX('12 Final Menu'!$J$5:$J$200,MATCH($A10,'12 Final Menu'!$A$5:$A$200,0)),"")</f>
        <v/>
      </c>
      <c r="D10" s="150">
        <f>IFERROR(INDEX('12 Final Menu'!$O$5:$O$200,MATCH($A10,'12 Final Menu'!$A$5:$A$200,0)),"")</f>
        <v/>
      </c>
      <c r="E10" s="148" t="n">
        <v>99</v>
      </c>
      <c r="F10" s="182">
        <f>IF(OR($E10="",$C10=""),"",($E10/(1+'01 Control'!$C$6)-$C10)/($E10/(1+'01 Control'!$C$6)))</f>
        <v/>
      </c>
      <c r="G10" s="148" t="n">
        <v>95</v>
      </c>
      <c r="H10" s="182">
        <f>IF(OR($G10="",$C10=""),"",($G10/(1+'01 Control'!$C$6)-$C10)/($G10/(1+'01 Control'!$C$6)))</f>
        <v/>
      </c>
      <c r="I10" s="150">
        <f>IF(OR($E10="",$G10=""),"",$E10-$G10)</f>
        <v/>
      </c>
      <c r="J10" s="150">
        <f>IF(OR($E10="",$D10=""),"",$E10-$D10)</f>
        <v/>
      </c>
      <c r="K10" s="150">
        <f>IF(OR($G10="",$D10=""),"",$G10-$D10)</f>
        <v/>
      </c>
      <c r="L10" s="151">
        <f>IFERROR(INDEX('12 Final Menu'!$Q$5:$Q$200,MATCH($A10,'12 Final Menu'!$A$5:$A$200,0)),"")</f>
        <v/>
      </c>
      <c r="M10" s="161">
        <f>IF($C10="","Waiting on supplier quotes",IF(AND($H10&lt;&gt;"",$H10&lt;'01 Control'!$C$17-0.05),"ADOPTED Set B price is under the GP target - use the Set A step-up",IF(AND($F10&lt;&gt;"",$F10&lt;'01 Control'!$C$17-0.05),"Set B clears, Set A does not","Both sets clear the GP target")))</f>
        <v/>
      </c>
    </row>
    <row r="11" ht="15" customHeight="1" s="106">
      <c r="A11" s="134" t="inlineStr">
        <is>
          <t>PP-PASTA-FUS-BOSC</t>
        </is>
      </c>
      <c r="B11" s="113" t="inlineStr">
        <is>
          <t>Boscaiola</t>
        </is>
      </c>
      <c r="C11" s="150">
        <f>IFERROR(INDEX('12 Final Menu'!$J$5:$J$200,MATCH($A11,'12 Final Menu'!$A$5:$A$200,0)),"")</f>
        <v/>
      </c>
      <c r="D11" s="150">
        <f>IFERROR(INDEX('12 Final Menu'!$O$5:$O$200,MATCH($A11,'12 Final Menu'!$A$5:$A$200,0)),"")</f>
        <v/>
      </c>
      <c r="E11" s="148" t="n">
        <v>99</v>
      </c>
      <c r="F11" s="182">
        <f>IF(OR($E11="",$C11=""),"",($E11/(1+'01 Control'!$C$6)-$C11)/($E11/(1+'01 Control'!$C$6)))</f>
        <v/>
      </c>
      <c r="G11" s="148" t="n">
        <v>92</v>
      </c>
      <c r="H11" s="182">
        <f>IF(OR($G11="",$C11=""),"",($G11/(1+'01 Control'!$C$6)-$C11)/($G11/(1+'01 Control'!$C$6)))</f>
        <v/>
      </c>
      <c r="I11" s="150">
        <f>IF(OR($E11="",$G11=""),"",$E11-$G11)</f>
        <v/>
      </c>
      <c r="J11" s="150">
        <f>IF(OR($E11="",$D11=""),"",$E11-$D11)</f>
        <v/>
      </c>
      <c r="K11" s="150">
        <f>IF(OR($G11="",$D11=""),"",$G11-$D11)</f>
        <v/>
      </c>
      <c r="L11" s="151">
        <f>IFERROR(INDEX('12 Final Menu'!$Q$5:$Q$200,MATCH($A11,'12 Final Menu'!$A$5:$A$200,0)),"")</f>
        <v/>
      </c>
      <c r="M11" s="161">
        <f>IF($C11="","Waiting on supplier quotes",IF(AND($H11&lt;&gt;"",$H11&lt;'01 Control'!$C$17-0.05),"ADOPTED Set B price is under the GP target - use the Set A step-up",IF(AND($F11&lt;&gt;"",$F11&lt;'01 Control'!$C$17-0.05),"Set B clears, Set A does not","Both sets clear the GP target")))</f>
        <v/>
      </c>
    </row>
    <row r="12" ht="15" customHeight="1" s="106">
      <c r="A12" s="134" t="inlineStr">
        <is>
          <t>PP-PASTA-RIG-QF</t>
        </is>
      </c>
      <c r="B12" s="113" t="inlineStr">
        <is>
          <t>Quattro Formaggi Bake</t>
        </is>
      </c>
      <c r="C12" s="150">
        <f>IFERROR(INDEX('12 Final Menu'!$J$5:$J$200,MATCH($A12,'12 Final Menu'!$A$5:$A$200,0)),"")</f>
        <v/>
      </c>
      <c r="D12" s="150">
        <f>IFERROR(INDEX('12 Final Menu'!$O$5:$O$200,MATCH($A12,'12 Final Menu'!$A$5:$A$200,0)),"")</f>
        <v/>
      </c>
      <c r="E12" s="148" t="n">
        <v>109</v>
      </c>
      <c r="F12" s="182">
        <f>IF(OR($E12="",$C12=""),"",($E12/(1+'01 Control'!$C$6)-$C12)/($E12/(1+'01 Control'!$C$6)))</f>
        <v/>
      </c>
      <c r="G12" s="148" t="n">
        <v>95</v>
      </c>
      <c r="H12" s="182">
        <f>IF(OR($G12="",$C12=""),"",($G12/(1+'01 Control'!$C$6)-$C12)/($G12/(1+'01 Control'!$C$6)))</f>
        <v/>
      </c>
      <c r="I12" s="150">
        <f>IF(OR($E12="",$G12=""),"",$E12-$G12)</f>
        <v/>
      </c>
      <c r="J12" s="150">
        <f>IF(OR($E12="",$D12=""),"",$E12-$D12)</f>
        <v/>
      </c>
      <c r="K12" s="150">
        <f>IF(OR($G12="",$D12=""),"",$G12-$D12)</f>
        <v/>
      </c>
      <c r="L12" s="151">
        <f>IFERROR(INDEX('12 Final Menu'!$Q$5:$Q$200,MATCH($A12,'12 Final Menu'!$A$5:$A$200,0)),"")</f>
        <v/>
      </c>
      <c r="M12" s="161">
        <f>IF($C12="","Waiting on supplier quotes",IF(AND($H12&lt;&gt;"",$H12&lt;'01 Control'!$C$17-0.05),"ADOPTED Set B price is under the GP target - use the Set A step-up",IF(AND($F12&lt;&gt;"",$F12&lt;'01 Control'!$C$17-0.05),"Set B clears, Set A does not","Both sets clear the GP target")))</f>
        <v/>
      </c>
    </row>
    <row r="13" ht="15" customHeight="1" s="106">
      <c r="A13" s="134" t="inlineStr">
        <is>
          <t>PP-PASTA-SPA-ALO</t>
        </is>
      </c>
      <c r="B13" s="113" t="inlineStr">
        <is>
          <t>Aglio, Olio e Peperoncino</t>
        </is>
      </c>
      <c r="C13" s="150">
        <f>IFERROR(INDEX('12 Final Menu'!$J$5:$J$200,MATCH($A13,'12 Final Menu'!$A$5:$A$200,0)),"")</f>
        <v/>
      </c>
      <c r="D13" s="150">
        <f>IFERROR(INDEX('12 Final Menu'!$O$5:$O$200,MATCH($A13,'12 Final Menu'!$A$5:$A$200,0)),"")</f>
        <v/>
      </c>
      <c r="E13" s="148" t="n">
        <v>69</v>
      </c>
      <c r="F13" s="182">
        <f>IF(OR($E13="",$C13=""),"",($E13/(1+'01 Control'!$C$6)-$C13)/($E13/(1+'01 Control'!$C$6)))</f>
        <v/>
      </c>
      <c r="G13" s="148" t="n">
        <v>69</v>
      </c>
      <c r="H13" s="182">
        <f>IF(OR($G13="",$C13=""),"",($G13/(1+'01 Control'!$C$6)-$C13)/($G13/(1+'01 Control'!$C$6)))</f>
        <v/>
      </c>
      <c r="I13" s="150">
        <f>IF(OR($E13="",$G13=""),"",$E13-$G13)</f>
        <v/>
      </c>
      <c r="J13" s="150">
        <f>IF(OR($E13="",$D13=""),"",$E13-$D13)</f>
        <v/>
      </c>
      <c r="K13" s="150">
        <f>IF(OR($G13="",$D13=""),"",$G13-$D13)</f>
        <v/>
      </c>
      <c r="L13" s="151">
        <f>IFERROR(INDEX('12 Final Menu'!$Q$5:$Q$200,MATCH($A13,'12 Final Menu'!$A$5:$A$200,0)),"")</f>
        <v/>
      </c>
      <c r="M13" s="161">
        <f>IF($C13="","Waiting on supplier quotes",IF(AND($H13&lt;&gt;"",$H13&lt;'01 Control'!$C$17-0.05),"ADOPTED Set B price is under the GP target - use the Set A step-up",IF(AND($F13&lt;&gt;"",$F13&lt;'01 Control'!$C$17-0.05),"Set B clears, Set A does not","Both sets clear the GP target")))</f>
        <v/>
      </c>
    </row>
    <row r="14" ht="15" customHeight="1" s="106">
      <c r="A14" s="134" t="inlineStr">
        <is>
          <t>PP-SAL-MICRO-PASTA</t>
        </is>
      </c>
      <c r="B14" s="113" t="inlineStr">
        <is>
          <t>Microgreen &amp; Pasta Salad</t>
        </is>
      </c>
      <c r="C14" s="150">
        <f>IFERROR(INDEX('12 Final Menu'!$J$5:$J$200,MATCH($A14,'12 Final Menu'!$A$5:$A$200,0)),"")</f>
        <v/>
      </c>
      <c r="D14" s="150">
        <f>IFERROR(INDEX('12 Final Menu'!$O$5:$O$200,MATCH($A14,'12 Final Menu'!$A$5:$A$200,0)),"")</f>
        <v/>
      </c>
      <c r="E14" s="148" t="n">
        <v>32</v>
      </c>
      <c r="F14" s="182">
        <f>IF(OR($E14="",$C14=""),"",($E14/(1+'01 Control'!$C$6)-$C14)/($E14/(1+'01 Control'!$C$6)))</f>
        <v/>
      </c>
      <c r="G14" s="148" t="n">
        <v>32</v>
      </c>
      <c r="H14" s="182">
        <f>IF(OR($G14="",$C14=""),"",($G14/(1+'01 Control'!$C$6)-$C14)/($G14/(1+'01 Control'!$C$6)))</f>
        <v/>
      </c>
      <c r="I14" s="150">
        <f>IF(OR($E14="",$G14=""),"",$E14-$G14)</f>
        <v/>
      </c>
      <c r="J14" s="150">
        <f>IF(OR($E14="",$D14=""),"",$E14-$D14)</f>
        <v/>
      </c>
      <c r="K14" s="150">
        <f>IF(OR($G14="",$D14=""),"",$G14-$D14)</f>
        <v/>
      </c>
      <c r="L14" s="151">
        <f>IFERROR(INDEX('12 Final Menu'!$Q$5:$Q$200,MATCH($A14,'12 Final Menu'!$A$5:$A$200,0)),"")</f>
        <v/>
      </c>
      <c r="M14" s="161">
        <f>IF($C14="","Waiting on supplier quotes",IF(AND($H14&lt;&gt;"",$H14&lt;'01 Control'!$C$17-0.05),"ADOPTED Set B price is under the GP target - use the Set A step-up",IF(AND($F14&lt;&gt;"",$F14&lt;'01 Control'!$C$17-0.05),"Set B clears, Set A does not","Both sets clear the GP target")))</f>
        <v/>
      </c>
    </row>
    <row r="15" ht="15" customHeight="1" s="106">
      <c r="A15" s="134" t="inlineStr">
        <is>
          <t>PP-SAL-RAINBOW</t>
        </is>
      </c>
      <c r="B15" s="113" t="inlineStr">
        <is>
          <t>Rainbow Pasta Salad</t>
        </is>
      </c>
      <c r="C15" s="150">
        <f>IFERROR(INDEX('12 Final Menu'!$J$5:$J$200,MATCH($A15,'12 Final Menu'!$A$5:$A$200,0)),"")</f>
        <v/>
      </c>
      <c r="D15" s="150">
        <f>IFERROR(INDEX('12 Final Menu'!$O$5:$O$200,MATCH($A15,'12 Final Menu'!$A$5:$A$200,0)),"")</f>
        <v/>
      </c>
      <c r="E15" s="148" t="n">
        <v>35</v>
      </c>
      <c r="F15" s="182">
        <f>IF(OR($E15="",$C15=""),"",($E15/(1+'01 Control'!$C$6)-$C15)/($E15/(1+'01 Control'!$C$6)))</f>
        <v/>
      </c>
      <c r="G15" s="148" t="n">
        <v>36</v>
      </c>
      <c r="H15" s="182">
        <f>IF(OR($G15="",$C15=""),"",($G15/(1+'01 Control'!$C$6)-$C15)/($G15/(1+'01 Control'!$C$6)))</f>
        <v/>
      </c>
      <c r="I15" s="150">
        <f>IF(OR($E15="",$G15=""),"",$E15-$G15)</f>
        <v/>
      </c>
      <c r="J15" s="150">
        <f>IF(OR($E15="",$D15=""),"",$E15-$D15)</f>
        <v/>
      </c>
      <c r="K15" s="150">
        <f>IF(OR($G15="",$D15=""),"",$G15-$D15)</f>
        <v/>
      </c>
      <c r="L15" s="151">
        <f>IFERROR(INDEX('12 Final Menu'!$Q$5:$Q$200,MATCH($A15,'12 Final Menu'!$A$5:$A$200,0)),"")</f>
        <v/>
      </c>
      <c r="M15" s="161">
        <f>IF($C15="","Waiting on supplier quotes",IF(AND($H15&lt;&gt;"",$H15&lt;'01 Control'!$C$17-0.05),"ADOPTED Set B price is under the GP target - use the Set A step-up",IF(AND($F15&lt;&gt;"",$F15&lt;'01 Control'!$C$17-0.05),"Set B clears, Set A does not","Both sets clear the GP target")))</f>
        <v/>
      </c>
    </row>
    <row r="16" ht="19.4" customHeight="1" s="106">
      <c r="A16" s="134" t="inlineStr">
        <is>
          <t>PP-SAL-GARDEN</t>
        </is>
      </c>
      <c r="B16" s="113" t="inlineStr">
        <is>
          <t>Microgreen Garden Salad</t>
        </is>
      </c>
      <c r="C16" s="150">
        <f>IFERROR(INDEX('12 Final Menu'!$J$5:$J$200,MATCH($A16,'12 Final Menu'!$A$5:$A$200,0)),"")</f>
        <v/>
      </c>
      <c r="D16" s="150">
        <f>IFERROR(INDEX('12 Final Menu'!$O$5:$O$200,MATCH($A16,'12 Final Menu'!$A$5:$A$200,0)),"")</f>
        <v/>
      </c>
      <c r="E16" s="148" t="n">
        <v>28</v>
      </c>
      <c r="F16" s="182">
        <f>IF(OR($E16="",$C16=""),"",($E16/(1+'01 Control'!$C$6)-$C16)/($E16/(1+'01 Control'!$C$6)))</f>
        <v/>
      </c>
      <c r="G16" s="148" t="n">
        <v>28</v>
      </c>
      <c r="H16" s="182">
        <f>IF(OR($G16="",$C16=""),"",($G16/(1+'01 Control'!$C$6)-$C16)/($G16/(1+'01 Control'!$C$6)))</f>
        <v/>
      </c>
      <c r="I16" s="150">
        <f>IF(OR($E16="",$G16=""),"",$E16-$G16)</f>
        <v/>
      </c>
      <c r="J16" s="150">
        <f>IF(OR($E16="",$D16=""),"",$E16-$D16)</f>
        <v/>
      </c>
      <c r="K16" s="150">
        <f>IF(OR($G16="",$D16=""),"",$G16-$D16)</f>
        <v/>
      </c>
      <c r="L16" s="151">
        <f>IFERROR(INDEX('12 Final Menu'!$Q$5:$Q$200,MATCH($A16,'12 Final Menu'!$A$5:$A$200,0)),"")</f>
        <v/>
      </c>
      <c r="M16" s="161">
        <f>IF($C16="","Waiting on supplier quotes",IF(AND($H16&lt;&gt;"",$H16&lt;'01 Control'!$C$17-0.05),"ADOPTED Set B price is under the GP target - use the Set A step-up",IF(AND($F16&lt;&gt;"",$F16&lt;'01 Control'!$C$17-0.05),"Set B clears, Set A does not","Both sets clear the GP target")))</f>
        <v/>
      </c>
    </row>
    <row r="17" ht="15" customHeight="1" s="106">
      <c r="A17" s="134" t="inlineStr">
        <is>
          <t>PP-BYO</t>
        </is>
      </c>
      <c r="B17" s="113" t="inlineStr">
        <is>
          <t>Build Your Own</t>
        </is>
      </c>
      <c r="C17" s="150">
        <f>IFERROR(INDEX('12 Final Menu'!$J$5:$J$200,MATCH($A17,'12 Final Menu'!$A$5:$A$200,0)),"")</f>
        <v/>
      </c>
      <c r="D17" s="150">
        <f>IFERROR(INDEX('12 Final Menu'!$O$5:$O$200,MATCH($A17,'12 Final Menu'!$A$5:$A$200,0)),"")</f>
        <v/>
      </c>
      <c r="E17" s="148" t="n"/>
      <c r="F17" s="182">
        <f>IF(OR($E17="",$C17=""),"",($E17/(1+'01 Control'!$C$6)-$C17)/($E17/(1+'01 Control'!$C$6)))</f>
        <v/>
      </c>
      <c r="G17" s="148" t="n">
        <v>75</v>
      </c>
      <c r="H17" s="182">
        <f>IF(OR($G17="",$C17=""),"",($G17/(1+'01 Control'!$C$6)-$C17)/($G17/(1+'01 Control'!$C$6)))</f>
        <v/>
      </c>
      <c r="I17" s="150">
        <f>IF(OR($E17="",$G17=""),"",$E17-$G17)</f>
        <v/>
      </c>
      <c r="J17" s="150">
        <f>IF(OR($E17="",$D17=""),"",$E17-$D17)</f>
        <v/>
      </c>
      <c r="K17" s="150">
        <f>IF(OR($G17="",$D17=""),"",$G17-$D17)</f>
        <v/>
      </c>
      <c r="L17" s="151">
        <f>IFERROR(INDEX('12 Final Menu'!$Q$5:$Q$200,MATCH($A17,'12 Final Menu'!$A$5:$A$200,0)),"")</f>
        <v/>
      </c>
      <c r="M17" s="161">
        <f>IF($C17="","Waiting on supplier quotes",IF(AND($H17&lt;&gt;"",$H17&lt;'01 Control'!$C$17-0.05),"ADOPTED Set B price is under the GP target - use the Set A step-up",IF(AND($F17&lt;&gt;"",$F17&lt;'01 Control'!$C$17-0.05),"Set B clears, Set A does not","Both sets clear the GP target")))</f>
        <v/>
      </c>
    </row>
    <row r="18" ht="15" customHeight="1" s="106">
      <c r="A18" s="134" t="inlineStr">
        <is>
          <t>PP-ADD-BEEF</t>
        </is>
      </c>
      <c r="B18" s="113" t="inlineStr">
        <is>
          <t>Add Seasoned Beef (100 g)</t>
        </is>
      </c>
      <c r="C18" s="150">
        <f>IFERROR(INDEX('12 Final Menu'!$J$5:$J$200,MATCH($A18,'12 Final Menu'!$A$5:$A$200,0)),"")</f>
        <v/>
      </c>
      <c r="D18" s="150">
        <f>IFERROR(INDEX('12 Final Menu'!$O$5:$O$200,MATCH($A18,'12 Final Menu'!$A$5:$A$200,0)),"")</f>
        <v/>
      </c>
      <c r="E18" s="148" t="n">
        <v>45</v>
      </c>
      <c r="F18" s="182">
        <f>IF(OR($E18="",$C18=""),"",($E18/(1+'01 Control'!$C$6)-$C18)/($E18/(1+'01 Control'!$C$6)))</f>
        <v/>
      </c>
      <c r="G18" s="148" t="n">
        <v>45</v>
      </c>
      <c r="H18" s="182">
        <f>IF(OR($G18="",$C18=""),"",($G18/(1+'01 Control'!$C$6)-$C18)/($G18/(1+'01 Control'!$C$6)))</f>
        <v/>
      </c>
      <c r="I18" s="150">
        <f>IF(OR($E18="",$G18=""),"",$E18-$G18)</f>
        <v/>
      </c>
      <c r="J18" s="150">
        <f>IF(OR($E18="",$D18=""),"",$E18-$D18)</f>
        <v/>
      </c>
      <c r="K18" s="150">
        <f>IF(OR($G18="",$D18=""),"",$G18-$D18)</f>
        <v/>
      </c>
      <c r="L18" s="151">
        <f>IFERROR(INDEX('12 Final Menu'!$Q$5:$Q$200,MATCH($A18,'12 Final Menu'!$A$5:$A$200,0)),"")</f>
        <v/>
      </c>
      <c r="M18" s="161">
        <f>IF($C18="","Waiting on supplier quotes",IF(AND($H18&lt;&gt;"",$H18&lt;'01 Control'!$C$17-0.05),"ADOPTED Set B price is under the GP target - use the Set A step-up",IF(AND($F18&lt;&gt;"",$F18&lt;'01 Control'!$C$17-0.05),"Set B clears, Set A does not","Both sets clear the GP target")))</f>
        <v/>
      </c>
    </row>
    <row r="19" ht="15" customHeight="1" s="106">
      <c r="A19" s="134" t="inlineStr">
        <is>
          <t>PP-ADD-MEATBALL</t>
        </is>
      </c>
      <c r="B19" s="113" t="inlineStr">
        <is>
          <t>Add Beef Meatballs (3)</t>
        </is>
      </c>
      <c r="C19" s="150">
        <f>IFERROR(INDEX('12 Final Menu'!$J$5:$J$200,MATCH($A19,'12 Final Menu'!$A$5:$A$200,0)),"")</f>
        <v/>
      </c>
      <c r="D19" s="150">
        <f>IFERROR(INDEX('12 Final Menu'!$O$5:$O$200,MATCH($A19,'12 Final Menu'!$A$5:$A$200,0)),"")</f>
        <v/>
      </c>
      <c r="E19" s="148" t="n">
        <v>50</v>
      </c>
      <c r="F19" s="182">
        <f>IF(OR($E19="",$C19=""),"",($E19/(1+'01 Control'!$C$6)-$C19)/($E19/(1+'01 Control'!$C$6)))</f>
        <v/>
      </c>
      <c r="G19" s="148" t="n"/>
      <c r="H19" s="182">
        <f>IF(OR($G19="",$C19=""),"",($G19/(1+'01 Control'!$C$6)-$C19)/($G19/(1+'01 Control'!$C$6)))</f>
        <v/>
      </c>
      <c r="I19" s="150">
        <f>IF(OR($E19="",$G19=""),"",$E19-$G19)</f>
        <v/>
      </c>
      <c r="J19" s="150">
        <f>IF(OR($E19="",$D19=""),"",$E19-$D19)</f>
        <v/>
      </c>
      <c r="K19" s="150">
        <f>IF(OR($G19="",$D19=""),"",$G19-$D19)</f>
        <v/>
      </c>
      <c r="L19" s="151">
        <f>IFERROR(INDEX('12 Final Menu'!$Q$5:$Q$200,MATCH($A19,'12 Final Menu'!$A$5:$A$200,0)),"")</f>
        <v/>
      </c>
      <c r="M19" s="161">
        <f>IF($C19="","Waiting on supplier quotes",IF(AND($H19&lt;&gt;"",$H19&lt;'01 Control'!$C$17-0.05),"ADOPTED Set B price is under the GP target - use the Set A step-up",IF(AND($F19&lt;&gt;"",$F19&lt;'01 Control'!$C$17-0.05),"Set B clears, Set A does not","Both sets clear the GP target")))</f>
        <v/>
      </c>
    </row>
    <row r="20" ht="15" customHeight="1" s="106">
      <c r="A20" s="134" t="inlineStr">
        <is>
          <t>PP-ADD-BACON</t>
        </is>
      </c>
      <c r="B20" s="113" t="inlineStr">
        <is>
          <t>Add Beef Bacon (45 g)</t>
        </is>
      </c>
      <c r="C20" s="150">
        <f>IFERROR(INDEX('12 Final Menu'!$J$5:$J$200,MATCH($A20,'12 Final Menu'!$A$5:$A$200,0)),"")</f>
        <v/>
      </c>
      <c r="D20" s="150">
        <f>IFERROR(INDEX('12 Final Menu'!$O$5:$O$200,MATCH($A20,'12 Final Menu'!$A$5:$A$200,0)),"")</f>
        <v/>
      </c>
      <c r="E20" s="148" t="n"/>
      <c r="F20" s="182">
        <f>IF(OR($E20="",$C20=""),"",($E20/(1+'01 Control'!$C$6)-$C20)/($E20/(1+'01 Control'!$C$6)))</f>
        <v/>
      </c>
      <c r="G20" s="148" t="n">
        <v>40</v>
      </c>
      <c r="H20" s="182">
        <f>IF(OR($G20="",$C20=""),"",($G20/(1+'01 Control'!$C$6)-$C20)/($G20/(1+'01 Control'!$C$6)))</f>
        <v/>
      </c>
      <c r="I20" s="150">
        <f>IF(OR($E20="",$G20=""),"",$E20-$G20)</f>
        <v/>
      </c>
      <c r="J20" s="150">
        <f>IF(OR($E20="",$D20=""),"",$E20-$D20)</f>
        <v/>
      </c>
      <c r="K20" s="150">
        <f>IF(OR($G20="",$D20=""),"",$G20-$D20)</f>
        <v/>
      </c>
      <c r="L20" s="151">
        <f>IFERROR(INDEX('12 Final Menu'!$Q$5:$Q$200,MATCH($A20,'12 Final Menu'!$A$5:$A$200,0)),"")</f>
        <v/>
      </c>
      <c r="M20" s="161">
        <f>IF($C20="","Waiting on supplier quotes",IF(AND($H20&lt;&gt;"",$H20&lt;'01 Control'!$C$17-0.05),"ADOPTED Set B price is under the GP target - use the Set A step-up",IF(AND($F20&lt;&gt;"",$F20&lt;'01 Control'!$C$17-0.05),"Set B clears, Set A does not","Both sets clear the GP target")))</f>
        <v/>
      </c>
    </row>
    <row r="21" ht="15" customHeight="1" s="106">
      <c r="A21" s="134" t="inlineStr">
        <is>
          <t>PP-ADD-CHEESE</t>
        </is>
      </c>
      <c r="B21" s="113" t="inlineStr">
        <is>
          <t>Add Extra Parmesan</t>
        </is>
      </c>
      <c r="C21" s="150">
        <f>IFERROR(INDEX('12 Final Menu'!$J$5:$J$200,MATCH($A21,'12 Final Menu'!$A$5:$A$200,0)),"")</f>
        <v/>
      </c>
      <c r="D21" s="150">
        <f>IFERROR(INDEX('12 Final Menu'!$O$5:$O$200,MATCH($A21,'12 Final Menu'!$A$5:$A$200,0)),"")</f>
        <v/>
      </c>
      <c r="E21" s="148" t="n">
        <v>20</v>
      </c>
      <c r="F21" s="182">
        <f>IF(OR($E21="",$C21=""),"",($E21/(1+'01 Control'!$C$6)-$C21)/($E21/(1+'01 Control'!$C$6)))</f>
        <v/>
      </c>
      <c r="G21" s="148" t="n"/>
      <c r="H21" s="182">
        <f>IF(OR($G21="",$C21=""),"",($G21/(1+'01 Control'!$C$6)-$C21)/($G21/(1+'01 Control'!$C$6)))</f>
        <v/>
      </c>
      <c r="I21" s="150">
        <f>IF(OR($E21="",$G21=""),"",$E21-$G21)</f>
        <v/>
      </c>
      <c r="J21" s="150">
        <f>IF(OR($E21="",$D21=""),"",$E21-$D21)</f>
        <v/>
      </c>
      <c r="K21" s="150">
        <f>IF(OR($G21="",$D21=""),"",$G21-$D21)</f>
        <v/>
      </c>
      <c r="L21" s="151">
        <f>IFERROR(INDEX('12 Final Menu'!$Q$5:$Q$200,MATCH($A21,'12 Final Menu'!$A$5:$A$200,0)),"")</f>
        <v/>
      </c>
      <c r="M21" s="161">
        <f>IF($C21="","Waiting on supplier quotes",IF(AND($H21&lt;&gt;"",$H21&lt;'01 Control'!$C$17-0.05),"ADOPTED Set B price is under the GP target - use the Set A step-up",IF(AND($F21&lt;&gt;"",$F21&lt;'01 Control'!$C$17-0.05),"Set B clears, Set A does not","Both sets clear the GP target")))</f>
        <v/>
      </c>
    </row>
    <row r="22" ht="15" customHeight="1" s="106">
      <c r="A22" s="134" t="inlineStr">
        <is>
          <t>PP-ADD-CRUMB</t>
        </is>
      </c>
      <c r="B22" s="113" t="inlineStr">
        <is>
          <t>Add Garlic Crumb</t>
        </is>
      </c>
      <c r="C22" s="150">
        <f>IFERROR(INDEX('12 Final Menu'!$J$5:$J$200,MATCH($A22,'12 Final Menu'!$A$5:$A$200,0)),"")</f>
        <v/>
      </c>
      <c r="D22" s="150">
        <f>IFERROR(INDEX('12 Final Menu'!$O$5:$O$200,MATCH($A22,'12 Final Menu'!$A$5:$A$200,0)),"")</f>
        <v/>
      </c>
      <c r="E22" s="148" t="n">
        <v>15</v>
      </c>
      <c r="F22" s="182">
        <f>IF(OR($E22="",$C22=""),"",($E22/(1+'01 Control'!$C$6)-$C22)/($E22/(1+'01 Control'!$C$6)))</f>
        <v/>
      </c>
      <c r="G22" s="148" t="n"/>
      <c r="H22" s="182">
        <f>IF(OR($G22="",$C22=""),"",($G22/(1+'01 Control'!$C$6)-$C22)/($G22/(1+'01 Control'!$C$6)))</f>
        <v/>
      </c>
      <c r="I22" s="150">
        <f>IF(OR($E22="",$G22=""),"",$E22-$G22)</f>
        <v/>
      </c>
      <c r="J22" s="150">
        <f>IF(OR($E22="",$D22=""),"",$E22-$D22)</f>
        <v/>
      </c>
      <c r="K22" s="150">
        <f>IF(OR($G22="",$D22=""),"",$G22-$D22)</f>
        <v/>
      </c>
      <c r="L22" s="151">
        <f>IFERROR(INDEX('12 Final Menu'!$Q$5:$Q$200,MATCH($A22,'12 Final Menu'!$A$5:$A$200,0)),"")</f>
        <v/>
      </c>
      <c r="M22" s="161">
        <f>IF($C22="","Waiting on supplier quotes",IF(AND($H22&lt;&gt;"",$H22&lt;'01 Control'!$C$17-0.05),"ADOPTED Set B price is under the GP target - use the Set A step-up",IF(AND($F22&lt;&gt;"",$F22&lt;'01 Control'!$C$17-0.05),"Set B clears, Set A does not","Both sets clear the GP target")))</f>
        <v/>
      </c>
    </row>
    <row r="23" ht="15" customHeight="1" s="106">
      <c r="A23" s="134" t="inlineStr">
        <is>
          <t>PP-ADD-CHILLI</t>
        </is>
      </c>
      <c r="B23" s="113" t="inlineStr">
        <is>
          <t>Add Chilli Hit</t>
        </is>
      </c>
      <c r="C23" s="150">
        <f>IFERROR(INDEX('12 Final Menu'!$J$5:$J$200,MATCH($A23,'12 Final Menu'!$A$5:$A$200,0)),"")</f>
        <v/>
      </c>
      <c r="D23" s="150">
        <f>IFERROR(INDEX('12 Final Menu'!$O$5:$O$200,MATCH($A23,'12 Final Menu'!$A$5:$A$200,0)),"")</f>
        <v/>
      </c>
      <c r="E23" s="148" t="n">
        <v>10</v>
      </c>
      <c r="F23" s="182">
        <f>IF(OR($E23="",$C23=""),"",($E23/(1+'01 Control'!$C$6)-$C23)/($E23/(1+'01 Control'!$C$6)))</f>
        <v/>
      </c>
      <c r="G23" s="148" t="n"/>
      <c r="H23" s="182">
        <f>IF(OR($G23="",$C23=""),"",($G23/(1+'01 Control'!$C$6)-$C23)/($G23/(1+'01 Control'!$C$6)))</f>
        <v/>
      </c>
      <c r="I23" s="150">
        <f>IF(OR($E23="",$G23=""),"",$E23-$G23)</f>
        <v/>
      </c>
      <c r="J23" s="150">
        <f>IF(OR($E23="",$D23=""),"",$E23-$D23)</f>
        <v/>
      </c>
      <c r="K23" s="150">
        <f>IF(OR($G23="",$D23=""),"",$G23-$D23)</f>
        <v/>
      </c>
      <c r="L23" s="151">
        <f>IFERROR(INDEX('12 Final Menu'!$Q$5:$Q$200,MATCH($A23,'12 Final Menu'!$A$5:$A$200,0)),"")</f>
        <v/>
      </c>
      <c r="M23" s="161">
        <f>IF($C23="","Waiting on supplier quotes",IF(AND($H23&lt;&gt;"",$H23&lt;'01 Control'!$C$17-0.05),"ADOPTED Set B price is under the GP target - use the Set A step-up",IF(AND($F23&lt;&gt;"",$F23&lt;'01 Control'!$C$17-0.05),"Set B clears, Set A does not","Both sets clear the GP target")))</f>
        <v/>
      </c>
    </row>
    <row r="24" ht="15" customHeight="1" s="106">
      <c r="A24" s="134" t="inlineStr">
        <is>
          <t>PP-ADD-SALADBEEF</t>
        </is>
      </c>
      <c r="B24" s="113" t="inlineStr">
        <is>
          <t>Add Beef to a Salad</t>
        </is>
      </c>
      <c r="C24" s="150">
        <f>IFERROR(INDEX('12 Final Menu'!$J$5:$J$200,MATCH($A24,'12 Final Menu'!$A$5:$A$200,0)),"")</f>
        <v/>
      </c>
      <c r="D24" s="150">
        <f>IFERROR(INDEX('12 Final Menu'!$O$5:$O$200,MATCH($A24,'12 Final Menu'!$A$5:$A$200,0)),"")</f>
        <v/>
      </c>
      <c r="E24" s="148" t="n"/>
      <c r="F24" s="182">
        <f>IF(OR($E24="",$C24=""),"",($E24/(1+'01 Control'!$C$6)-$C24)/($E24/(1+'01 Control'!$C$6)))</f>
        <v/>
      </c>
      <c r="G24" s="148" t="n">
        <v>15</v>
      </c>
      <c r="H24" s="182">
        <f>IF(OR($G24="",$C24=""),"",($G24/(1+'01 Control'!$C$6)-$C24)/($G24/(1+'01 Control'!$C$6)))</f>
        <v/>
      </c>
      <c r="I24" s="150">
        <f>IF(OR($E24="",$G24=""),"",$E24-$G24)</f>
        <v/>
      </c>
      <c r="J24" s="150">
        <f>IF(OR($E24="",$D24=""),"",$E24-$D24)</f>
        <v/>
      </c>
      <c r="K24" s="150">
        <f>IF(OR($G24="",$D24=""),"",$G24-$D24)</f>
        <v/>
      </c>
      <c r="L24" s="151">
        <f>IFERROR(INDEX('12 Final Menu'!$Q$5:$Q$200,MATCH($A24,'12 Final Menu'!$A$5:$A$200,0)),"")</f>
        <v/>
      </c>
      <c r="M24" s="161">
        <f>IF($C24="","Waiting on supplier quotes",IF(AND($H24&lt;&gt;"",$H24&lt;'01 Control'!$C$17-0.05),"ADOPTED Set B price is under the GP target - use the Set A step-up",IF(AND($F24&lt;&gt;"",$F24&lt;'01 Control'!$C$17-0.05),"Set B clears, Set A does not","Both sets clear the GP target")))</f>
        <v/>
      </c>
    </row>
    <row r="25" ht="15" customHeight="1" s="106">
      <c r="A25" s="134" t="inlineStr">
        <is>
          <t>PP-ADD-SLUSH-LG</t>
        </is>
      </c>
      <c r="B25" s="113" t="inlineStr">
        <is>
          <t>Upsize Slushee to 600 ml</t>
        </is>
      </c>
      <c r="C25" s="150">
        <f>IFERROR(INDEX('12 Final Menu'!$J$5:$J$200,MATCH($A25,'12 Final Menu'!$A$5:$A$200,0)),"")</f>
        <v/>
      </c>
      <c r="D25" s="150">
        <f>IFERROR(INDEX('12 Final Menu'!$O$5:$O$200,MATCH($A25,'12 Final Menu'!$A$5:$A$200,0)),"")</f>
        <v/>
      </c>
      <c r="E25" s="148" t="n"/>
      <c r="F25" s="182">
        <f>IF(OR($E25="",$C25=""),"",($E25/(1+'01 Control'!$C$6)-$C25)/($E25/(1+'01 Control'!$C$6)))</f>
        <v/>
      </c>
      <c r="G25" s="148" t="n">
        <v>8</v>
      </c>
      <c r="H25" s="182">
        <f>IF(OR($G25="",$C25=""),"",($G25/(1+'01 Control'!$C$6)-$C25)/($G25/(1+'01 Control'!$C$6)))</f>
        <v/>
      </c>
      <c r="I25" s="150">
        <f>IF(OR($E25="",$G25=""),"",$E25-$G25)</f>
        <v/>
      </c>
      <c r="J25" s="150">
        <f>IF(OR($E25="",$D25=""),"",$E25-$D25)</f>
        <v/>
      </c>
      <c r="K25" s="150">
        <f>IF(OR($G25="",$D25=""),"",$G25-$D25)</f>
        <v/>
      </c>
      <c r="L25" s="151">
        <f>IFERROR(INDEX('12 Final Menu'!$Q$5:$Q$200,MATCH($A25,'12 Final Menu'!$A$5:$A$200,0)),"")</f>
        <v/>
      </c>
      <c r="M25" s="161">
        <f>IF($C25="","Waiting on supplier quotes",IF(AND($H25&lt;&gt;"",$H25&lt;'01 Control'!$C$17-0.05),"ADOPTED Set B price is under the GP target - use the Set A step-up",IF(AND($F25&lt;&gt;"",$F25&lt;'01 Control'!$C$17-0.05),"Set B clears, Set A does not","Both sets clear the GP target")))</f>
        <v/>
      </c>
    </row>
    <row r="26" ht="15" customHeight="1" s="106">
      <c r="A26" s="134" t="inlineStr">
        <is>
          <t>PP-BEV-SLUSH-ROOIBOS</t>
        </is>
      </c>
      <c r="B26" s="113" t="inlineStr">
        <is>
          <t>Rooibos Slushee</t>
        </is>
      </c>
      <c r="C26" s="150">
        <f>IFERROR(INDEX('12 Final Menu'!$J$5:$J$200,MATCH($A26,'12 Final Menu'!$A$5:$A$200,0)),"")</f>
        <v/>
      </c>
      <c r="D26" s="150">
        <f>IFERROR(INDEX('12 Final Menu'!$O$5:$O$200,MATCH($A26,'12 Final Menu'!$A$5:$A$200,0)),"")</f>
        <v/>
      </c>
      <c r="E26" s="148" t="n"/>
      <c r="F26" s="182">
        <f>IF(OR($E26="",$C26=""),"",($E26/(1+'01 Control'!$C$6)-$C26)/($E26/(1+'01 Control'!$C$6)))</f>
        <v/>
      </c>
      <c r="G26" s="148" t="n">
        <v>20</v>
      </c>
      <c r="H26" s="182">
        <f>IF(OR($G26="",$C26=""),"",($G26/(1+'01 Control'!$C$6)-$C26)/($G26/(1+'01 Control'!$C$6)))</f>
        <v/>
      </c>
      <c r="I26" s="150">
        <f>IF(OR($E26="",$G26=""),"",$E26-$G26)</f>
        <v/>
      </c>
      <c r="J26" s="150">
        <f>IF(OR($E26="",$D26=""),"",$E26-$D26)</f>
        <v/>
      </c>
      <c r="K26" s="150">
        <f>IF(OR($G26="",$D26=""),"",$G26-$D26)</f>
        <v/>
      </c>
      <c r="L26" s="151">
        <f>IFERROR(INDEX('12 Final Menu'!$Q$5:$Q$200,MATCH($A26,'12 Final Menu'!$A$5:$A$200,0)),"")</f>
        <v/>
      </c>
      <c r="M26" s="161">
        <f>IF($C26="","Waiting on supplier quotes",IF(AND($H26&lt;&gt;"",$H26&lt;'01 Control'!$C$17-0.05),"ADOPTED Set B price is under the GP target - use the Set A step-up",IF(AND($F26&lt;&gt;"",$F26&lt;'01 Control'!$C$17-0.05),"Set B clears, Set A does not","Both sets clear the GP target")))</f>
        <v/>
      </c>
    </row>
    <row r="27" ht="15" customHeight="1" s="106">
      <c r="A27" s="134" t="inlineStr">
        <is>
          <t>PP-BEV-SLUSH-LEMON</t>
        </is>
      </c>
      <c r="B27" s="113" t="inlineStr">
        <is>
          <t>Lemonade Slushee</t>
        </is>
      </c>
      <c r="C27" s="150">
        <f>IFERROR(INDEX('12 Final Menu'!$J$5:$J$200,MATCH($A27,'12 Final Menu'!$A$5:$A$200,0)),"")</f>
        <v/>
      </c>
      <c r="D27" s="150">
        <f>IFERROR(INDEX('12 Final Menu'!$O$5:$O$200,MATCH($A27,'12 Final Menu'!$A$5:$A$200,0)),"")</f>
        <v/>
      </c>
      <c r="E27" s="148" t="n"/>
      <c r="F27" s="182">
        <f>IF(OR($E27="",$C27=""),"",($E27/(1+'01 Control'!$C$6)-$C27)/($E27/(1+'01 Control'!$C$6)))</f>
        <v/>
      </c>
      <c r="G27" s="148" t="n">
        <v>18</v>
      </c>
      <c r="H27" s="182">
        <f>IF(OR($G27="",$C27=""),"",($G27/(1+'01 Control'!$C$6)-$C27)/($G27/(1+'01 Control'!$C$6)))</f>
        <v/>
      </c>
      <c r="I27" s="150">
        <f>IF(OR($E27="",$G27=""),"",$E27-$G27)</f>
        <v/>
      </c>
      <c r="J27" s="150">
        <f>IF(OR($E27="",$D27=""),"",$E27-$D27)</f>
        <v/>
      </c>
      <c r="K27" s="150">
        <f>IF(OR($G27="",$D27=""),"",$G27-$D27)</f>
        <v/>
      </c>
      <c r="L27" s="151">
        <f>IFERROR(INDEX('12 Final Menu'!$Q$5:$Q$200,MATCH($A27,'12 Final Menu'!$A$5:$A$200,0)),"")</f>
        <v/>
      </c>
      <c r="M27" s="161">
        <f>IF($C27="","Waiting on supplier quotes",IF(AND($H27&lt;&gt;"",$H27&lt;'01 Control'!$C$17-0.05),"ADOPTED Set B price is under the GP target - use the Set A step-up",IF(AND($F27&lt;&gt;"",$F27&lt;'01 Control'!$C$17-0.05),"Set B clears, Set A does not","Both sets clear the GP target")))</f>
        <v/>
      </c>
    </row>
    <row r="28" ht="15" customHeight="1" s="106">
      <c r="A28" s="134" t="inlineStr">
        <is>
          <t>PP-BEV-SLUSH-CREAM</t>
        </is>
      </c>
      <c r="B28" s="113" t="inlineStr">
        <is>
          <t>Cream Soda Slushee</t>
        </is>
      </c>
      <c r="C28" s="150">
        <f>IFERROR(INDEX('12 Final Menu'!$J$5:$J$200,MATCH($A28,'12 Final Menu'!$A$5:$A$200,0)),"")</f>
        <v/>
      </c>
      <c r="D28" s="150">
        <f>IFERROR(INDEX('12 Final Menu'!$O$5:$O$200,MATCH($A28,'12 Final Menu'!$A$5:$A$200,0)),"")</f>
        <v/>
      </c>
      <c r="E28" s="148" t="n"/>
      <c r="F28" s="182">
        <f>IF(OR($E28="",$C28=""),"",($E28/(1+'01 Control'!$C$6)-$C28)/($E28/(1+'01 Control'!$C$6)))</f>
        <v/>
      </c>
      <c r="G28" s="148" t="n">
        <v>20</v>
      </c>
      <c r="H28" s="182">
        <f>IF(OR($G28="",$C28=""),"",($G28/(1+'01 Control'!$C$6)-$C28)/($G28/(1+'01 Control'!$C$6)))</f>
        <v/>
      </c>
      <c r="I28" s="150">
        <f>IF(OR($E28="",$G28=""),"",$E28-$G28)</f>
        <v/>
      </c>
      <c r="J28" s="150">
        <f>IF(OR($E28="",$D28=""),"",$E28-$D28)</f>
        <v/>
      </c>
      <c r="K28" s="150">
        <f>IF(OR($G28="",$D28=""),"",$G28-$D28)</f>
        <v/>
      </c>
      <c r="L28" s="151">
        <f>IFERROR(INDEX('12 Final Menu'!$Q$5:$Q$200,MATCH($A28,'12 Final Menu'!$A$5:$A$200,0)),"")</f>
        <v/>
      </c>
      <c r="M28" s="161">
        <f>IF($C28="","Waiting on supplier quotes",IF(AND($H28&lt;&gt;"",$H28&lt;'01 Control'!$C$17-0.05),"ADOPTED Set B price is under the GP target - use the Set A step-up",IF(AND($F28&lt;&gt;"",$F28&lt;'01 Control'!$C$17-0.05),"Set B clears, Set A does not","Both sets clear the GP target")))</f>
        <v/>
      </c>
    </row>
    <row r="29" ht="15" customHeight="1" s="106">
      <c r="A29" s="134" t="inlineStr">
        <is>
          <t>PP-BEV-SLUSH-ROTATING</t>
        </is>
      </c>
      <c r="B29" s="113" t="inlineStr">
        <is>
          <t>Rotating Slushee (seasonal)</t>
        </is>
      </c>
      <c r="C29" s="150">
        <f>IFERROR(INDEX('12 Final Menu'!$J$5:$J$200,MATCH($A29,'12 Final Menu'!$A$5:$A$200,0)),"")</f>
        <v/>
      </c>
      <c r="D29" s="150">
        <f>IFERROR(INDEX('12 Final Menu'!$O$5:$O$200,MATCH($A29,'12 Final Menu'!$A$5:$A$200,0)),"")</f>
        <v/>
      </c>
      <c r="E29" s="148" t="n"/>
      <c r="F29" s="182">
        <f>IF(OR($E29="",$C29=""),"",($E29/(1+'01 Control'!$C$6)-$C29)/($E29/(1+'01 Control'!$C$6)))</f>
        <v/>
      </c>
      <c r="G29" s="148" t="n">
        <v>22</v>
      </c>
      <c r="H29" s="182">
        <f>IF(OR($G29="",$C29=""),"",($G29/(1+'01 Control'!$C$6)-$C29)/($G29/(1+'01 Control'!$C$6)))</f>
        <v/>
      </c>
      <c r="I29" s="150">
        <f>IF(OR($E29="",$G29=""),"",$E29-$G29)</f>
        <v/>
      </c>
      <c r="J29" s="150">
        <f>IF(OR($E29="",$D29=""),"",$E29-$D29)</f>
        <v/>
      </c>
      <c r="K29" s="150">
        <f>IF(OR($G29="",$D29=""),"",$G29-$D29)</f>
        <v/>
      </c>
      <c r="L29" s="151">
        <f>IFERROR(INDEX('12 Final Menu'!$Q$5:$Q$200,MATCH($A29,'12 Final Menu'!$A$5:$A$200,0)),"")</f>
        <v/>
      </c>
      <c r="M29" s="161">
        <f>IF($C29="","Waiting on supplier quotes",IF(AND($H29&lt;&gt;"",$H29&lt;'01 Control'!$C$17-0.05),"ADOPTED Set B price is under the GP target - use the Set A step-up",IF(AND($F29&lt;&gt;"",$F29&lt;'01 Control'!$C$17-0.05),"Set B clears, Set A does not","Both sets clear the GP target")))</f>
        <v/>
      </c>
    </row>
    <row r="30" ht="15" customHeight="1" s="106">
      <c r="A30" s="134" t="inlineStr">
        <is>
          <t>PP-BEV-SLUSH-NAARTJIE</t>
        </is>
      </c>
      <c r="B30" s="113" t="inlineStr">
        <is>
          <t>Naartjie Slushee</t>
        </is>
      </c>
      <c r="C30" s="150">
        <f>IFERROR(INDEX('12 Final Menu'!$J$5:$J$200,MATCH($A30,'12 Final Menu'!$A$5:$A$200,0)),"")</f>
        <v/>
      </c>
      <c r="D30" s="150">
        <f>IFERROR(INDEX('12 Final Menu'!$O$5:$O$200,MATCH($A30,'12 Final Menu'!$A$5:$A$200,0)),"")</f>
        <v/>
      </c>
      <c r="E30" s="148" t="n"/>
      <c r="F30" s="182">
        <f>IF(OR($E30="",$C30=""),"",($E30/(1+'01 Control'!$C$6)-$C30)/($E30/(1+'01 Control'!$C$6)))</f>
        <v/>
      </c>
      <c r="G30" s="148" t="n">
        <v>20</v>
      </c>
      <c r="H30" s="182">
        <f>IF(OR($G30="",$C30=""),"",($G30/(1+'01 Control'!$C$6)-$C30)/($G30/(1+'01 Control'!$C$6)))</f>
        <v/>
      </c>
      <c r="I30" s="150">
        <f>IF(OR($E30="",$G30=""),"",$E30-$G30)</f>
        <v/>
      </c>
      <c r="J30" s="150">
        <f>IF(OR($E30="",$D30=""),"",$E30-$D30)</f>
        <v/>
      </c>
      <c r="K30" s="150">
        <f>IF(OR($G30="",$D30=""),"",$G30-$D30)</f>
        <v/>
      </c>
      <c r="L30" s="151">
        <f>IFERROR(INDEX('12 Final Menu'!$Q$5:$Q$200,MATCH($A30,'12 Final Menu'!$A$5:$A$200,0)),"")</f>
        <v/>
      </c>
      <c r="M30" s="161">
        <f>IF($C30="","Waiting on supplier quotes",IF(AND($H30&lt;&gt;"",$H30&lt;'01 Control'!$C$17-0.05),"ADOPTED Set B price is under the GP target - use the Set A step-up",IF(AND($F30&lt;&gt;"",$F30&lt;'01 Control'!$C$17-0.05),"Set B clears, Set A does not","Both sets clear the GP target")))</f>
        <v/>
      </c>
    </row>
    <row r="31" ht="15" customHeight="1" s="106">
      <c r="A31" s="134" t="inlineStr">
        <is>
          <t>PP-BEV-SLUSH-GRANADILLA</t>
        </is>
      </c>
      <c r="B31" s="113" t="inlineStr">
        <is>
          <t>Granadilla Slushee</t>
        </is>
      </c>
      <c r="C31" s="150">
        <f>IFERROR(INDEX('12 Final Menu'!$J$5:$J$200,MATCH($A31,'12 Final Menu'!$A$5:$A$200,0)),"")</f>
        <v/>
      </c>
      <c r="D31" s="150">
        <f>IFERROR(INDEX('12 Final Menu'!$O$5:$O$200,MATCH($A31,'12 Final Menu'!$A$5:$A$200,0)),"")</f>
        <v/>
      </c>
      <c r="E31" s="148" t="n"/>
      <c r="F31" s="182">
        <f>IF(OR($E31="",$C31=""),"",($E31/(1+'01 Control'!$C$6)-$C31)/($E31/(1+'01 Control'!$C$6)))</f>
        <v/>
      </c>
      <c r="G31" s="148" t="n">
        <v>22</v>
      </c>
      <c r="H31" s="182">
        <f>IF(OR($G31="",$C31=""),"",($G31/(1+'01 Control'!$C$6)-$C31)/($G31/(1+'01 Control'!$C$6)))</f>
        <v/>
      </c>
      <c r="I31" s="150">
        <f>IF(OR($E31="",$G31=""),"",$E31-$G31)</f>
        <v/>
      </c>
      <c r="J31" s="150">
        <f>IF(OR($E31="",$D31=""),"",$E31-$D31)</f>
        <v/>
      </c>
      <c r="K31" s="150">
        <f>IF(OR($G31="",$D31=""),"",$G31-$D31)</f>
        <v/>
      </c>
      <c r="L31" s="151">
        <f>IFERROR(INDEX('12 Final Menu'!$Q$5:$Q$200,MATCH($A31,'12 Final Menu'!$A$5:$A$200,0)),"")</f>
        <v/>
      </c>
      <c r="M31" s="161">
        <f>IF($C31="","Waiting on supplier quotes",IF(AND($H31&lt;&gt;"",$H31&lt;'01 Control'!$C$17-0.05),"ADOPTED Set B price is under the GP target - use the Set A step-up",IF(AND($F31&lt;&gt;"",$F31&lt;'01 Control'!$C$17-0.05),"Set B clears, Set A does not","Both sets clear the GP target")))</f>
        <v/>
      </c>
    </row>
    <row r="32" ht="15" customHeight="1" s="106">
      <c r="A32" s="134" t="inlineStr">
        <is>
          <t>PP-BEV-SLUSH-STRAWBERRY</t>
        </is>
      </c>
      <c r="B32" s="113" t="inlineStr">
        <is>
          <t>Strawberry Slushee</t>
        </is>
      </c>
      <c r="C32" s="150">
        <f>IFERROR(INDEX('12 Final Menu'!$J$5:$J$200,MATCH($A32,'12 Final Menu'!$A$5:$A$200,0)),"")</f>
        <v/>
      </c>
      <c r="D32" s="150">
        <f>IFERROR(INDEX('12 Final Menu'!$O$5:$O$200,MATCH($A32,'12 Final Menu'!$A$5:$A$200,0)),"")</f>
        <v/>
      </c>
      <c r="E32" s="148" t="n"/>
      <c r="F32" s="182">
        <f>IF(OR($E32="",$C32=""),"",($E32/(1+'01 Control'!$C$6)-$C32)/($E32/(1+'01 Control'!$C$6)))</f>
        <v/>
      </c>
      <c r="G32" s="148" t="n">
        <v>18</v>
      </c>
      <c r="H32" s="182">
        <f>IF(OR($G32="",$C32=""),"",($G32/(1+'01 Control'!$C$6)-$C32)/($G32/(1+'01 Control'!$C$6)))</f>
        <v/>
      </c>
      <c r="I32" s="150">
        <f>IF(OR($E32="",$G32=""),"",$E32-$G32)</f>
        <v/>
      </c>
      <c r="J32" s="150">
        <f>IF(OR($E32="",$D32=""),"",$E32-$D32)</f>
        <v/>
      </c>
      <c r="K32" s="150">
        <f>IF(OR($G32="",$D32=""),"",$G32-$D32)</f>
        <v/>
      </c>
      <c r="L32" s="151">
        <f>IFERROR(INDEX('12 Final Menu'!$Q$5:$Q$200,MATCH($A32,'12 Final Menu'!$A$5:$A$200,0)),"")</f>
        <v/>
      </c>
      <c r="M32" s="161">
        <f>IF($C32="","Waiting on supplier quotes",IF(AND($H32&lt;&gt;"",$H32&lt;'01 Control'!$C$17-0.05),"ADOPTED Set B price is under the GP target - use the Set A step-up",IF(AND($F32&lt;&gt;"",$F32&lt;'01 Control'!$C$17-0.05),"Set B clears, Set A does not","Both sets clear the GP target")))</f>
        <v/>
      </c>
    </row>
    <row r="33" ht="15" customHeight="1" s="106">
      <c r="A33" s="134" t="inlineStr">
        <is>
          <t>PP-BEV-SLUSH-BUBBLEGUM</t>
        </is>
      </c>
      <c r="B33" s="113" t="inlineStr">
        <is>
          <t>Blue Bubblegum Slushee</t>
        </is>
      </c>
      <c r="C33" s="150">
        <f>IFERROR(INDEX('12 Final Menu'!$J$5:$J$200,MATCH($A33,'12 Final Menu'!$A$5:$A$200,0)),"")</f>
        <v/>
      </c>
      <c r="D33" s="150">
        <f>IFERROR(INDEX('12 Final Menu'!$O$5:$O$200,MATCH($A33,'12 Final Menu'!$A$5:$A$200,0)),"")</f>
        <v/>
      </c>
      <c r="E33" s="148" t="n"/>
      <c r="F33" s="182">
        <f>IF(OR($E33="",$C33=""),"",($E33/(1+'01 Control'!$C$6)-$C33)/($E33/(1+'01 Control'!$C$6)))</f>
        <v/>
      </c>
      <c r="G33" s="148" t="n">
        <v>18</v>
      </c>
      <c r="H33" s="182">
        <f>IF(OR($G33="",$C33=""),"",($G33/(1+'01 Control'!$C$6)-$C33)/($G33/(1+'01 Control'!$C$6)))</f>
        <v/>
      </c>
      <c r="I33" s="150">
        <f>IF(OR($E33="",$G33=""),"",$E33-$G33)</f>
        <v/>
      </c>
      <c r="J33" s="150">
        <f>IF(OR($E33="",$D33=""),"",$E33-$D33)</f>
        <v/>
      </c>
      <c r="K33" s="150">
        <f>IF(OR($G33="",$D33=""),"",$G33-$D33)</f>
        <v/>
      </c>
      <c r="L33" s="151">
        <f>IFERROR(INDEX('12 Final Menu'!$Q$5:$Q$200,MATCH($A33,'12 Final Menu'!$A$5:$A$200,0)),"")</f>
        <v/>
      </c>
      <c r="M33" s="161">
        <f>IF($C33="","Waiting on supplier quotes",IF(AND($H33&lt;&gt;"",$H33&lt;'01 Control'!$C$17-0.05),"ADOPTED Set B price is under the GP target - use the Set A step-up",IF(AND($F33&lt;&gt;"",$F33&lt;'01 Control'!$C$17-0.05),"Set B clears, Set A does not","Both sets clear the GP target")))</f>
        <v/>
      </c>
    </row>
    <row r="34" ht="15" customHeight="1" s="106">
      <c r="A34" s="134" t="inlineStr">
        <is>
          <t>PP-BEV-SLUSH-GINGERLIME</t>
        </is>
      </c>
      <c r="B34" s="113" t="inlineStr">
        <is>
          <t>Ginger-Lime Slushee</t>
        </is>
      </c>
      <c r="C34" s="150">
        <f>IFERROR(INDEX('12 Final Menu'!$J$5:$J$200,MATCH($A34,'12 Final Menu'!$A$5:$A$200,0)),"")</f>
        <v/>
      </c>
      <c r="D34" s="150">
        <f>IFERROR(INDEX('12 Final Menu'!$O$5:$O$200,MATCH($A34,'12 Final Menu'!$A$5:$A$200,0)),"")</f>
        <v/>
      </c>
      <c r="E34" s="148" t="n"/>
      <c r="F34" s="182">
        <f>IF(OR($E34="",$C34=""),"",($E34/(1+'01 Control'!$C$6)-$C34)/($E34/(1+'01 Control'!$C$6)))</f>
        <v/>
      </c>
      <c r="G34" s="148" t="n">
        <v>22</v>
      </c>
      <c r="H34" s="182">
        <f>IF(OR($G34="",$C34=""),"",($G34/(1+'01 Control'!$C$6)-$C34)/($G34/(1+'01 Control'!$C$6)))</f>
        <v/>
      </c>
      <c r="I34" s="150">
        <f>IF(OR($E34="",$G34=""),"",$E34-$G34)</f>
        <v/>
      </c>
      <c r="J34" s="150">
        <f>IF(OR($E34="",$D34=""),"",$E34-$D34)</f>
        <v/>
      </c>
      <c r="K34" s="150">
        <f>IF(OR($G34="",$D34=""),"",$G34-$D34)</f>
        <v/>
      </c>
      <c r="L34" s="151">
        <f>IFERROR(INDEX('12 Final Menu'!$Q$5:$Q$200,MATCH($A34,'12 Final Menu'!$A$5:$A$200,0)),"")</f>
        <v/>
      </c>
      <c r="M34" s="161">
        <f>IF($C34="","Waiting on supplier quotes",IF(AND($H34&lt;&gt;"",$H34&lt;'01 Control'!$C$17-0.05),"ADOPTED Set B price is under the GP target - use the Set A step-up",IF(AND($F34&lt;&gt;"",$F34&lt;'01 Control'!$C$17-0.05),"Set B clears, Set A does not","Both sets clear the GP target")))</f>
        <v/>
      </c>
    </row>
    <row r="35" ht="15" customHeight="1" s="106">
      <c r="A35" s="134" t="inlineStr">
        <is>
          <t>PP-BEV-SLUSH-BERRY</t>
        </is>
      </c>
      <c r="B35" s="113" t="inlineStr">
        <is>
          <t>Papa's Red (mixed berry)</t>
        </is>
      </c>
      <c r="C35" s="150">
        <f>IFERROR(INDEX('12 Final Menu'!$J$5:$J$200,MATCH($A35,'12 Final Menu'!$A$5:$A$200,0)),"")</f>
        <v/>
      </c>
      <c r="D35" s="150">
        <f>IFERROR(INDEX('12 Final Menu'!$O$5:$O$200,MATCH($A35,'12 Final Menu'!$A$5:$A$200,0)),"")</f>
        <v/>
      </c>
      <c r="E35" s="148" t="n"/>
      <c r="F35" s="182">
        <f>IF(OR($E35="",$C35=""),"",($E35/(1+'01 Control'!$C$6)-$C35)/($E35/(1+'01 Control'!$C$6)))</f>
        <v/>
      </c>
      <c r="G35" s="148" t="n">
        <v>22</v>
      </c>
      <c r="H35" s="182">
        <f>IF(OR($G35="",$C35=""),"",($G35/(1+'01 Control'!$C$6)-$C35)/($G35/(1+'01 Control'!$C$6)))</f>
        <v/>
      </c>
      <c r="I35" s="150">
        <f>IF(OR($E35="",$G35=""),"",$E35-$G35)</f>
        <v/>
      </c>
      <c r="J35" s="150">
        <f>IF(OR($E35="",$D35=""),"",$E35-$D35)</f>
        <v/>
      </c>
      <c r="K35" s="150">
        <f>IF(OR($G35="",$D35=""),"",$G35-$D35)</f>
        <v/>
      </c>
      <c r="L35" s="151">
        <f>IFERROR(INDEX('12 Final Menu'!$Q$5:$Q$200,MATCH($A35,'12 Final Menu'!$A$5:$A$200,0)),"")</f>
        <v/>
      </c>
      <c r="M35" s="161">
        <f>IF($C35="","Waiting on supplier quotes",IF(AND($H35&lt;&gt;"",$H35&lt;'01 Control'!$C$17-0.05),"ADOPTED Set B price is under the GP target - use the Set A step-up",IF(AND($F35&lt;&gt;"",$F35&lt;'01 Control'!$C$17-0.05),"Set B clears, Set A does not","Both sets clear the GP target")))</f>
        <v/>
      </c>
    </row>
    <row r="36" ht="15" customHeight="1" s="106">
      <c r="A36" s="134" t="inlineStr">
        <is>
          <t>PP-BEV-SODA</t>
        </is>
      </c>
      <c r="B36" s="113" t="inlineStr">
        <is>
          <t>Post-Mix Soda</t>
        </is>
      </c>
      <c r="C36" s="150">
        <f>IFERROR(INDEX('12 Final Menu'!$J$5:$J$200,MATCH($A36,'12 Final Menu'!$A$5:$A$200,0)),"")</f>
        <v/>
      </c>
      <c r="D36" s="150">
        <f>IFERROR(INDEX('12 Final Menu'!$O$5:$O$200,MATCH($A36,'12 Final Menu'!$A$5:$A$200,0)),"")</f>
        <v/>
      </c>
      <c r="E36" s="148" t="n"/>
      <c r="F36" s="182">
        <f>IF(OR($E36="",$C36=""),"",($E36/(1+'01 Control'!$C$6)-$C36)/($E36/(1+'01 Control'!$C$6)))</f>
        <v/>
      </c>
      <c r="G36" s="148" t="n">
        <v>15</v>
      </c>
      <c r="H36" s="182">
        <f>IF(OR($G36="",$C36=""),"",($G36/(1+'01 Control'!$C$6)-$C36)/($G36/(1+'01 Control'!$C$6)))</f>
        <v/>
      </c>
      <c r="I36" s="150">
        <f>IF(OR($E36="",$G36=""),"",$E36-$G36)</f>
        <v/>
      </c>
      <c r="J36" s="150">
        <f>IF(OR($E36="",$D36=""),"",$E36-$D36)</f>
        <v/>
      </c>
      <c r="K36" s="150">
        <f>IF(OR($G36="",$D36=""),"",$G36-$D36)</f>
        <v/>
      </c>
      <c r="L36" s="151">
        <f>IFERROR(INDEX('12 Final Menu'!$Q$5:$Q$200,MATCH($A36,'12 Final Menu'!$A$5:$A$200,0)),"")</f>
        <v/>
      </c>
      <c r="M36" s="161">
        <f>IF($C36="","Waiting on supplier quotes",IF(AND($H36&lt;&gt;"",$H36&lt;'01 Control'!$C$17-0.05),"ADOPTED Set B price is under the GP target - use the Set A step-up",IF(AND($F36&lt;&gt;"",$F36&lt;'01 Control'!$C$17-0.05),"Set B clears, Set A does not","Both sets clear the GP target")))</f>
        <v/>
      </c>
    </row>
    <row r="37" ht="15" customHeight="1" s="106">
      <c r="A37" s="134" t="inlineStr">
        <is>
          <t>PP-BEV-WATER</t>
        </is>
      </c>
      <c r="B37" s="113" t="inlineStr">
        <is>
          <t>Still / Sparkling Water 500 ml</t>
        </is>
      </c>
      <c r="C37" s="150">
        <f>IFERROR(INDEX('12 Final Menu'!$J$5:$J$200,MATCH($A37,'12 Final Menu'!$A$5:$A$200,0)),"")</f>
        <v/>
      </c>
      <c r="D37" s="150">
        <f>IFERROR(INDEX('12 Final Menu'!$O$5:$O$200,MATCH($A37,'12 Final Menu'!$A$5:$A$200,0)),"")</f>
        <v/>
      </c>
      <c r="E37" s="148" t="n"/>
      <c r="F37" s="182">
        <f>IF(OR($E37="",$C37=""),"",($E37/(1+'01 Control'!$C$6)-$C37)/($E37/(1+'01 Control'!$C$6)))</f>
        <v/>
      </c>
      <c r="G37" s="148" t="n">
        <v>20</v>
      </c>
      <c r="H37" s="182">
        <f>IF(OR($G37="",$C37=""),"",($G37/(1+'01 Control'!$C$6)-$C37)/($G37/(1+'01 Control'!$C$6)))</f>
        <v/>
      </c>
      <c r="I37" s="150">
        <f>IF(OR($E37="",$G37=""),"",$E37-$G37)</f>
        <v/>
      </c>
      <c r="J37" s="150">
        <f>IF(OR($E37="",$D37=""),"",$E37-$D37)</f>
        <v/>
      </c>
      <c r="K37" s="150">
        <f>IF(OR($G37="",$D37=""),"",$G37-$D37)</f>
        <v/>
      </c>
      <c r="L37" s="151">
        <f>IFERROR(INDEX('12 Final Menu'!$Q$5:$Q$200,MATCH($A37,'12 Final Menu'!$A$5:$A$200,0)),"")</f>
        <v/>
      </c>
      <c r="M37" s="161">
        <f>IF($C37="","Waiting on supplier quotes",IF(AND($H37&lt;&gt;"",$H37&lt;'01 Control'!$C$17-0.05),"ADOPTED Set B price is under the GP target - use the Set A step-up",IF(AND($F37&lt;&gt;"",$F37&lt;'01 Control'!$C$17-0.05),"Set B clears, Set A does not","Both sets clear the GP target")))</f>
        <v/>
      </c>
    </row>
    <row r="38" ht="15" customHeight="1" s="106">
      <c r="A38" s="134" t="inlineStr">
        <is>
          <t>PP-BEV-PANNA</t>
        </is>
      </c>
      <c r="B38" s="113" t="inlineStr">
        <is>
          <t>Acqua Panna 250 ml</t>
        </is>
      </c>
      <c r="C38" s="150">
        <f>IFERROR(INDEX('12 Final Menu'!$J$5:$J$200,MATCH($A38,'12 Final Menu'!$A$5:$A$200,0)),"")</f>
        <v/>
      </c>
      <c r="D38" s="150">
        <f>IFERROR(INDEX('12 Final Menu'!$O$5:$O$200,MATCH($A38,'12 Final Menu'!$A$5:$A$200,0)),"")</f>
        <v/>
      </c>
      <c r="E38" s="148" t="n"/>
      <c r="F38" s="182">
        <f>IF(OR($E38="",$C38=""),"",($E38/(1+'01 Control'!$C$6)-$C38)/($E38/(1+'01 Control'!$C$6)))</f>
        <v/>
      </c>
      <c r="G38" s="148" t="n">
        <v>22</v>
      </c>
      <c r="H38" s="182">
        <f>IF(OR($G38="",$C38=""),"",($G38/(1+'01 Control'!$C$6)-$C38)/($G38/(1+'01 Control'!$C$6)))</f>
        <v/>
      </c>
      <c r="I38" s="150">
        <f>IF(OR($E38="",$G38=""),"",$E38-$G38)</f>
        <v/>
      </c>
      <c r="J38" s="150">
        <f>IF(OR($E38="",$D38=""),"",$E38-$D38)</f>
        <v/>
      </c>
      <c r="K38" s="150">
        <f>IF(OR($G38="",$D38=""),"",$G38-$D38)</f>
        <v/>
      </c>
      <c r="L38" s="151">
        <f>IFERROR(INDEX('12 Final Menu'!$Q$5:$Q$200,MATCH($A38,'12 Final Menu'!$A$5:$A$200,0)),"")</f>
        <v/>
      </c>
      <c r="M38" s="161">
        <f>IF($C38="","Waiting on supplier quotes",IF(AND($H38&lt;&gt;"",$H38&lt;'01 Control'!$C$17-0.05),"ADOPTED Set B price is under the GP target - use the Set A step-up",IF(AND($F38&lt;&gt;"",$F38&lt;'01 Control'!$C$17-0.05),"Set B clears, Set A does not","Both sets clear the GP target")))</f>
        <v/>
      </c>
    </row>
    <row r="40" ht="15" customHeight="1" s="106">
      <c r="A40" s="128" t="inlineStr">
        <is>
          <t>THE DECISION, AND WHAT IT COST</t>
        </is>
      </c>
      <c r="B40" s="110" t="n"/>
      <c r="C40" s="110" t="n"/>
      <c r="D40" s="110" t="n"/>
      <c r="E40" s="110" t="n"/>
      <c r="F40" s="110" t="n"/>
      <c r="G40" s="110" t="n"/>
      <c r="H40" s="110" t="n"/>
      <c r="I40" s="110" t="n"/>
      <c r="J40" s="110" t="n"/>
      <c r="K40" s="110" t="n"/>
      <c r="L40" s="110" t="n"/>
      <c r="M40" s="111" t="n"/>
    </row>
    <row r="41" ht="21.75" customHeight="1" s="106">
      <c r="A41" s="112" t="n"/>
      <c r="B41" s="112" t="inlineStr">
        <is>
          <t>Finding</t>
        </is>
      </c>
      <c r="C41" s="110" t="n"/>
      <c r="D41" s="110" t="n"/>
      <c r="E41" s="110" t="n"/>
      <c r="F41" s="110" t="n"/>
      <c r="G41" s="110" t="n"/>
      <c r="H41" s="110" t="n"/>
      <c r="I41" s="110" t="n"/>
      <c r="J41" s="110" t="n"/>
      <c r="K41" s="110" t="n"/>
      <c r="L41" s="111" t="n"/>
      <c r="M41" s="112" t="inlineStr">
        <is>
          <t>What it means</t>
        </is>
      </c>
    </row>
    <row r="42" ht="43.5" customHeight="1" s="106">
      <c r="A42" s="205" t="inlineStr">
        <is>
          <t>!</t>
        </is>
      </c>
      <c r="B42" s="133" t="inlineStr">
        <is>
          <t>SET B IS ADOPTED. Set A becomes the step-up.</t>
        </is>
      </c>
      <c r="C42" s="110" t="n"/>
      <c r="D42" s="110" t="n"/>
      <c r="E42" s="110" t="n"/>
      <c r="F42" s="110" t="n"/>
      <c r="G42" s="110" t="n"/>
      <c r="H42" s="110" t="n"/>
      <c r="I42" s="110" t="n"/>
      <c r="J42" s="110" t="n"/>
      <c r="K42" s="110" t="n"/>
      <c r="L42" s="111" t="n"/>
      <c r="M42" s="116" t="inlineStr">
        <is>
          <t>Set B is the only set that carries the whole menu - beverages, Build Your Own and the add-on ladder are all on it and all absent from Set A. Choosing A would have meant re-pricing those lines from scratch anyway. Set B also opens the menu lower (R65 Napoletana, R85 Bolognese), which is the right shape for a volume-driven QSR whose whole model rests on the Bokgat Base being the volume driver. What it costs: about R10 a bowl of margin headroom against Set A. That is the trade, and it is recoverable - if the flour quotes land at the top of the band, Set A is already agreed, already designed and already on this tab, so the step-up is a print job rather than a pricing exercise.</t>
        </is>
      </c>
    </row>
    <row r="43" ht="43.5" customHeight="1" s="106">
      <c r="A43" s="205" t="inlineStr">
        <is>
          <t>!</t>
        </is>
      </c>
      <c r="B43" s="133" t="inlineStr">
        <is>
          <t>Where Set B had no price, Set A was used.</t>
        </is>
      </c>
      <c r="C43" s="110" t="n"/>
      <c r="D43" s="110" t="n"/>
      <c r="E43" s="110" t="n"/>
      <c r="F43" s="110" t="n"/>
      <c r="G43" s="110" t="n"/>
      <c r="H43" s="110" t="n"/>
      <c r="I43" s="110" t="n"/>
      <c r="J43" s="110" t="n"/>
      <c r="K43" s="110" t="n"/>
      <c r="L43" s="111" t="n"/>
      <c r="M43" s="116" t="inlineStr">
        <is>
          <t>Meatballs R50, Extra Parmesan R20, Garlic Crumb R15 and Chilli Hit R10 exist only on the TV boards. They are carried at those prices and the source is named on column AB of 12 Final Menu so nothing is silently mixed.</t>
        </is>
      </c>
    </row>
    <row r="44" ht="43.5" customHeight="1" s="106">
      <c r="A44" s="205" t="inlineStr">
        <is>
          <t>!</t>
        </is>
      </c>
      <c r="B44" s="133" t="inlineStr">
        <is>
          <t>Rainbow Pasta Salad is R35 on the TV boards and R36 in the Menu Concepts pack.</t>
        </is>
      </c>
      <c r="C44" s="110" t="n"/>
      <c r="D44" s="110" t="n"/>
      <c r="E44" s="110" t="n"/>
      <c r="F44" s="110" t="n"/>
      <c r="G44" s="110" t="n"/>
      <c r="H44" s="110" t="n"/>
      <c r="I44" s="110" t="n"/>
      <c r="J44" s="110" t="n"/>
      <c r="K44" s="110" t="n"/>
      <c r="L44" s="111" t="n"/>
      <c r="M44" s="116" t="inlineStr">
        <is>
          <t>A one-rand difference, but it is the same salad on two boards a customer could see in the same store.</t>
        </is>
      </c>
    </row>
    <row r="45" ht="43.5" customHeight="1" s="106">
      <c r="A45" s="205" t="inlineStr">
        <is>
          <t>!</t>
        </is>
      </c>
      <c r="B45" s="133" t="inlineStr">
        <is>
          <t>The add-on list differs between the two.</t>
        </is>
      </c>
      <c r="C45" s="110" t="n"/>
      <c r="D45" s="110" t="n"/>
      <c r="E45" s="110" t="n"/>
      <c r="F45" s="110" t="n"/>
      <c r="G45" s="110" t="n"/>
      <c r="H45" s="110" t="n"/>
      <c r="I45" s="110" t="n"/>
      <c r="J45" s="110" t="n"/>
      <c r="K45" s="110" t="n"/>
      <c r="L45" s="111" t="n"/>
      <c r="M45" s="116" t="inlineStr">
        <is>
          <t>The TV boards run Seasoned Beef R45, Meatballs R50, Extra Parmesan R20, Garlic Crumb R15, Chilli Hit R10. The Menu Concepts pack runs Protein attach +R45, Beef Bacon +R40, Salad Beef +R15. Both are now costed here so you can pick one list.</t>
        </is>
      </c>
    </row>
    <row r="46" ht="43.5" customHeight="1" s="106">
      <c r="A46" s="205" t="inlineStr">
        <is>
          <t>!</t>
        </is>
      </c>
      <c r="B46" s="133" t="inlineStr">
        <is>
          <t>The Fuel Bar is now built out: 9 slushee flavours, post-mix, two waters, plus a 600 ml upsize.</t>
        </is>
      </c>
      <c r="C46" s="110" t="n"/>
      <c r="D46" s="110" t="n"/>
      <c r="E46" s="110" t="n"/>
      <c r="F46" s="110" t="n"/>
      <c r="G46" s="110" t="n"/>
      <c r="H46" s="110" t="n"/>
      <c r="I46" s="110" t="n"/>
      <c r="J46" s="110" t="n"/>
      <c r="K46" s="110" t="n"/>
      <c r="L46" s="111" t="n"/>
      <c r="M46" s="116" t="inlineStr">
        <is>
          <t>Rooibos, Naartjie, Granadilla, Strawberry, Blue Bubblegum, Ginger-Lime, Papa's Red, Cream Soda and Lemonade. Rooibos is the SA hero and Blue Bubblegum is the kids anchor - those two should be permanent bowls; the rest rotate through the remaining bowls. R18 for the simple syrups, R20-22 for the premium and SA-specific ones, and a R8 upsize to 600 ml, which is the highest-margin click on the whole menu. At an 80% GP target these lines carry the store.</t>
        </is>
      </c>
    </row>
    <row r="47" ht="43.5" customHeight="1" s="106">
      <c r="A47" s="205" t="inlineStr">
        <is>
          <t>!</t>
        </is>
      </c>
      <c r="B47" s="133" t="inlineStr">
        <is>
          <t>Build Your Own is priced at R75 on the Menu Concepts boards and is absent from the TV boards.</t>
        </is>
      </c>
      <c r="C47" s="110" t="n"/>
      <c r="D47" s="110" t="n"/>
      <c r="E47" s="110" t="n"/>
      <c r="F47" s="110" t="n"/>
      <c r="G47" s="110" t="n"/>
      <c r="H47" s="110" t="n"/>
      <c r="I47" s="110" t="n"/>
      <c r="J47" s="110" t="n"/>
      <c r="K47" s="110" t="n"/>
      <c r="L47" s="111" t="n"/>
      <c r="M47" s="116" t="inlineStr">
        <is>
          <t>It is costed here on the dearest common build (Protein+ Pro with Pesto) so the price floor holds whatever the guest picks.</t>
        </is>
      </c>
    </row>
    <row r="49" ht="19.4" customHeight="1" s="106">
      <c r="A49" s="135" t="inlineStr">
        <is>
          <t>Both price sets stay as inputs so you can overtype them as they change. The GP% columns are the whole point: they say whether a board price actually clears the target once the real ingredient costs land. Until the quotes are in, Model Direct Cost is blank and the GP columns stay empty - that is the model refusing to guess, not a fault. The Menu Concepts review pack listed 'confirm final prices before print files are regenerated' as a decision waiting on you. It is now made: Set B goes to print. Re-read the GP% at Set B column the day the flour quotes land - that is the moment to confirm the decision or trigger the Set A step-up.</t>
        </is>
      </c>
    </row>
  </sheetData>
  <sheetProtection selectLockedCells="0" selectUnlockedCells="0" sheet="1" objects="0" insertRows="1" insertHyperlinks="1" autoFilter="0" scenarios="0" formatColumns="0" deleteColumns="1" insertColumns="1" pivotTables="1" deleteRows="1" formatCells="0" formatRows="0" sort="0"/>
  <mergeCells count="11">
    <mergeCell ref="B43:L43"/>
    <mergeCell ref="A1:M1"/>
    <mergeCell ref="B44:L44"/>
    <mergeCell ref="A40:M40"/>
    <mergeCell ref="B47:L47"/>
    <mergeCell ref="B42:L42"/>
    <mergeCell ref="B46:L46"/>
    <mergeCell ref="A2:M2"/>
    <mergeCell ref="B45:L45"/>
    <mergeCell ref="A49:M49"/>
    <mergeCell ref="B41:L4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N144"/>
  <sheetViews>
    <sheetView showFormulas="0" showGridLines="0"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cols>
    <col width="13" customWidth="1" style="105" min="1" max="1"/>
    <col width="24" customWidth="1" style="105" min="2" max="2"/>
    <col width="40" customWidth="1" style="105" min="3" max="3"/>
    <col width="26" customWidth="1" style="105" min="4" max="4"/>
    <col width="11" customWidth="1" style="105" min="5" max="6"/>
    <col width="15" customWidth="1" style="105" min="7" max="7"/>
    <col width="16" customWidth="1" style="105" min="8" max="8"/>
    <col width="13" customWidth="1" style="105" min="9" max="9"/>
    <col width="11" customWidth="1" style="105" min="10" max="10"/>
    <col width="12" customWidth="1" style="105" min="11" max="11"/>
    <col width="26" customWidth="1" style="105" min="12" max="12"/>
    <col width="18" customWidth="1" style="105" min="13" max="13"/>
    <col width="40" customWidth="1" style="105" min="14" max="14"/>
  </cols>
  <sheetData>
    <row r="1" ht="30" customHeight="1" s="106">
      <c r="A1" s="107" t="inlineStr">
        <is>
          <t>SUPPLIER QUOTE LOG  -  THE PAPER TRAIL</t>
        </is>
      </c>
    </row>
    <row r="2" ht="18" customHeight="1" s="106">
      <c r="A2" s="108" t="inlineStr">
        <is>
          <t>Every quote you are ever given, dated. This is where suppliers 6, 7, 8 and beyond live. When one beats a price already in a slot on 04 SKU Master, move it into that slot.</t>
        </is>
      </c>
    </row>
    <row r="4" ht="36" customHeight="1" s="106">
      <c r="A4" s="112" t="inlineStr">
        <is>
          <t>Quote Date</t>
        </is>
      </c>
      <c r="B4" s="112" t="inlineStr">
        <is>
          <t>SKU</t>
        </is>
      </c>
      <c r="C4" s="112" t="inlineStr">
        <is>
          <t>Item Description</t>
        </is>
      </c>
      <c r="D4" s="112" t="inlineStr">
        <is>
          <t>Supplier</t>
        </is>
      </c>
      <c r="E4" s="112" t="inlineStr">
        <is>
          <t>Pack Qty</t>
        </is>
      </c>
      <c r="F4" s="112" t="inlineStr">
        <is>
          <t>Pack Unit</t>
        </is>
      </c>
      <c r="G4" s="112" t="inlineStr">
        <is>
          <t>Pack Cost
(as quoted)</t>
        </is>
      </c>
      <c r="H4" s="112" t="inlineStr">
        <is>
          <t>Cost per
Base Unit</t>
        </is>
      </c>
      <c r="I4" s="112" t="inlineStr">
        <is>
          <t>Valid Until</t>
        </is>
      </c>
      <c r="J4" s="112" t="inlineStr">
        <is>
          <t>MOQ</t>
        </is>
      </c>
      <c r="K4" s="112" t="inlineStr">
        <is>
          <t>Lead Time
(days)</t>
        </is>
      </c>
      <c r="L4" s="112" t="inlineStr">
        <is>
          <t>Quote Ref / File</t>
        </is>
      </c>
      <c r="M4" s="112" t="inlineStr">
        <is>
          <t>Captured By</t>
        </is>
      </c>
      <c r="N4" s="112" t="inlineStr">
        <is>
          <t>Notes</t>
        </is>
      </c>
    </row>
    <row r="5" ht="15" customHeight="1" s="106">
      <c r="A5" s="149" t="n">
        <v>46251</v>
      </c>
      <c r="B5" s="124" t="inlineStr">
        <is>
          <t>PP-VEG-SPINACH</t>
        </is>
      </c>
      <c r="C5" s="140" t="inlineStr">
        <is>
          <t>Baby spinach</t>
        </is>
      </c>
      <c r="D5" s="140" t="inlineStr">
        <is>
          <t>Ferreira Fresh</t>
        </is>
      </c>
      <c r="E5" s="147" t="n">
        <v>1</v>
      </c>
      <c r="F5" s="141" t="inlineStr">
        <is>
          <t>kg</t>
        </is>
      </c>
      <c r="G5" s="148" t="n">
        <v>129.5</v>
      </c>
      <c r="H5" s="150">
        <f>IF(OR($G5="",$E5="",$E5=0),"",$G5/($E5*IFERROR(VLOOKUP($F5,'02 Lists'!$A$5:$B$18,2,FALSE()),1)))</f>
        <v/>
      </c>
      <c r="I5" s="149" t="n"/>
      <c r="J5" s="141" t="n"/>
      <c r="K5" s="141" t="n"/>
      <c r="L5" s="140" t="n"/>
      <c r="M5" s="140" t="n"/>
      <c r="N5" s="140" t="n"/>
    </row>
    <row r="6" ht="15" customHeight="1" s="106">
      <c r="A6" s="149" t="n">
        <v>46251</v>
      </c>
      <c r="B6" s="124" t="inlineStr">
        <is>
          <t>PP-VEG-BROCC</t>
        </is>
      </c>
      <c r="C6" s="140" t="inlineStr">
        <is>
          <t>Broccoli</t>
        </is>
      </c>
      <c r="D6" s="140" t="inlineStr">
        <is>
          <t>Ferreira Fresh</t>
        </is>
      </c>
      <c r="E6" s="147" t="n">
        <v>1</v>
      </c>
      <c r="F6" s="141" t="inlineStr">
        <is>
          <t>kg</t>
        </is>
      </c>
      <c r="G6" s="148" t="n">
        <v>79.90000000000001</v>
      </c>
      <c r="H6" s="150">
        <f>IF(OR($G6="",$E6="",$E6=0),"",$G6/($E6*IFERROR(VLOOKUP($F6,'02 Lists'!$A$5:$B$18,2,FALSE()),1)))</f>
        <v/>
      </c>
      <c r="I6" s="149" t="n"/>
      <c r="J6" s="141" t="n"/>
      <c r="K6" s="141" t="n"/>
      <c r="L6" s="140" t="n"/>
      <c r="M6" s="140" t="n"/>
      <c r="N6" s="140" t="n"/>
    </row>
    <row r="7" ht="15" customHeight="1" s="106">
      <c r="A7" s="149" t="n">
        <v>46251</v>
      </c>
      <c r="B7" s="124" t="inlineStr">
        <is>
          <t>PP-VEG-PEPPER</t>
        </is>
      </c>
      <c r="C7" s="140" t="inlineStr">
        <is>
          <t>Bell peppers / mixed peppers</t>
        </is>
      </c>
      <c r="D7" s="140" t="inlineStr">
        <is>
          <t>Ferreira Fresh</t>
        </is>
      </c>
      <c r="E7" s="147" t="n">
        <v>1</v>
      </c>
      <c r="F7" s="141" t="inlineStr">
        <is>
          <t>kg</t>
        </is>
      </c>
      <c r="G7" s="148" t="n">
        <v>39.5</v>
      </c>
      <c r="H7" s="150">
        <f>IF(OR($G7="",$E7="",$E7=0),"",$G7/($E7*IFERROR(VLOOKUP($F7,'02 Lists'!$A$5:$B$18,2,FALSE()),1)))</f>
        <v/>
      </c>
      <c r="I7" s="149" t="n"/>
      <c r="J7" s="141" t="n"/>
      <c r="K7" s="141" t="n"/>
      <c r="L7" s="140" t="n"/>
      <c r="M7" s="140" t="n"/>
      <c r="N7" s="140" t="n"/>
    </row>
    <row r="8" ht="15" customHeight="1" s="106">
      <c r="A8" s="149" t="n">
        <v>46251</v>
      </c>
      <c r="B8" s="124" t="inlineStr">
        <is>
          <t>PP-VEG-ZUCCHINI</t>
        </is>
      </c>
      <c r="C8" s="140" t="inlineStr">
        <is>
          <t>Baby marrow / zucchini</t>
        </is>
      </c>
      <c r="D8" s="140" t="inlineStr">
        <is>
          <t>Ferreira Fresh</t>
        </is>
      </c>
      <c r="E8" s="147" t="n">
        <v>1</v>
      </c>
      <c r="F8" s="141" t="inlineStr">
        <is>
          <t>kg</t>
        </is>
      </c>
      <c r="G8" s="148" t="n">
        <v>26.9</v>
      </c>
      <c r="H8" s="150">
        <f>IF(OR($G8="",$E8="",$E8=0),"",$G8/($E8*IFERROR(VLOOKUP($F8,'02 Lists'!$A$5:$B$18,2,FALSE()),1)))</f>
        <v/>
      </c>
      <c r="I8" s="149" t="n"/>
      <c r="J8" s="141" t="n"/>
      <c r="K8" s="141" t="n"/>
      <c r="L8" s="140" t="n"/>
      <c r="M8" s="140" t="n"/>
      <c r="N8" s="140" t="n"/>
    </row>
    <row r="9" ht="15" customHeight="1" s="106">
      <c r="A9" s="149" t="n">
        <v>46250</v>
      </c>
      <c r="B9" s="124" t="inlineStr">
        <is>
          <t>PP-VEG-REDONION</t>
        </is>
      </c>
      <c r="C9" s="140" t="inlineStr">
        <is>
          <t>Red onion</t>
        </is>
      </c>
      <c r="D9" s="140" t="inlineStr">
        <is>
          <t>Ferreira Fresh</t>
        </is>
      </c>
      <c r="E9" s="147" t="n">
        <v>1</v>
      </c>
      <c r="F9" s="141" t="inlineStr">
        <is>
          <t>kg</t>
        </is>
      </c>
      <c r="G9" s="148" t="n">
        <v>39.5</v>
      </c>
      <c r="H9" s="150">
        <f>IF(OR($G9="",$E9="",$E9=0),"",$G9/($E9*IFERROR(VLOOKUP($F9,'02 Lists'!$A$5:$B$18,2,FALSE()),1)))</f>
        <v/>
      </c>
      <c r="I9" s="149" t="n"/>
      <c r="J9" s="141" t="n"/>
      <c r="K9" s="141" t="n"/>
      <c r="L9" s="140" t="n"/>
      <c r="M9" s="140" t="n"/>
      <c r="N9" s="140" t="n"/>
    </row>
    <row r="10" ht="15" customHeight="1" s="106">
      <c r="A10" s="149" t="n">
        <v>46251</v>
      </c>
      <c r="B10" s="124" t="inlineStr">
        <is>
          <t>PP-VEG-SUNDRIEDTOM</t>
        </is>
      </c>
      <c r="C10" s="140" t="inlineStr">
        <is>
          <t>Sun-dried tomatoes</t>
        </is>
      </c>
      <c r="D10" s="140" t="inlineStr">
        <is>
          <t>Ferreira Fresh</t>
        </is>
      </c>
      <c r="E10" s="147" t="n">
        <v>1</v>
      </c>
      <c r="F10" s="141" t="inlineStr">
        <is>
          <t>kg</t>
        </is>
      </c>
      <c r="G10" s="148" t="n">
        <v>318.5</v>
      </c>
      <c r="H10" s="150">
        <f>IF(OR($G10="",$E10="",$E10=0),"",$G10/($E10*IFERROR(VLOOKUP($F10,'02 Lists'!$A$5:$B$18,2,FALSE()),1)))</f>
        <v/>
      </c>
      <c r="I10" s="149" t="n"/>
      <c r="J10" s="141" t="n"/>
      <c r="K10" s="141" t="n"/>
      <c r="L10" s="140" t="n"/>
      <c r="M10" s="140" t="n"/>
      <c r="N10" s="140" t="n"/>
    </row>
    <row r="11" ht="15" customHeight="1" s="106">
      <c r="A11" s="149" t="n">
        <v>46251</v>
      </c>
      <c r="B11" s="124" t="inlineStr">
        <is>
          <t>PP-VEG-SWEETCORN</t>
        </is>
      </c>
      <c r="C11" s="140" t="inlineStr">
        <is>
          <t>Sweetcorn</t>
        </is>
      </c>
      <c r="D11" s="140" t="inlineStr">
        <is>
          <t>Ferreira Fresh</t>
        </is>
      </c>
      <c r="E11" s="147" t="n">
        <v>1</v>
      </c>
      <c r="F11" s="141" t="inlineStr">
        <is>
          <t>kg</t>
        </is>
      </c>
      <c r="G11" s="148" t="n">
        <v>49.9</v>
      </c>
      <c r="H11" s="150">
        <f>IF(OR($G11="",$E11="",$E11=0),"",$G11/($E11*IFERROR(VLOOKUP($F11,'02 Lists'!$A$5:$B$18,2,FALSE()),1)))</f>
        <v/>
      </c>
      <c r="I11" s="149" t="n"/>
      <c r="J11" s="141" t="n"/>
      <c r="K11" s="141" t="n"/>
      <c r="L11" s="140" t="n"/>
      <c r="M11" s="140" t="n"/>
      <c r="N11" s="140" t="n"/>
    </row>
    <row r="12" ht="15" customHeight="1" s="106">
      <c r="A12" s="149" t="n">
        <v>46251</v>
      </c>
      <c r="B12" s="124" t="inlineStr">
        <is>
          <t>PP-VEG-PEAS</t>
        </is>
      </c>
      <c r="C12" s="140" t="inlineStr">
        <is>
          <t>Peas</t>
        </is>
      </c>
      <c r="D12" s="140" t="inlineStr">
        <is>
          <t>Ferreira Fresh</t>
        </is>
      </c>
      <c r="E12" s="147" t="n">
        <v>1</v>
      </c>
      <c r="F12" s="141" t="inlineStr">
        <is>
          <t>kg</t>
        </is>
      </c>
      <c r="G12" s="148" t="n">
        <v>348.5</v>
      </c>
      <c r="H12" s="150">
        <f>IF(OR($G12="",$E12="",$E12=0),"",$G12/($E12*IFERROR(VLOOKUP($F12,'02 Lists'!$A$5:$B$18,2,FALSE()),1)))</f>
        <v/>
      </c>
      <c r="I12" s="149" t="n"/>
      <c r="J12" s="141" t="n"/>
      <c r="K12" s="141" t="n"/>
      <c r="L12" s="140" t="n"/>
      <c r="M12" s="140" t="n"/>
      <c r="N12" s="140" t="n"/>
    </row>
    <row r="13" ht="15" customHeight="1" s="106">
      <c r="A13" s="149" t="n">
        <v>46251</v>
      </c>
      <c r="B13" s="124" t="inlineStr">
        <is>
          <t>PP-VEG-BUTTERNUT</t>
        </is>
      </c>
      <c r="C13" s="140" t="inlineStr">
        <is>
          <t>Butternut</t>
        </is>
      </c>
      <c r="D13" s="140" t="inlineStr">
        <is>
          <t>Ferreira Fresh</t>
        </is>
      </c>
      <c r="E13" s="147" t="n">
        <v>1</v>
      </c>
      <c r="F13" s="141" t="inlineStr">
        <is>
          <t>kg</t>
        </is>
      </c>
      <c r="G13" s="148" t="n">
        <v>10.9</v>
      </c>
      <c r="H13" s="150">
        <f>IF(OR($G13="",$E13="",$E13=0),"",$G13/($E13*IFERROR(VLOOKUP($F13,'02 Lists'!$A$5:$B$18,2,FALSE()),1)))</f>
        <v/>
      </c>
      <c r="I13" s="149" t="n"/>
      <c r="J13" s="141" t="n"/>
      <c r="K13" s="141" t="n"/>
      <c r="L13" s="140" t="n"/>
      <c r="M13" s="140" t="n"/>
      <c r="N13" s="140" t="n"/>
    </row>
    <row r="14" ht="15" customHeight="1" s="106">
      <c r="A14" s="149" t="n">
        <v>46251</v>
      </c>
      <c r="B14" s="124" t="inlineStr">
        <is>
          <t>PP-VEG-CARROT</t>
        </is>
      </c>
      <c r="C14" s="140" t="inlineStr">
        <is>
          <t>Carrots</t>
        </is>
      </c>
      <c r="D14" s="140" t="inlineStr">
        <is>
          <t>Ferreira Fresh</t>
        </is>
      </c>
      <c r="E14" s="147" t="n">
        <v>1</v>
      </c>
      <c r="F14" s="141" t="inlineStr">
        <is>
          <t>kg</t>
        </is>
      </c>
      <c r="G14" s="148" t="n">
        <v>148</v>
      </c>
      <c r="H14" s="150">
        <f>IF(OR($G14="",$E14="",$E14=0),"",$G14/($E14*IFERROR(VLOOKUP($F14,'02 Lists'!$A$5:$B$18,2,FALSE()),1)))</f>
        <v/>
      </c>
      <c r="I14" s="149" t="n"/>
      <c r="J14" s="141" t="n"/>
      <c r="K14" s="141" t="n"/>
      <c r="L14" s="140" t="n"/>
      <c r="M14" s="140" t="n"/>
      <c r="N14" s="140" t="n"/>
    </row>
    <row r="15" ht="15" customHeight="1" s="106">
      <c r="A15" s="149" t="n">
        <v>46251</v>
      </c>
      <c r="B15" s="124" t="inlineStr">
        <is>
          <t>PP-VEG-GREENBEAN</t>
        </is>
      </c>
      <c r="C15" s="140" t="inlineStr">
        <is>
          <t>Green beans</t>
        </is>
      </c>
      <c r="D15" s="140" t="inlineStr">
        <is>
          <t>Ferreira Fresh</t>
        </is>
      </c>
      <c r="E15" s="147" t="n">
        <v>1</v>
      </c>
      <c r="F15" s="141" t="inlineStr">
        <is>
          <t>kg</t>
        </is>
      </c>
      <c r="G15" s="148" t="n">
        <v>39.5</v>
      </c>
      <c r="H15" s="150">
        <f>IF(OR($G15="",$E15="",$E15=0),"",$G15/($E15*IFERROR(VLOOKUP($F15,'02 Lists'!$A$5:$B$18,2,FALSE()),1)))</f>
        <v/>
      </c>
      <c r="I15" s="149" t="n"/>
      <c r="J15" s="141" t="n"/>
      <c r="K15" s="141" t="n"/>
      <c r="L15" s="140" t="n"/>
      <c r="M15" s="140" t="n"/>
      <c r="N15" s="140" t="n"/>
    </row>
    <row r="16" ht="15" customHeight="1" s="106">
      <c r="A16" s="149" t="n">
        <v>46251</v>
      </c>
      <c r="B16" s="124" t="inlineStr">
        <is>
          <t>PP-VEG-ASPARAGUS</t>
        </is>
      </c>
      <c r="C16" s="140" t="inlineStr">
        <is>
          <t>Asparagus</t>
        </is>
      </c>
      <c r="D16" s="140" t="inlineStr">
        <is>
          <t>Ferreira Fresh</t>
        </is>
      </c>
      <c r="E16" s="147" t="n">
        <v>1</v>
      </c>
      <c r="F16" s="141" t="inlineStr">
        <is>
          <t>kg</t>
        </is>
      </c>
      <c r="G16" s="148" t="n">
        <v>439.5</v>
      </c>
      <c r="H16" s="150">
        <f>IF(OR($G16="",$E16="",$E16=0),"",$G16/($E16*IFERROR(VLOOKUP($F16,'02 Lists'!$A$5:$B$18,2,FALSE()),1)))</f>
        <v/>
      </c>
      <c r="I16" s="149" t="n"/>
      <c r="J16" s="141" t="n"/>
      <c r="K16" s="141" t="n"/>
      <c r="L16" s="140" t="n"/>
      <c r="M16" s="140" t="n"/>
      <c r="N16" s="140" t="n"/>
    </row>
    <row r="17" ht="15" customHeight="1" s="106">
      <c r="A17" s="149" t="n">
        <v>46251</v>
      </c>
      <c r="B17" s="124" t="inlineStr">
        <is>
          <t>PP-GRO-MSH-001</t>
        </is>
      </c>
      <c r="C17" s="140" t="inlineStr">
        <is>
          <t>Grey oyster mushrooms</t>
        </is>
      </c>
      <c r="D17" s="140" t="inlineStr">
        <is>
          <t>The Local Farmer</t>
        </is>
      </c>
      <c r="E17" s="147" t="n">
        <v>1</v>
      </c>
      <c r="F17" s="141" t="inlineStr">
        <is>
          <t>kg</t>
        </is>
      </c>
      <c r="G17" s="148" t="n">
        <v>563.14</v>
      </c>
      <c r="H17" s="150">
        <f>IF(OR($G17="",$E17="",$E17=0),"",$G17/($E17*IFERROR(VLOOKUP($F17,'02 Lists'!$A$5:$B$18,2,FALSE()),1)))</f>
        <v/>
      </c>
      <c r="I17" s="149" t="n"/>
      <c r="J17" s="141" t="n"/>
      <c r="K17" s="141" t="n"/>
      <c r="L17" s="140" t="n"/>
      <c r="M17" s="140" t="n"/>
      <c r="N17" s="140" t="n"/>
    </row>
    <row r="18" ht="15" customHeight="1" s="106">
      <c r="A18" s="149" t="n">
        <v>46251</v>
      </c>
      <c r="B18" s="124" t="inlineStr">
        <is>
          <t>PP-KO-MSH-002</t>
        </is>
      </c>
      <c r="C18" s="140" t="inlineStr">
        <is>
          <t>King oyster mushrooms</t>
        </is>
      </c>
      <c r="D18" s="140" t="inlineStr">
        <is>
          <t>The Local Farmer</t>
        </is>
      </c>
      <c r="E18" s="147" t="n">
        <v>1</v>
      </c>
      <c r="F18" s="141" t="inlineStr">
        <is>
          <t>kg</t>
        </is>
      </c>
      <c r="G18" s="148" t="n">
        <v>563.14</v>
      </c>
      <c r="H18" s="150">
        <f>IF(OR($G18="",$E18="",$E18=0),"",$G18/($E18*IFERROR(VLOOKUP($F18,'02 Lists'!$A$5:$B$18,2,FALSE()),1)))</f>
        <v/>
      </c>
      <c r="I18" s="149" t="n"/>
      <c r="J18" s="141" t="n"/>
      <c r="K18" s="141" t="n"/>
      <c r="L18" s="140" t="n"/>
      <c r="M18" s="140" t="n"/>
      <c r="N18" s="140" t="n"/>
    </row>
    <row r="19" ht="15" customHeight="1" s="106">
      <c r="A19" s="149" t="n">
        <v>46251</v>
      </c>
      <c r="B19" s="124" t="inlineStr">
        <is>
          <t>PP-BA-MIC-001</t>
        </is>
      </c>
      <c r="C19" s="140" t="inlineStr">
        <is>
          <t>Basil microgreens</t>
        </is>
      </c>
      <c r="D19" s="140" t="inlineStr">
        <is>
          <t>The Local Farmer</t>
        </is>
      </c>
      <c r="E19" s="147" t="n">
        <v>1</v>
      </c>
      <c r="F19" s="141" t="inlineStr">
        <is>
          <t>kg</t>
        </is>
      </c>
      <c r="G19" s="148" t="n">
        <v>362.96</v>
      </c>
      <c r="H19" s="150">
        <f>IF(OR($G19="",$E19="",$E19=0),"",$G19/($E19*IFERROR(VLOOKUP($F19,'02 Lists'!$A$5:$B$18,2,FALSE()),1)))</f>
        <v/>
      </c>
      <c r="I19" s="149" t="n"/>
      <c r="J19" s="141" t="n"/>
      <c r="K19" s="141" t="n"/>
      <c r="L19" s="140" t="n"/>
      <c r="M19" s="140" t="n"/>
      <c r="N19" s="140" t="n"/>
    </row>
    <row r="20" ht="15" customHeight="1" s="106">
      <c r="A20" s="149" t="n">
        <v>46251</v>
      </c>
      <c r="B20" s="124" t="inlineStr">
        <is>
          <t>PP-ROC-MIC-002</t>
        </is>
      </c>
      <c r="C20" s="140" t="inlineStr">
        <is>
          <t>Rocket microgreens</t>
        </is>
      </c>
      <c r="D20" s="140" t="inlineStr">
        <is>
          <t>The Local Farmer</t>
        </is>
      </c>
      <c r="E20" s="147" t="n">
        <v>1</v>
      </c>
      <c r="F20" s="141" t="inlineStr">
        <is>
          <t>kg</t>
        </is>
      </c>
      <c r="G20" s="148" t="n">
        <v>287.42</v>
      </c>
      <c r="H20" s="150">
        <f>IF(OR($G20="",$E20="",$E20=0),"",$G20/($E20*IFERROR(VLOOKUP($F20,'02 Lists'!$A$5:$B$18,2,FALSE()),1)))</f>
        <v/>
      </c>
      <c r="I20" s="149" t="n"/>
      <c r="J20" s="141" t="n"/>
      <c r="K20" s="141" t="n"/>
      <c r="L20" s="140" t="n"/>
      <c r="M20" s="140" t="n"/>
      <c r="N20" s="140" t="n"/>
    </row>
    <row r="21" ht="15" customHeight="1" s="106">
      <c r="A21" s="149" t="n">
        <v>46251</v>
      </c>
      <c r="B21" s="124" t="inlineStr">
        <is>
          <t>PP-RAD-MIC-003</t>
        </is>
      </c>
      <c r="C21" s="140" t="inlineStr">
        <is>
          <t>Radish microgreens</t>
        </is>
      </c>
      <c r="D21" s="140" t="inlineStr">
        <is>
          <t>The Local Farmer</t>
        </is>
      </c>
      <c r="E21" s="147" t="n">
        <v>1</v>
      </c>
      <c r="F21" s="141" t="inlineStr">
        <is>
          <t>kg</t>
        </is>
      </c>
      <c r="G21" s="148" t="n">
        <v>19.06</v>
      </c>
      <c r="H21" s="150">
        <f>IF(OR($G21="",$E21="",$E21=0),"",$G21/($E21*IFERROR(VLOOKUP($F21,'02 Lists'!$A$5:$B$18,2,FALSE()),1)))</f>
        <v/>
      </c>
      <c r="I21" s="149" t="n"/>
      <c r="J21" s="141" t="n"/>
      <c r="K21" s="141" t="n"/>
      <c r="L21" s="140" t="n"/>
      <c r="M21" s="140" t="n"/>
      <c r="N21" s="140" t="n"/>
    </row>
    <row r="22" ht="15" customHeight="1" s="106">
      <c r="A22" s="149" t="n">
        <v>46251</v>
      </c>
      <c r="B22" s="124" t="inlineStr">
        <is>
          <t>PP-AMR-MIC-004</t>
        </is>
      </c>
      <c r="C22" s="140" t="inlineStr">
        <is>
          <t>Amaranth microgreens</t>
        </is>
      </c>
      <c r="D22" s="140" t="inlineStr">
        <is>
          <t>The Local Farmer</t>
        </is>
      </c>
      <c r="E22" s="147" t="n">
        <v>1</v>
      </c>
      <c r="F22" s="141" t="inlineStr">
        <is>
          <t>kg</t>
        </is>
      </c>
      <c r="G22" s="148" t="n">
        <v>527.14</v>
      </c>
      <c r="H22" s="150">
        <f>IF(OR($G22="",$E22="",$E22=0),"",$G22/($E22*IFERROR(VLOOKUP($F22,'02 Lists'!$A$5:$B$18,2,FALSE()),1)))</f>
        <v/>
      </c>
      <c r="I22" s="149" t="n"/>
      <c r="J22" s="141" t="n"/>
      <c r="K22" s="141" t="n"/>
      <c r="L22" s="140" t="n"/>
      <c r="M22" s="140" t="n"/>
      <c r="N22" s="140" t="n"/>
    </row>
    <row r="23" ht="15" customHeight="1" s="106">
      <c r="A23" s="149" t="n">
        <v>46251</v>
      </c>
      <c r="B23" s="124" t="inlineStr">
        <is>
          <t>PP-PEA-MIC-005</t>
        </is>
      </c>
      <c r="C23" s="140" t="inlineStr">
        <is>
          <t>Pea shoot microgreens</t>
        </is>
      </c>
      <c r="D23" s="140" t="inlineStr">
        <is>
          <t>The Local Farmer</t>
        </is>
      </c>
      <c r="E23" s="147" t="n">
        <v>1</v>
      </c>
      <c r="F23" s="141" t="inlineStr">
        <is>
          <t>kg</t>
        </is>
      </c>
      <c r="G23" s="148" t="n">
        <v>152.3</v>
      </c>
      <c r="H23" s="150">
        <f>IF(OR($G23="",$E23="",$E23=0),"",$G23/($E23*IFERROR(VLOOKUP($F23,'02 Lists'!$A$5:$B$18,2,FALSE()),1)))</f>
        <v/>
      </c>
      <c r="I23" s="149" t="n"/>
      <c r="J23" s="141" t="n"/>
      <c r="K23" s="141" t="n"/>
      <c r="L23" s="140" t="n"/>
      <c r="M23" s="140" t="n"/>
      <c r="N23" s="140" t="n"/>
    </row>
    <row r="24" ht="15" customHeight="1" s="106">
      <c r="A24" s="149" t="n">
        <v>46251</v>
      </c>
      <c r="B24" s="124" t="inlineStr">
        <is>
          <t>PP-SUN-MIC-006</t>
        </is>
      </c>
      <c r="C24" s="140" t="inlineStr">
        <is>
          <t>Sunflower microgreens</t>
        </is>
      </c>
      <c r="D24" s="140" t="inlineStr">
        <is>
          <t>The Local Farmer</t>
        </is>
      </c>
      <c r="E24" s="147" t="n">
        <v>1</v>
      </c>
      <c r="F24" s="141" t="inlineStr">
        <is>
          <t>kg</t>
        </is>
      </c>
      <c r="G24" s="148" t="n">
        <v>193.16</v>
      </c>
      <c r="H24" s="150">
        <f>IF(OR($G24="",$E24="",$E24=0),"",$G24/($E24*IFERROR(VLOOKUP($F24,'02 Lists'!$A$5:$B$18,2,FALSE()),1)))</f>
        <v/>
      </c>
      <c r="I24" s="149" t="n"/>
      <c r="J24" s="141" t="n"/>
      <c r="K24" s="141" t="n"/>
      <c r="L24" s="140" t="n"/>
      <c r="M24" s="140" t="n"/>
      <c r="N24" s="140" t="n"/>
    </row>
    <row r="25" ht="15" customHeight="1" s="106">
      <c r="A25" s="149" t="n"/>
      <c r="B25" s="140" t="n"/>
      <c r="C25" s="140" t="n"/>
      <c r="D25" s="140" t="n"/>
      <c r="E25" s="147" t="n"/>
      <c r="F25" s="141" t="n"/>
      <c r="G25" s="148" t="n"/>
      <c r="H25" s="150">
        <f>IF(OR($G25="",$E25="",$E25=0),"",$G25/($E25*IFERROR(VLOOKUP($F25,'02 Lists'!$A$5:$B$18,2,FALSE()),1)))</f>
        <v/>
      </c>
      <c r="I25" s="149" t="n"/>
      <c r="J25" s="141" t="n"/>
      <c r="K25" s="141" t="n"/>
      <c r="L25" s="140" t="n"/>
      <c r="M25" s="141" t="n"/>
      <c r="N25" s="140" t="n"/>
    </row>
    <row r="26" ht="15" customHeight="1" s="106">
      <c r="A26" s="149" t="n"/>
      <c r="B26" s="140" t="n"/>
      <c r="C26" s="140" t="n"/>
      <c r="D26" s="140" t="n"/>
      <c r="E26" s="147" t="n"/>
      <c r="F26" s="141" t="n"/>
      <c r="G26" s="148" t="n"/>
      <c r="H26" s="150">
        <f>IF(OR($G26="",$E26="",$E26=0),"",$G26/($E26*IFERROR(VLOOKUP($F26,'02 Lists'!$A$5:$B$18,2,FALSE()),1)))</f>
        <v/>
      </c>
      <c r="I26" s="149" t="n"/>
      <c r="J26" s="141" t="n"/>
      <c r="K26" s="141" t="n"/>
      <c r="L26" s="140" t="n"/>
      <c r="M26" s="141" t="n"/>
      <c r="N26" s="140" t="n"/>
    </row>
    <row r="27" ht="15" customHeight="1" s="106">
      <c r="A27" s="149" t="n"/>
      <c r="B27" s="140" t="n"/>
      <c r="C27" s="140" t="n"/>
      <c r="D27" s="140" t="n"/>
      <c r="E27" s="147" t="n"/>
      <c r="F27" s="141" t="n"/>
      <c r="G27" s="148" t="n"/>
      <c r="H27" s="150">
        <f>IF(OR($G27="",$E27="",$E27=0),"",$G27/($E27*IFERROR(VLOOKUP($F27,'02 Lists'!$A$5:$B$18,2,FALSE()),1)))</f>
        <v/>
      </c>
      <c r="I27" s="149" t="n"/>
      <c r="J27" s="141" t="n"/>
      <c r="K27" s="141" t="n"/>
      <c r="L27" s="140" t="n"/>
      <c r="M27" s="141" t="n"/>
      <c r="N27" s="140" t="n"/>
    </row>
    <row r="28" ht="15" customHeight="1" s="106">
      <c r="A28" s="149" t="n"/>
      <c r="B28" s="140" t="n"/>
      <c r="C28" s="140" t="n"/>
      <c r="D28" s="140" t="n"/>
      <c r="E28" s="147" t="n"/>
      <c r="F28" s="141" t="n"/>
      <c r="G28" s="148" t="n"/>
      <c r="H28" s="150">
        <f>IF(OR($G28="",$E28="",$E28=0),"",$G28/($E28*IFERROR(VLOOKUP($F28,'02 Lists'!$A$5:$B$18,2,FALSE()),1)))</f>
        <v/>
      </c>
      <c r="I28" s="149" t="n"/>
      <c r="J28" s="141" t="n"/>
      <c r="K28" s="141" t="n"/>
      <c r="L28" s="140" t="n"/>
      <c r="M28" s="141" t="n"/>
      <c r="N28" s="140" t="n"/>
    </row>
    <row r="29" ht="15" customHeight="1" s="106">
      <c r="A29" s="149" t="n"/>
      <c r="B29" s="140" t="n"/>
      <c r="C29" s="140" t="n"/>
      <c r="D29" s="140" t="n"/>
      <c r="E29" s="147" t="n"/>
      <c r="F29" s="141" t="n"/>
      <c r="G29" s="148" t="n"/>
      <c r="H29" s="150">
        <f>IF(OR($G29="",$E29="",$E29=0),"",$G29/($E29*IFERROR(VLOOKUP($F29,'02 Lists'!$A$5:$B$18,2,FALSE()),1)))</f>
        <v/>
      </c>
      <c r="I29" s="149" t="n"/>
      <c r="J29" s="141" t="n"/>
      <c r="K29" s="141" t="n"/>
      <c r="L29" s="140" t="n"/>
      <c r="M29" s="141" t="n"/>
      <c r="N29" s="140" t="n"/>
    </row>
    <row r="30" ht="15" customHeight="1" s="106">
      <c r="A30" s="149" t="n"/>
      <c r="B30" s="140" t="n"/>
      <c r="C30" s="140" t="n"/>
      <c r="D30" s="140" t="n"/>
      <c r="E30" s="147" t="n"/>
      <c r="F30" s="141" t="n"/>
      <c r="G30" s="148" t="n"/>
      <c r="H30" s="150">
        <f>IF(OR($G30="",$E30="",$E30=0),"",$G30/($E30*IFERROR(VLOOKUP($F30,'02 Lists'!$A$5:$B$18,2,FALSE()),1)))</f>
        <v/>
      </c>
      <c r="I30" s="149" t="n"/>
      <c r="J30" s="141" t="n"/>
      <c r="K30" s="141" t="n"/>
      <c r="L30" s="140" t="n"/>
      <c r="M30" s="141" t="n"/>
      <c r="N30" s="140" t="n"/>
    </row>
    <row r="31" ht="15" customHeight="1" s="106">
      <c r="A31" s="149" t="n"/>
      <c r="B31" s="140" t="n"/>
      <c r="C31" s="140" t="n"/>
      <c r="D31" s="140" t="n"/>
      <c r="E31" s="147" t="n"/>
      <c r="F31" s="141" t="n"/>
      <c r="G31" s="148" t="n"/>
      <c r="H31" s="150">
        <f>IF(OR($G31="",$E31="",$E31=0),"",$G31/($E31*IFERROR(VLOOKUP($F31,'02 Lists'!$A$5:$B$18,2,FALSE()),1)))</f>
        <v/>
      </c>
      <c r="I31" s="149" t="n"/>
      <c r="J31" s="141" t="n"/>
      <c r="K31" s="141" t="n"/>
      <c r="L31" s="140" t="n"/>
      <c r="M31" s="141" t="n"/>
      <c r="N31" s="140" t="n"/>
    </row>
    <row r="32" ht="15" customHeight="1" s="106">
      <c r="A32" s="149" t="n"/>
      <c r="B32" s="140" t="n"/>
      <c r="C32" s="140" t="n"/>
      <c r="D32" s="140" t="n"/>
      <c r="E32" s="147" t="n"/>
      <c r="F32" s="141" t="n"/>
      <c r="G32" s="148" t="n"/>
      <c r="H32" s="150">
        <f>IF(OR($G32="",$E32="",$E32=0),"",$G32/($E32*IFERROR(VLOOKUP($F32,'02 Lists'!$A$5:$B$18,2,FALSE()),1)))</f>
        <v/>
      </c>
      <c r="I32" s="149" t="n"/>
      <c r="J32" s="141" t="n"/>
      <c r="K32" s="141" t="n"/>
      <c r="L32" s="140" t="n"/>
      <c r="M32" s="141" t="n"/>
      <c r="N32" s="140" t="n"/>
    </row>
    <row r="33" ht="15" customHeight="1" s="106">
      <c r="A33" s="149" t="n"/>
      <c r="B33" s="140" t="n"/>
      <c r="C33" s="140" t="n"/>
      <c r="D33" s="140" t="n"/>
      <c r="E33" s="147" t="n"/>
      <c r="F33" s="141" t="n"/>
      <c r="G33" s="148" t="n"/>
      <c r="H33" s="150">
        <f>IF(OR($G33="",$E33="",$E33=0),"",$G33/($E33*IFERROR(VLOOKUP($F33,'02 Lists'!$A$5:$B$18,2,FALSE()),1)))</f>
        <v/>
      </c>
      <c r="I33" s="149" t="n"/>
      <c r="J33" s="141" t="n"/>
      <c r="K33" s="141" t="n"/>
      <c r="L33" s="140" t="n"/>
      <c r="M33" s="141" t="n"/>
      <c r="N33" s="140" t="n"/>
    </row>
    <row r="34" ht="15" customHeight="1" s="106">
      <c r="A34" s="149" t="n"/>
      <c r="B34" s="140" t="n"/>
      <c r="C34" s="140" t="n"/>
      <c r="D34" s="140" t="n"/>
      <c r="E34" s="147" t="n"/>
      <c r="F34" s="141" t="n"/>
      <c r="G34" s="148" t="n"/>
      <c r="H34" s="150">
        <f>IF(OR($G34="",$E34="",$E34=0),"",$G34/($E34*IFERROR(VLOOKUP($F34,'02 Lists'!$A$5:$B$18,2,FALSE()),1)))</f>
        <v/>
      </c>
      <c r="I34" s="149" t="n"/>
      <c r="J34" s="141" t="n"/>
      <c r="K34" s="141" t="n"/>
      <c r="L34" s="140" t="n"/>
      <c r="M34" s="141" t="n"/>
      <c r="N34" s="140" t="n"/>
    </row>
    <row r="35" ht="15" customHeight="1" s="106">
      <c r="A35" s="149" t="n"/>
      <c r="B35" s="140" t="n"/>
      <c r="C35" s="140" t="n"/>
      <c r="D35" s="140" t="n"/>
      <c r="E35" s="147" t="n"/>
      <c r="F35" s="141" t="n"/>
      <c r="G35" s="148" t="n"/>
      <c r="H35" s="150">
        <f>IF(OR($G35="",$E35="",$E35=0),"",$G35/($E35*IFERROR(VLOOKUP($F35,'02 Lists'!$A$5:$B$18,2,FALSE()),1)))</f>
        <v/>
      </c>
      <c r="I35" s="149" t="n"/>
      <c r="J35" s="141" t="n"/>
      <c r="K35" s="141" t="n"/>
      <c r="L35" s="140" t="n"/>
      <c r="M35" s="141" t="n"/>
      <c r="N35" s="140" t="n"/>
    </row>
    <row r="36" ht="15" customHeight="1" s="106">
      <c r="A36" s="149" t="n"/>
      <c r="B36" s="140" t="n"/>
      <c r="C36" s="140" t="n"/>
      <c r="D36" s="140" t="n"/>
      <c r="E36" s="147" t="n"/>
      <c r="F36" s="141" t="n"/>
      <c r="G36" s="148" t="n"/>
      <c r="H36" s="150">
        <f>IF(OR($G36="",$E36="",$E36=0),"",$G36/($E36*IFERROR(VLOOKUP($F36,'02 Lists'!$A$5:$B$18,2,FALSE()),1)))</f>
        <v/>
      </c>
      <c r="I36" s="149" t="n"/>
      <c r="J36" s="141" t="n"/>
      <c r="K36" s="141" t="n"/>
      <c r="L36" s="140" t="n"/>
      <c r="M36" s="141" t="n"/>
      <c r="N36" s="140" t="n"/>
    </row>
    <row r="37" ht="15" customHeight="1" s="106">
      <c r="A37" s="149" t="n"/>
      <c r="B37" s="140" t="n"/>
      <c r="C37" s="140" t="n"/>
      <c r="D37" s="140" t="n"/>
      <c r="E37" s="147" t="n"/>
      <c r="F37" s="141" t="n"/>
      <c r="G37" s="148" t="n"/>
      <c r="H37" s="150">
        <f>IF(OR($G37="",$E37="",$E37=0),"",$G37/($E37*IFERROR(VLOOKUP($F37,'02 Lists'!$A$5:$B$18,2,FALSE()),1)))</f>
        <v/>
      </c>
      <c r="I37" s="149" t="n"/>
      <c r="J37" s="141" t="n"/>
      <c r="K37" s="141" t="n"/>
      <c r="L37" s="140" t="n"/>
      <c r="M37" s="141" t="n"/>
      <c r="N37" s="140" t="n"/>
    </row>
    <row r="38" ht="15" customHeight="1" s="106">
      <c r="A38" s="149" t="n"/>
      <c r="B38" s="140" t="n"/>
      <c r="C38" s="140" t="n"/>
      <c r="D38" s="140" t="n"/>
      <c r="E38" s="147" t="n"/>
      <c r="F38" s="141" t="n"/>
      <c r="G38" s="148" t="n"/>
      <c r="H38" s="150">
        <f>IF(OR($G38="",$E38="",$E38=0),"",$G38/($E38*IFERROR(VLOOKUP($F38,'02 Lists'!$A$5:$B$18,2,FALSE()),1)))</f>
        <v/>
      </c>
      <c r="I38" s="149" t="n"/>
      <c r="J38" s="141" t="n"/>
      <c r="K38" s="141" t="n"/>
      <c r="L38" s="140" t="n"/>
      <c r="M38" s="141" t="n"/>
      <c r="N38" s="140" t="n"/>
    </row>
    <row r="39" ht="15" customHeight="1" s="106">
      <c r="A39" s="149" t="n"/>
      <c r="B39" s="140" t="n"/>
      <c r="C39" s="140" t="n"/>
      <c r="D39" s="140" t="n"/>
      <c r="E39" s="147" t="n"/>
      <c r="F39" s="141" t="n"/>
      <c r="G39" s="148" t="n"/>
      <c r="H39" s="150">
        <f>IF(OR($G39="",$E39="",$E39=0),"",$G39/($E39*IFERROR(VLOOKUP($F39,'02 Lists'!$A$5:$B$18,2,FALSE()),1)))</f>
        <v/>
      </c>
      <c r="I39" s="149" t="n"/>
      <c r="J39" s="141" t="n"/>
      <c r="K39" s="141" t="n"/>
      <c r="L39" s="140" t="n"/>
      <c r="M39" s="141" t="n"/>
      <c r="N39" s="140" t="n"/>
    </row>
    <row r="40" ht="15" customHeight="1" s="106">
      <c r="A40" s="149" t="n"/>
      <c r="B40" s="140" t="n"/>
      <c r="C40" s="140" t="n"/>
      <c r="D40" s="140" t="n"/>
      <c r="E40" s="147" t="n"/>
      <c r="F40" s="141" t="n"/>
      <c r="G40" s="148" t="n"/>
      <c r="H40" s="150">
        <f>IF(OR($G40="",$E40="",$E40=0),"",$G40/($E40*IFERROR(VLOOKUP($F40,'02 Lists'!$A$5:$B$18,2,FALSE()),1)))</f>
        <v/>
      </c>
      <c r="I40" s="149" t="n"/>
      <c r="J40" s="141" t="n"/>
      <c r="K40" s="141" t="n"/>
      <c r="L40" s="140" t="n"/>
      <c r="M40" s="141" t="n"/>
      <c r="N40" s="140" t="n"/>
    </row>
    <row r="41" ht="15" customHeight="1" s="106">
      <c r="A41" s="149" t="n"/>
      <c r="B41" s="140" t="n"/>
      <c r="C41" s="140" t="n"/>
      <c r="D41" s="140" t="n"/>
      <c r="E41" s="147" t="n"/>
      <c r="F41" s="141" t="n"/>
      <c r="G41" s="148" t="n"/>
      <c r="H41" s="150">
        <f>IF(OR($G41="",$E41="",$E41=0),"",$G41/($E41*IFERROR(VLOOKUP($F41,'02 Lists'!$A$5:$B$18,2,FALSE()),1)))</f>
        <v/>
      </c>
      <c r="I41" s="149" t="n"/>
      <c r="J41" s="141" t="n"/>
      <c r="K41" s="141" t="n"/>
      <c r="L41" s="140" t="n"/>
      <c r="M41" s="141" t="n"/>
      <c r="N41" s="140" t="n"/>
    </row>
    <row r="42" ht="15" customHeight="1" s="106">
      <c r="A42" s="149" t="n"/>
      <c r="B42" s="140" t="n"/>
      <c r="C42" s="140" t="n"/>
      <c r="D42" s="140" t="n"/>
      <c r="E42" s="147" t="n"/>
      <c r="F42" s="141" t="n"/>
      <c r="G42" s="148" t="n"/>
      <c r="H42" s="150">
        <f>IF(OR($G42="",$E42="",$E42=0),"",$G42/($E42*IFERROR(VLOOKUP($F42,'02 Lists'!$A$5:$B$18,2,FALSE()),1)))</f>
        <v/>
      </c>
      <c r="I42" s="149" t="n"/>
      <c r="J42" s="141" t="n"/>
      <c r="K42" s="141" t="n"/>
      <c r="L42" s="140" t="n"/>
      <c r="M42" s="141" t="n"/>
      <c r="N42" s="140" t="n"/>
    </row>
    <row r="43" ht="15" customHeight="1" s="106">
      <c r="A43" s="149" t="n"/>
      <c r="B43" s="140" t="n"/>
      <c r="C43" s="140" t="n"/>
      <c r="D43" s="140" t="n"/>
      <c r="E43" s="147" t="n"/>
      <c r="F43" s="141" t="n"/>
      <c r="G43" s="148" t="n"/>
      <c r="H43" s="150">
        <f>IF(OR($G43="",$E43="",$E43=0),"",$G43/($E43*IFERROR(VLOOKUP($F43,'02 Lists'!$A$5:$B$18,2,FALSE()),1)))</f>
        <v/>
      </c>
      <c r="I43" s="149" t="n"/>
      <c r="J43" s="141" t="n"/>
      <c r="K43" s="141" t="n"/>
      <c r="L43" s="140" t="n"/>
      <c r="M43" s="141" t="n"/>
      <c r="N43" s="140" t="n"/>
    </row>
    <row r="44" ht="15" customHeight="1" s="106">
      <c r="A44" s="149" t="n"/>
      <c r="B44" s="140" t="n"/>
      <c r="C44" s="140" t="n"/>
      <c r="D44" s="140" t="n"/>
      <c r="E44" s="147" t="n"/>
      <c r="F44" s="141" t="n"/>
      <c r="G44" s="148" t="n"/>
      <c r="H44" s="150">
        <f>IF(OR($G44="",$E44="",$E44=0),"",$G44/($E44*IFERROR(VLOOKUP($F44,'02 Lists'!$A$5:$B$18,2,FALSE()),1)))</f>
        <v/>
      </c>
      <c r="I44" s="149" t="n"/>
      <c r="J44" s="141" t="n"/>
      <c r="K44" s="141" t="n"/>
      <c r="L44" s="140" t="n"/>
      <c r="M44" s="141" t="n"/>
      <c r="N44" s="140" t="n"/>
    </row>
    <row r="45" ht="15" customHeight="1" s="106">
      <c r="A45" s="149" t="n"/>
      <c r="B45" s="140" t="n"/>
      <c r="C45" s="140" t="n"/>
      <c r="D45" s="140" t="n"/>
      <c r="E45" s="147" t="n"/>
      <c r="F45" s="141" t="n"/>
      <c r="G45" s="148" t="n"/>
      <c r="H45" s="150">
        <f>IF(OR($G45="",$E45="",$E45=0),"",$G45/($E45*IFERROR(VLOOKUP($F45,'02 Lists'!$A$5:$B$18,2,FALSE()),1)))</f>
        <v/>
      </c>
      <c r="I45" s="149" t="n"/>
      <c r="J45" s="141" t="n"/>
      <c r="K45" s="141" t="n"/>
      <c r="L45" s="140" t="n"/>
      <c r="M45" s="141" t="n"/>
      <c r="N45" s="140" t="n"/>
    </row>
    <row r="46" ht="15" customHeight="1" s="106">
      <c r="A46" s="149" t="n"/>
      <c r="B46" s="140" t="n"/>
      <c r="C46" s="140" t="n"/>
      <c r="D46" s="140" t="n"/>
      <c r="E46" s="147" t="n"/>
      <c r="F46" s="141" t="n"/>
      <c r="G46" s="148" t="n"/>
      <c r="H46" s="150">
        <f>IF(OR($G46="",$E46="",$E46=0),"",$G46/($E46*IFERROR(VLOOKUP($F46,'02 Lists'!$A$5:$B$18,2,FALSE()),1)))</f>
        <v/>
      </c>
      <c r="I46" s="149" t="n"/>
      <c r="J46" s="141" t="n"/>
      <c r="K46" s="141" t="n"/>
      <c r="L46" s="140" t="n"/>
      <c r="M46" s="141" t="n"/>
      <c r="N46" s="140" t="n"/>
    </row>
    <row r="47" ht="15" customHeight="1" s="106">
      <c r="A47" s="149" t="n"/>
      <c r="B47" s="140" t="n"/>
      <c r="C47" s="140" t="n"/>
      <c r="D47" s="140" t="n"/>
      <c r="E47" s="147" t="n"/>
      <c r="F47" s="141" t="n"/>
      <c r="G47" s="148" t="n"/>
      <c r="H47" s="150">
        <f>IF(OR($G47="",$E47="",$E47=0),"",$G47/($E47*IFERROR(VLOOKUP($F47,'02 Lists'!$A$5:$B$18,2,FALSE()),1)))</f>
        <v/>
      </c>
      <c r="I47" s="149" t="n"/>
      <c r="J47" s="141" t="n"/>
      <c r="K47" s="141" t="n"/>
      <c r="L47" s="140" t="n"/>
      <c r="M47" s="141" t="n"/>
      <c r="N47" s="140" t="n"/>
    </row>
    <row r="48" ht="15" customHeight="1" s="106">
      <c r="A48" s="149" t="n"/>
      <c r="B48" s="140" t="n"/>
      <c r="C48" s="140" t="n"/>
      <c r="D48" s="140" t="n"/>
      <c r="E48" s="147" t="n"/>
      <c r="F48" s="141" t="n"/>
      <c r="G48" s="148" t="n"/>
      <c r="H48" s="150">
        <f>IF(OR($G48="",$E48="",$E48=0),"",$G48/($E48*IFERROR(VLOOKUP($F48,'02 Lists'!$A$5:$B$18,2,FALSE()),1)))</f>
        <v/>
      </c>
      <c r="I48" s="149" t="n"/>
      <c r="J48" s="141" t="n"/>
      <c r="K48" s="141" t="n"/>
      <c r="L48" s="140" t="n"/>
      <c r="M48" s="141" t="n"/>
      <c r="N48" s="140" t="n"/>
    </row>
    <row r="49" ht="15" customHeight="1" s="106">
      <c r="A49" s="149" t="n"/>
      <c r="B49" s="140" t="n"/>
      <c r="C49" s="140" t="n"/>
      <c r="D49" s="140" t="n"/>
      <c r="E49" s="147" t="n"/>
      <c r="F49" s="141" t="n"/>
      <c r="G49" s="148" t="n"/>
      <c r="H49" s="150">
        <f>IF(OR($G49="",$E49="",$E49=0),"",$G49/($E49*IFERROR(VLOOKUP($F49,'02 Lists'!$A$5:$B$18,2,FALSE()),1)))</f>
        <v/>
      </c>
      <c r="I49" s="149" t="n"/>
      <c r="J49" s="141" t="n"/>
      <c r="K49" s="141" t="n"/>
      <c r="L49" s="140" t="n"/>
      <c r="M49" s="141" t="n"/>
      <c r="N49" s="140" t="n"/>
    </row>
    <row r="50" ht="15" customHeight="1" s="106">
      <c r="A50" s="149" t="n"/>
      <c r="B50" s="140" t="n"/>
      <c r="C50" s="140" t="n"/>
      <c r="D50" s="140" t="n"/>
      <c r="E50" s="147" t="n"/>
      <c r="F50" s="141" t="n"/>
      <c r="G50" s="148" t="n"/>
      <c r="H50" s="150">
        <f>IF(OR($G50="",$E50="",$E50=0),"",$G50/($E50*IFERROR(VLOOKUP($F50,'02 Lists'!$A$5:$B$18,2,FALSE()),1)))</f>
        <v/>
      </c>
      <c r="I50" s="149" t="n"/>
      <c r="J50" s="141" t="n"/>
      <c r="K50" s="141" t="n"/>
      <c r="L50" s="140" t="n"/>
      <c r="M50" s="141" t="n"/>
      <c r="N50" s="140" t="n"/>
    </row>
    <row r="51" ht="15" customHeight="1" s="106">
      <c r="A51" s="149" t="n"/>
      <c r="B51" s="140" t="n"/>
      <c r="C51" s="140" t="n"/>
      <c r="D51" s="140" t="n"/>
      <c r="E51" s="147" t="n"/>
      <c r="F51" s="141" t="n"/>
      <c r="G51" s="148" t="n"/>
      <c r="H51" s="150">
        <f>IF(OR($G51="",$E51="",$E51=0),"",$G51/($E51*IFERROR(VLOOKUP($F51,'02 Lists'!$A$5:$B$18,2,FALSE()),1)))</f>
        <v/>
      </c>
      <c r="I51" s="149" t="n"/>
      <c r="J51" s="141" t="n"/>
      <c r="K51" s="141" t="n"/>
      <c r="L51" s="140" t="n"/>
      <c r="M51" s="141" t="n"/>
      <c r="N51" s="140" t="n"/>
    </row>
    <row r="52" ht="15" customHeight="1" s="106">
      <c r="A52" s="149" t="n"/>
      <c r="B52" s="140" t="n"/>
      <c r="C52" s="140" t="n"/>
      <c r="D52" s="140" t="n"/>
      <c r="E52" s="147" t="n"/>
      <c r="F52" s="141" t="n"/>
      <c r="G52" s="148" t="n"/>
      <c r="H52" s="150">
        <f>IF(OR($G52="",$E52="",$E52=0),"",$G52/($E52*IFERROR(VLOOKUP($F52,'02 Lists'!$A$5:$B$18,2,FALSE()),1)))</f>
        <v/>
      </c>
      <c r="I52" s="149" t="n"/>
      <c r="J52" s="141" t="n"/>
      <c r="K52" s="141" t="n"/>
      <c r="L52" s="140" t="n"/>
      <c r="M52" s="141" t="n"/>
      <c r="N52" s="140" t="n"/>
    </row>
    <row r="53" ht="15" customHeight="1" s="106">
      <c r="A53" s="149" t="n"/>
      <c r="B53" s="140" t="n"/>
      <c r="C53" s="140" t="n"/>
      <c r="D53" s="140" t="n"/>
      <c r="E53" s="147" t="n"/>
      <c r="F53" s="141" t="n"/>
      <c r="G53" s="148" t="n"/>
      <c r="H53" s="150">
        <f>IF(OR($G53="",$E53="",$E53=0),"",$G53/($E53*IFERROR(VLOOKUP($F53,'02 Lists'!$A$5:$B$18,2,FALSE()),1)))</f>
        <v/>
      </c>
      <c r="I53" s="149" t="n"/>
      <c r="J53" s="141" t="n"/>
      <c r="K53" s="141" t="n"/>
      <c r="L53" s="140" t="n"/>
      <c r="M53" s="141" t="n"/>
      <c r="N53" s="140" t="n"/>
    </row>
    <row r="54" ht="15" customHeight="1" s="106">
      <c r="A54" s="149" t="n"/>
      <c r="B54" s="140" t="n"/>
      <c r="C54" s="140" t="n"/>
      <c r="D54" s="140" t="n"/>
      <c r="E54" s="147" t="n"/>
      <c r="F54" s="141" t="n"/>
      <c r="G54" s="148" t="n"/>
      <c r="H54" s="150">
        <f>IF(OR($G54="",$E54="",$E54=0),"",$G54/($E54*IFERROR(VLOOKUP($F54,'02 Lists'!$A$5:$B$18,2,FALSE()),1)))</f>
        <v/>
      </c>
      <c r="I54" s="149" t="n"/>
      <c r="J54" s="141" t="n"/>
      <c r="K54" s="141" t="n"/>
      <c r="L54" s="140" t="n"/>
      <c r="M54" s="141" t="n"/>
      <c r="N54" s="140" t="n"/>
    </row>
    <row r="55" ht="15" customHeight="1" s="106">
      <c r="A55" s="149" t="n"/>
      <c r="B55" s="140" t="n"/>
      <c r="C55" s="140" t="n"/>
      <c r="D55" s="140" t="n"/>
      <c r="E55" s="147" t="n"/>
      <c r="F55" s="141" t="n"/>
      <c r="G55" s="148" t="n"/>
      <c r="H55" s="150">
        <f>IF(OR($G55="",$E55="",$E55=0),"",$G55/($E55*IFERROR(VLOOKUP($F55,'02 Lists'!$A$5:$B$18,2,FALSE()),1)))</f>
        <v/>
      </c>
      <c r="I55" s="149" t="n"/>
      <c r="J55" s="141" t="n"/>
      <c r="K55" s="141" t="n"/>
      <c r="L55" s="140" t="n"/>
      <c r="M55" s="141" t="n"/>
      <c r="N55" s="140" t="n"/>
    </row>
    <row r="56" ht="15" customHeight="1" s="106">
      <c r="A56" s="149" t="n"/>
      <c r="B56" s="140" t="n"/>
      <c r="C56" s="140" t="n"/>
      <c r="D56" s="140" t="n"/>
      <c r="E56" s="147" t="n"/>
      <c r="F56" s="141" t="n"/>
      <c r="G56" s="148" t="n"/>
      <c r="H56" s="150">
        <f>IF(OR($G56="",$E56="",$E56=0),"",$G56/($E56*IFERROR(VLOOKUP($F56,'02 Lists'!$A$5:$B$18,2,FALSE()),1)))</f>
        <v/>
      </c>
      <c r="I56" s="149" t="n"/>
      <c r="J56" s="141" t="n"/>
      <c r="K56" s="141" t="n"/>
      <c r="L56" s="140" t="n"/>
      <c r="M56" s="141" t="n"/>
      <c r="N56" s="140" t="n"/>
    </row>
    <row r="57" ht="15" customHeight="1" s="106">
      <c r="A57" s="149" t="n"/>
      <c r="B57" s="140" t="n"/>
      <c r="C57" s="140" t="n"/>
      <c r="D57" s="140" t="n"/>
      <c r="E57" s="147" t="n"/>
      <c r="F57" s="141" t="n"/>
      <c r="G57" s="148" t="n"/>
      <c r="H57" s="150">
        <f>IF(OR($G57="",$E57="",$E57=0),"",$G57/($E57*IFERROR(VLOOKUP($F57,'02 Lists'!$A$5:$B$18,2,FALSE()),1)))</f>
        <v/>
      </c>
      <c r="I57" s="149" t="n"/>
      <c r="J57" s="141" t="n"/>
      <c r="K57" s="141" t="n"/>
      <c r="L57" s="140" t="n"/>
      <c r="M57" s="141" t="n"/>
      <c r="N57" s="140" t="n"/>
    </row>
    <row r="58" ht="15" customHeight="1" s="106">
      <c r="A58" s="149" t="n"/>
      <c r="B58" s="140" t="n"/>
      <c r="C58" s="140" t="n"/>
      <c r="D58" s="140" t="n"/>
      <c r="E58" s="147" t="n"/>
      <c r="F58" s="141" t="n"/>
      <c r="G58" s="148" t="n"/>
      <c r="H58" s="150">
        <f>IF(OR($G58="",$E58="",$E58=0),"",$G58/($E58*IFERROR(VLOOKUP($F58,'02 Lists'!$A$5:$B$18,2,FALSE()),1)))</f>
        <v/>
      </c>
      <c r="I58" s="149" t="n"/>
      <c r="J58" s="141" t="n"/>
      <c r="K58" s="141" t="n"/>
      <c r="L58" s="140" t="n"/>
      <c r="M58" s="141" t="n"/>
      <c r="N58" s="140" t="n"/>
    </row>
    <row r="59" ht="15" customHeight="1" s="106">
      <c r="A59" s="149" t="n"/>
      <c r="B59" s="140" t="n"/>
      <c r="C59" s="140" t="n"/>
      <c r="D59" s="140" t="n"/>
      <c r="E59" s="147" t="n"/>
      <c r="F59" s="141" t="n"/>
      <c r="G59" s="148" t="n"/>
      <c r="H59" s="150">
        <f>IF(OR($G59="",$E59="",$E59=0),"",$G59/($E59*IFERROR(VLOOKUP($F59,'02 Lists'!$A$5:$B$18,2,FALSE()),1)))</f>
        <v/>
      </c>
      <c r="I59" s="149" t="n"/>
      <c r="J59" s="141" t="n"/>
      <c r="K59" s="141" t="n"/>
      <c r="L59" s="140" t="n"/>
      <c r="M59" s="141" t="n"/>
      <c r="N59" s="140" t="n"/>
    </row>
    <row r="60" ht="15" customHeight="1" s="106">
      <c r="A60" s="149" t="n"/>
      <c r="B60" s="140" t="n"/>
      <c r="C60" s="140" t="n"/>
      <c r="D60" s="140" t="n"/>
      <c r="E60" s="147" t="n"/>
      <c r="F60" s="141" t="n"/>
      <c r="G60" s="148" t="n"/>
      <c r="H60" s="150">
        <f>IF(OR($G60="",$E60="",$E60=0),"",$G60/($E60*IFERROR(VLOOKUP($F60,'02 Lists'!$A$5:$B$18,2,FALSE()),1)))</f>
        <v/>
      </c>
      <c r="I60" s="149" t="n"/>
      <c r="J60" s="141" t="n"/>
      <c r="K60" s="141" t="n"/>
      <c r="L60" s="140" t="n"/>
      <c r="M60" s="141" t="n"/>
      <c r="N60" s="140" t="n"/>
    </row>
    <row r="61" ht="15" customHeight="1" s="106">
      <c r="A61" s="149" t="n"/>
      <c r="B61" s="140" t="n"/>
      <c r="C61" s="140" t="n"/>
      <c r="D61" s="140" t="n"/>
      <c r="E61" s="147" t="n"/>
      <c r="F61" s="141" t="n"/>
      <c r="G61" s="148" t="n"/>
      <c r="H61" s="150">
        <f>IF(OR($G61="",$E61="",$E61=0),"",$G61/($E61*IFERROR(VLOOKUP($F61,'02 Lists'!$A$5:$B$18,2,FALSE()),1)))</f>
        <v/>
      </c>
      <c r="I61" s="149" t="n"/>
      <c r="J61" s="141" t="n"/>
      <c r="K61" s="141" t="n"/>
      <c r="L61" s="140" t="n"/>
      <c r="M61" s="141" t="n"/>
      <c r="N61" s="140" t="n"/>
    </row>
    <row r="62" ht="15" customHeight="1" s="106">
      <c r="A62" s="149" t="n"/>
      <c r="B62" s="140" t="n"/>
      <c r="C62" s="140" t="n"/>
      <c r="D62" s="140" t="n"/>
      <c r="E62" s="147" t="n"/>
      <c r="F62" s="141" t="n"/>
      <c r="G62" s="148" t="n"/>
      <c r="H62" s="150">
        <f>IF(OR($G62="",$E62="",$E62=0),"",$G62/($E62*IFERROR(VLOOKUP($F62,'02 Lists'!$A$5:$B$18,2,FALSE()),1)))</f>
        <v/>
      </c>
      <c r="I62" s="149" t="n"/>
      <c r="J62" s="141" t="n"/>
      <c r="K62" s="141" t="n"/>
      <c r="L62" s="140" t="n"/>
      <c r="M62" s="141" t="n"/>
      <c r="N62" s="140" t="n"/>
    </row>
    <row r="63" ht="15" customHeight="1" s="106">
      <c r="A63" s="149" t="n"/>
      <c r="B63" s="140" t="n"/>
      <c r="C63" s="140" t="n"/>
      <c r="D63" s="140" t="n"/>
      <c r="E63" s="147" t="n"/>
      <c r="F63" s="141" t="n"/>
      <c r="G63" s="148" t="n"/>
      <c r="H63" s="150">
        <f>IF(OR($G63="",$E63="",$E63=0),"",$G63/($E63*IFERROR(VLOOKUP($F63,'02 Lists'!$A$5:$B$18,2,FALSE()),1)))</f>
        <v/>
      </c>
      <c r="I63" s="149" t="n"/>
      <c r="J63" s="141" t="n"/>
      <c r="K63" s="141" t="n"/>
      <c r="L63" s="140" t="n"/>
      <c r="M63" s="141" t="n"/>
      <c r="N63" s="140" t="n"/>
    </row>
    <row r="64" ht="15" customHeight="1" s="106">
      <c r="A64" s="149" t="n"/>
      <c r="B64" s="140" t="n"/>
      <c r="C64" s="140" t="n"/>
      <c r="D64" s="140" t="n"/>
      <c r="E64" s="147" t="n"/>
      <c r="F64" s="141" t="n"/>
      <c r="G64" s="148" t="n"/>
      <c r="H64" s="150">
        <f>IF(OR($G64="",$E64="",$E64=0),"",$G64/($E64*IFERROR(VLOOKUP($F64,'02 Lists'!$A$5:$B$18,2,FALSE()),1)))</f>
        <v/>
      </c>
      <c r="I64" s="149" t="n"/>
      <c r="J64" s="141" t="n"/>
      <c r="K64" s="141" t="n"/>
      <c r="L64" s="140" t="n"/>
      <c r="M64" s="141" t="n"/>
      <c r="N64" s="140" t="n"/>
    </row>
    <row r="65" ht="15" customHeight="1" s="106">
      <c r="A65" s="149" t="n"/>
      <c r="B65" s="140" t="n"/>
      <c r="C65" s="140" t="n"/>
      <c r="D65" s="140" t="n"/>
      <c r="E65" s="147" t="n"/>
      <c r="F65" s="141" t="n"/>
      <c r="G65" s="148" t="n"/>
      <c r="H65" s="150">
        <f>IF(OR($G65="",$E65="",$E65=0),"",$G65/($E65*IFERROR(VLOOKUP($F65,'02 Lists'!$A$5:$B$18,2,FALSE()),1)))</f>
        <v/>
      </c>
      <c r="I65" s="149" t="n"/>
      <c r="J65" s="141" t="n"/>
      <c r="K65" s="141" t="n"/>
      <c r="L65" s="140" t="n"/>
      <c r="M65" s="141" t="n"/>
      <c r="N65" s="140" t="n"/>
    </row>
    <row r="66" ht="15" customHeight="1" s="106">
      <c r="A66" s="149" t="n"/>
      <c r="B66" s="140" t="n"/>
      <c r="C66" s="140" t="n"/>
      <c r="D66" s="140" t="n"/>
      <c r="E66" s="147" t="n"/>
      <c r="F66" s="141" t="n"/>
      <c r="G66" s="148" t="n"/>
      <c r="H66" s="150">
        <f>IF(OR($G66="",$E66="",$E66=0),"",$G66/($E66*IFERROR(VLOOKUP($F66,'02 Lists'!$A$5:$B$18,2,FALSE()),1)))</f>
        <v/>
      </c>
      <c r="I66" s="149" t="n"/>
      <c r="J66" s="141" t="n"/>
      <c r="K66" s="141" t="n"/>
      <c r="L66" s="140" t="n"/>
      <c r="M66" s="141" t="n"/>
      <c r="N66" s="140" t="n"/>
    </row>
    <row r="67" ht="15" customHeight="1" s="106">
      <c r="A67" s="149" t="n"/>
      <c r="B67" s="140" t="n"/>
      <c r="C67" s="140" t="n"/>
      <c r="D67" s="140" t="n"/>
      <c r="E67" s="147" t="n"/>
      <c r="F67" s="141" t="n"/>
      <c r="G67" s="148" t="n"/>
      <c r="H67" s="150">
        <f>IF(OR($G67="",$E67="",$E67=0),"",$G67/($E67*IFERROR(VLOOKUP($F67,'02 Lists'!$A$5:$B$18,2,FALSE()),1)))</f>
        <v/>
      </c>
      <c r="I67" s="149" t="n"/>
      <c r="J67" s="141" t="n"/>
      <c r="K67" s="141" t="n"/>
      <c r="L67" s="140" t="n"/>
      <c r="M67" s="141" t="n"/>
      <c r="N67" s="140" t="n"/>
    </row>
    <row r="68" ht="15" customHeight="1" s="106">
      <c r="A68" s="149" t="n"/>
      <c r="B68" s="140" t="n"/>
      <c r="C68" s="140" t="n"/>
      <c r="D68" s="140" t="n"/>
      <c r="E68" s="147" t="n"/>
      <c r="F68" s="141" t="n"/>
      <c r="G68" s="148" t="n"/>
      <c r="H68" s="150">
        <f>IF(OR($G68="",$E68="",$E68=0),"",$G68/($E68*IFERROR(VLOOKUP($F68,'02 Lists'!$A$5:$B$18,2,FALSE()),1)))</f>
        <v/>
      </c>
      <c r="I68" s="149" t="n"/>
      <c r="J68" s="141" t="n"/>
      <c r="K68" s="141" t="n"/>
      <c r="L68" s="140" t="n"/>
      <c r="M68" s="141" t="n"/>
      <c r="N68" s="140" t="n"/>
    </row>
    <row r="69" ht="15" customHeight="1" s="106">
      <c r="A69" s="149" t="n"/>
      <c r="B69" s="140" t="n"/>
      <c r="C69" s="140" t="n"/>
      <c r="D69" s="140" t="n"/>
      <c r="E69" s="147" t="n"/>
      <c r="F69" s="141" t="n"/>
      <c r="G69" s="148" t="n"/>
      <c r="H69" s="150">
        <f>IF(OR($G69="",$E69="",$E69=0),"",$G69/($E69*IFERROR(VLOOKUP($F69,'02 Lists'!$A$5:$B$18,2,FALSE()),1)))</f>
        <v/>
      </c>
      <c r="I69" s="149" t="n"/>
      <c r="J69" s="141" t="n"/>
      <c r="K69" s="141" t="n"/>
      <c r="L69" s="140" t="n"/>
      <c r="M69" s="141" t="n"/>
      <c r="N69" s="140" t="n"/>
    </row>
    <row r="70" ht="15" customHeight="1" s="106">
      <c r="A70" s="149" t="n"/>
      <c r="B70" s="140" t="n"/>
      <c r="C70" s="140" t="n"/>
      <c r="D70" s="140" t="n"/>
      <c r="E70" s="147" t="n"/>
      <c r="F70" s="141" t="n"/>
      <c r="G70" s="148" t="n"/>
      <c r="H70" s="150">
        <f>IF(OR($G70="",$E70="",$E70=0),"",$G70/($E70*IFERROR(VLOOKUP($F70,'02 Lists'!$A$5:$B$18,2,FALSE()),1)))</f>
        <v/>
      </c>
      <c r="I70" s="149" t="n"/>
      <c r="J70" s="141" t="n"/>
      <c r="K70" s="141" t="n"/>
      <c r="L70" s="140" t="n"/>
      <c r="M70" s="141" t="n"/>
      <c r="N70" s="140" t="n"/>
    </row>
    <row r="71" ht="15" customHeight="1" s="106">
      <c r="A71" s="149" t="n"/>
      <c r="B71" s="140" t="n"/>
      <c r="C71" s="140" t="n"/>
      <c r="D71" s="140" t="n"/>
      <c r="E71" s="147" t="n"/>
      <c r="F71" s="141" t="n"/>
      <c r="G71" s="148" t="n"/>
      <c r="H71" s="150">
        <f>IF(OR($G71="",$E71="",$E71=0),"",$G71/($E71*IFERROR(VLOOKUP($F71,'02 Lists'!$A$5:$B$18,2,FALSE()),1)))</f>
        <v/>
      </c>
      <c r="I71" s="149" t="n"/>
      <c r="J71" s="141" t="n"/>
      <c r="K71" s="141" t="n"/>
      <c r="L71" s="140" t="n"/>
      <c r="M71" s="141" t="n"/>
      <c r="N71" s="140" t="n"/>
    </row>
    <row r="72" ht="15" customHeight="1" s="106">
      <c r="A72" s="149" t="n"/>
      <c r="B72" s="140" t="n"/>
      <c r="C72" s="140" t="n"/>
      <c r="D72" s="140" t="n"/>
      <c r="E72" s="147" t="n"/>
      <c r="F72" s="141" t="n"/>
      <c r="G72" s="148" t="n"/>
      <c r="H72" s="150">
        <f>IF(OR($G72="",$E72="",$E72=0),"",$G72/($E72*IFERROR(VLOOKUP($F72,'02 Lists'!$A$5:$B$18,2,FALSE()),1)))</f>
        <v/>
      </c>
      <c r="I72" s="149" t="n"/>
      <c r="J72" s="141" t="n"/>
      <c r="K72" s="141" t="n"/>
      <c r="L72" s="140" t="n"/>
      <c r="M72" s="141" t="n"/>
      <c r="N72" s="140" t="n"/>
    </row>
    <row r="73" ht="15" customHeight="1" s="106">
      <c r="A73" s="149" t="n"/>
      <c r="B73" s="140" t="n"/>
      <c r="C73" s="140" t="n"/>
      <c r="D73" s="140" t="n"/>
      <c r="E73" s="147" t="n"/>
      <c r="F73" s="141" t="n"/>
      <c r="G73" s="148" t="n"/>
      <c r="H73" s="150">
        <f>IF(OR($G73="",$E73="",$E73=0),"",$G73/($E73*IFERROR(VLOOKUP($F73,'02 Lists'!$A$5:$B$18,2,FALSE()),1)))</f>
        <v/>
      </c>
      <c r="I73" s="149" t="n"/>
      <c r="J73" s="141" t="n"/>
      <c r="K73" s="141" t="n"/>
      <c r="L73" s="140" t="n"/>
      <c r="M73" s="141" t="n"/>
      <c r="N73" s="140" t="n"/>
    </row>
    <row r="74" ht="15" customHeight="1" s="106">
      <c r="A74" s="149" t="n"/>
      <c r="B74" s="140" t="n"/>
      <c r="C74" s="140" t="n"/>
      <c r="D74" s="140" t="n"/>
      <c r="E74" s="147" t="n"/>
      <c r="F74" s="141" t="n"/>
      <c r="G74" s="148" t="n"/>
      <c r="H74" s="150">
        <f>IF(OR($G74="",$E74="",$E74=0),"",$G74/($E74*IFERROR(VLOOKUP($F74,'02 Lists'!$A$5:$B$18,2,FALSE()),1)))</f>
        <v/>
      </c>
      <c r="I74" s="149" t="n"/>
      <c r="J74" s="141" t="n"/>
      <c r="K74" s="141" t="n"/>
      <c r="L74" s="140" t="n"/>
      <c r="M74" s="141" t="n"/>
      <c r="N74" s="140" t="n"/>
    </row>
    <row r="75" ht="15" customHeight="1" s="106">
      <c r="A75" s="149" t="n"/>
      <c r="B75" s="140" t="n"/>
      <c r="C75" s="140" t="n"/>
      <c r="D75" s="140" t="n"/>
      <c r="E75" s="147" t="n"/>
      <c r="F75" s="141" t="n"/>
      <c r="G75" s="148" t="n"/>
      <c r="H75" s="150">
        <f>IF(OR($G75="",$E75="",$E75=0),"",$G75/($E75*IFERROR(VLOOKUP($F75,'02 Lists'!$A$5:$B$18,2,FALSE()),1)))</f>
        <v/>
      </c>
      <c r="I75" s="149" t="n"/>
      <c r="J75" s="141" t="n"/>
      <c r="K75" s="141" t="n"/>
      <c r="L75" s="140" t="n"/>
      <c r="M75" s="141" t="n"/>
      <c r="N75" s="140" t="n"/>
    </row>
    <row r="76" ht="15" customHeight="1" s="106">
      <c r="A76" s="149" t="n"/>
      <c r="B76" s="140" t="n"/>
      <c r="C76" s="140" t="n"/>
      <c r="D76" s="140" t="n"/>
      <c r="E76" s="147" t="n"/>
      <c r="F76" s="141" t="n"/>
      <c r="G76" s="148" t="n"/>
      <c r="H76" s="150">
        <f>IF(OR($G76="",$E76="",$E76=0),"",$G76/($E76*IFERROR(VLOOKUP($F76,'02 Lists'!$A$5:$B$18,2,FALSE()),1)))</f>
        <v/>
      </c>
      <c r="I76" s="149" t="n"/>
      <c r="J76" s="141" t="n"/>
      <c r="K76" s="141" t="n"/>
      <c r="L76" s="140" t="n"/>
      <c r="M76" s="141" t="n"/>
      <c r="N76" s="140" t="n"/>
    </row>
    <row r="77" ht="15" customHeight="1" s="106">
      <c r="A77" s="149" t="n"/>
      <c r="B77" s="140" t="n"/>
      <c r="C77" s="140" t="n"/>
      <c r="D77" s="140" t="n"/>
      <c r="E77" s="147" t="n"/>
      <c r="F77" s="141" t="n"/>
      <c r="G77" s="148" t="n"/>
      <c r="H77" s="150">
        <f>IF(OR($G77="",$E77="",$E77=0),"",$G77/($E77*IFERROR(VLOOKUP($F77,'02 Lists'!$A$5:$B$18,2,FALSE()),1)))</f>
        <v/>
      </c>
      <c r="I77" s="149" t="n"/>
      <c r="J77" s="141" t="n"/>
      <c r="K77" s="141" t="n"/>
      <c r="L77" s="140" t="n"/>
      <c r="M77" s="141" t="n"/>
      <c r="N77" s="140" t="n"/>
    </row>
    <row r="78" ht="15" customHeight="1" s="106">
      <c r="A78" s="149" t="n"/>
      <c r="B78" s="140" t="n"/>
      <c r="C78" s="140" t="n"/>
      <c r="D78" s="140" t="n"/>
      <c r="E78" s="147" t="n"/>
      <c r="F78" s="141" t="n"/>
      <c r="G78" s="148" t="n"/>
      <c r="H78" s="150">
        <f>IF(OR($G78="",$E78="",$E78=0),"",$G78/($E78*IFERROR(VLOOKUP($F78,'02 Lists'!$A$5:$B$18,2,FALSE()),1)))</f>
        <v/>
      </c>
      <c r="I78" s="149" t="n"/>
      <c r="J78" s="141" t="n"/>
      <c r="K78" s="141" t="n"/>
      <c r="L78" s="140" t="n"/>
      <c r="M78" s="141" t="n"/>
      <c r="N78" s="140" t="n"/>
    </row>
    <row r="79" ht="15" customHeight="1" s="106">
      <c r="A79" s="149" t="n"/>
      <c r="B79" s="140" t="n"/>
      <c r="C79" s="140" t="n"/>
      <c r="D79" s="140" t="n"/>
      <c r="E79" s="147" t="n"/>
      <c r="F79" s="141" t="n"/>
      <c r="G79" s="148" t="n"/>
      <c r="H79" s="150">
        <f>IF(OR($G79="",$E79="",$E79=0),"",$G79/($E79*IFERROR(VLOOKUP($F79,'02 Lists'!$A$5:$B$18,2,FALSE()),1)))</f>
        <v/>
      </c>
      <c r="I79" s="149" t="n"/>
      <c r="J79" s="141" t="n"/>
      <c r="K79" s="141" t="n"/>
      <c r="L79" s="140" t="n"/>
      <c r="M79" s="141" t="n"/>
      <c r="N79" s="140" t="n"/>
    </row>
    <row r="80" ht="15" customHeight="1" s="106">
      <c r="A80" s="149" t="n"/>
      <c r="B80" s="140" t="n"/>
      <c r="C80" s="140" t="n"/>
      <c r="D80" s="140" t="n"/>
      <c r="E80" s="147" t="n"/>
      <c r="F80" s="141" t="n"/>
      <c r="G80" s="148" t="n"/>
      <c r="H80" s="150">
        <f>IF(OR($G80="",$E80="",$E80=0),"",$G80/($E80*IFERROR(VLOOKUP($F80,'02 Lists'!$A$5:$B$18,2,FALSE()),1)))</f>
        <v/>
      </c>
      <c r="I80" s="149" t="n"/>
      <c r="J80" s="141" t="n"/>
      <c r="K80" s="141" t="n"/>
      <c r="L80" s="140" t="n"/>
      <c r="M80" s="141" t="n"/>
      <c r="N80" s="140" t="n"/>
    </row>
    <row r="81" ht="15" customHeight="1" s="106">
      <c r="A81" s="149" t="n"/>
      <c r="B81" s="140" t="n"/>
      <c r="C81" s="140" t="n"/>
      <c r="D81" s="140" t="n"/>
      <c r="E81" s="147" t="n"/>
      <c r="F81" s="141" t="n"/>
      <c r="G81" s="148" t="n"/>
      <c r="H81" s="150">
        <f>IF(OR($G81="",$E81="",$E81=0),"",$G81/($E81*IFERROR(VLOOKUP($F81,'02 Lists'!$A$5:$B$18,2,FALSE()),1)))</f>
        <v/>
      </c>
      <c r="I81" s="149" t="n"/>
      <c r="J81" s="141" t="n"/>
      <c r="K81" s="141" t="n"/>
      <c r="L81" s="140" t="n"/>
      <c r="M81" s="141" t="n"/>
      <c r="N81" s="140" t="n"/>
    </row>
    <row r="82" ht="15" customHeight="1" s="106">
      <c r="A82" s="149" t="n"/>
      <c r="B82" s="140" t="n"/>
      <c r="C82" s="140" t="n"/>
      <c r="D82" s="140" t="n"/>
      <c r="E82" s="147" t="n"/>
      <c r="F82" s="141" t="n"/>
      <c r="G82" s="148" t="n"/>
      <c r="H82" s="150">
        <f>IF(OR($G82="",$E82="",$E82=0),"",$G82/($E82*IFERROR(VLOOKUP($F82,'02 Lists'!$A$5:$B$18,2,FALSE()),1)))</f>
        <v/>
      </c>
      <c r="I82" s="149" t="n"/>
      <c r="J82" s="141" t="n"/>
      <c r="K82" s="141" t="n"/>
      <c r="L82" s="140" t="n"/>
      <c r="M82" s="141" t="n"/>
      <c r="N82" s="140" t="n"/>
    </row>
    <row r="83" ht="15" customHeight="1" s="106">
      <c r="A83" s="149" t="n"/>
      <c r="B83" s="140" t="n"/>
      <c r="C83" s="140" t="n"/>
      <c r="D83" s="140" t="n"/>
      <c r="E83" s="147" t="n"/>
      <c r="F83" s="141" t="n"/>
      <c r="G83" s="148" t="n"/>
      <c r="H83" s="150">
        <f>IF(OR($G83="",$E83="",$E83=0),"",$G83/($E83*IFERROR(VLOOKUP($F83,'02 Lists'!$A$5:$B$18,2,FALSE()),1)))</f>
        <v/>
      </c>
      <c r="I83" s="149" t="n"/>
      <c r="J83" s="141" t="n"/>
      <c r="K83" s="141" t="n"/>
      <c r="L83" s="140" t="n"/>
      <c r="M83" s="141" t="n"/>
      <c r="N83" s="140" t="n"/>
    </row>
    <row r="84" ht="15" customHeight="1" s="106">
      <c r="A84" s="149" t="n"/>
      <c r="B84" s="140" t="n"/>
      <c r="C84" s="140" t="n"/>
      <c r="D84" s="140" t="n"/>
      <c r="E84" s="147" t="n"/>
      <c r="F84" s="141" t="n"/>
      <c r="G84" s="148" t="n"/>
      <c r="H84" s="150">
        <f>IF(OR($G84="",$E84="",$E84=0),"",$G84/($E84*IFERROR(VLOOKUP($F84,'02 Lists'!$A$5:$B$18,2,FALSE()),1)))</f>
        <v/>
      </c>
      <c r="I84" s="149" t="n"/>
      <c r="J84" s="141" t="n"/>
      <c r="K84" s="141" t="n"/>
      <c r="L84" s="140" t="n"/>
      <c r="M84" s="141" t="n"/>
      <c r="N84" s="140" t="n"/>
    </row>
    <row r="85" ht="15" customHeight="1" s="106">
      <c r="A85" s="149" t="n"/>
      <c r="B85" s="140" t="n"/>
      <c r="C85" s="140" t="n"/>
      <c r="D85" s="140" t="n"/>
      <c r="E85" s="147" t="n"/>
      <c r="F85" s="141" t="n"/>
      <c r="G85" s="148" t="n"/>
      <c r="H85" s="150">
        <f>IF(OR($G85="",$E85="",$E85=0),"",$G85/($E85*IFERROR(VLOOKUP($F85,'02 Lists'!$A$5:$B$18,2,FALSE()),1)))</f>
        <v/>
      </c>
      <c r="I85" s="149" t="n"/>
      <c r="J85" s="141" t="n"/>
      <c r="K85" s="141" t="n"/>
      <c r="L85" s="140" t="n"/>
      <c r="M85" s="141" t="n"/>
      <c r="N85" s="140" t="n"/>
    </row>
    <row r="86" ht="15" customHeight="1" s="106">
      <c r="A86" s="149" t="n"/>
      <c r="B86" s="140" t="n"/>
      <c r="C86" s="140" t="n"/>
      <c r="D86" s="140" t="n"/>
      <c r="E86" s="147" t="n"/>
      <c r="F86" s="141" t="n"/>
      <c r="G86" s="148" t="n"/>
      <c r="H86" s="150">
        <f>IF(OR($G86="",$E86="",$E86=0),"",$G86/($E86*IFERROR(VLOOKUP($F86,'02 Lists'!$A$5:$B$18,2,FALSE()),1)))</f>
        <v/>
      </c>
      <c r="I86" s="149" t="n"/>
      <c r="J86" s="141" t="n"/>
      <c r="K86" s="141" t="n"/>
      <c r="L86" s="140" t="n"/>
      <c r="M86" s="141" t="n"/>
      <c r="N86" s="140" t="n"/>
    </row>
    <row r="87" ht="15" customHeight="1" s="106">
      <c r="A87" s="149" t="n"/>
      <c r="B87" s="140" t="n"/>
      <c r="C87" s="140" t="n"/>
      <c r="D87" s="140" t="n"/>
      <c r="E87" s="147" t="n"/>
      <c r="F87" s="141" t="n"/>
      <c r="G87" s="148" t="n"/>
      <c r="H87" s="150">
        <f>IF(OR($G87="",$E87="",$E87=0),"",$G87/($E87*IFERROR(VLOOKUP($F87,'02 Lists'!$A$5:$B$18,2,FALSE()),1)))</f>
        <v/>
      </c>
      <c r="I87" s="149" t="n"/>
      <c r="J87" s="141" t="n"/>
      <c r="K87" s="141" t="n"/>
      <c r="L87" s="140" t="n"/>
      <c r="M87" s="141" t="n"/>
      <c r="N87" s="140" t="n"/>
    </row>
    <row r="88" ht="15" customHeight="1" s="106">
      <c r="A88" s="149" t="n"/>
      <c r="B88" s="140" t="n"/>
      <c r="C88" s="140" t="n"/>
      <c r="D88" s="140" t="n"/>
      <c r="E88" s="147" t="n"/>
      <c r="F88" s="141" t="n"/>
      <c r="G88" s="148" t="n"/>
      <c r="H88" s="150">
        <f>IF(OR($G88="",$E88="",$E88=0),"",$G88/($E88*IFERROR(VLOOKUP($F88,'02 Lists'!$A$5:$B$18,2,FALSE()),1)))</f>
        <v/>
      </c>
      <c r="I88" s="149" t="n"/>
      <c r="J88" s="141" t="n"/>
      <c r="K88" s="141" t="n"/>
      <c r="L88" s="140" t="n"/>
      <c r="M88" s="141" t="n"/>
      <c r="N88" s="140" t="n"/>
    </row>
    <row r="89" ht="15" customHeight="1" s="106">
      <c r="A89" s="149" t="n"/>
      <c r="B89" s="140" t="n"/>
      <c r="C89" s="140" t="n"/>
      <c r="D89" s="140" t="n"/>
      <c r="E89" s="147" t="n"/>
      <c r="F89" s="141" t="n"/>
      <c r="G89" s="148" t="n"/>
      <c r="H89" s="150">
        <f>IF(OR($G89="",$E89="",$E89=0),"",$G89/($E89*IFERROR(VLOOKUP($F89,'02 Lists'!$A$5:$B$18,2,FALSE()),1)))</f>
        <v/>
      </c>
      <c r="I89" s="149" t="n"/>
      <c r="J89" s="141" t="n"/>
      <c r="K89" s="141" t="n"/>
      <c r="L89" s="140" t="n"/>
      <c r="M89" s="141" t="n"/>
      <c r="N89" s="140" t="n"/>
    </row>
    <row r="90" ht="15" customHeight="1" s="106">
      <c r="A90" s="149" t="n"/>
      <c r="B90" s="140" t="n"/>
      <c r="C90" s="140" t="n"/>
      <c r="D90" s="140" t="n"/>
      <c r="E90" s="147" t="n"/>
      <c r="F90" s="141" t="n"/>
      <c r="G90" s="148" t="n"/>
      <c r="H90" s="150">
        <f>IF(OR($G90="",$E90="",$E90=0),"",$G90/($E90*IFERROR(VLOOKUP($F90,'02 Lists'!$A$5:$B$18,2,FALSE()),1)))</f>
        <v/>
      </c>
      <c r="I90" s="149" t="n"/>
      <c r="J90" s="141" t="n"/>
      <c r="K90" s="141" t="n"/>
      <c r="L90" s="140" t="n"/>
      <c r="M90" s="141" t="n"/>
      <c r="N90" s="140" t="n"/>
    </row>
    <row r="91" ht="15" customHeight="1" s="106">
      <c r="A91" s="149" t="n"/>
      <c r="B91" s="140" t="n"/>
      <c r="C91" s="140" t="n"/>
      <c r="D91" s="140" t="n"/>
      <c r="E91" s="147" t="n"/>
      <c r="F91" s="141" t="n"/>
      <c r="G91" s="148" t="n"/>
      <c r="H91" s="150">
        <f>IF(OR($G91="",$E91="",$E91=0),"",$G91/($E91*IFERROR(VLOOKUP($F91,'02 Lists'!$A$5:$B$18,2,FALSE()),1)))</f>
        <v/>
      </c>
      <c r="I91" s="149" t="n"/>
      <c r="J91" s="141" t="n"/>
      <c r="K91" s="141" t="n"/>
      <c r="L91" s="140" t="n"/>
      <c r="M91" s="141" t="n"/>
      <c r="N91" s="140" t="n"/>
    </row>
    <row r="92" ht="15" customHeight="1" s="106">
      <c r="A92" s="149" t="n"/>
      <c r="B92" s="140" t="n"/>
      <c r="C92" s="140" t="n"/>
      <c r="D92" s="140" t="n"/>
      <c r="E92" s="147" t="n"/>
      <c r="F92" s="141" t="n"/>
      <c r="G92" s="148" t="n"/>
      <c r="H92" s="150">
        <f>IF(OR($G92="",$E92="",$E92=0),"",$G92/($E92*IFERROR(VLOOKUP($F92,'02 Lists'!$A$5:$B$18,2,FALSE()),1)))</f>
        <v/>
      </c>
      <c r="I92" s="149" t="n"/>
      <c r="J92" s="141" t="n"/>
      <c r="K92" s="141" t="n"/>
      <c r="L92" s="140" t="n"/>
      <c r="M92" s="141" t="n"/>
      <c r="N92" s="140" t="n"/>
    </row>
    <row r="93" ht="15" customHeight="1" s="106">
      <c r="A93" s="149" t="n"/>
      <c r="B93" s="140" t="n"/>
      <c r="C93" s="140" t="n"/>
      <c r="D93" s="140" t="n"/>
      <c r="E93" s="147" t="n"/>
      <c r="F93" s="141" t="n"/>
      <c r="G93" s="148" t="n"/>
      <c r="H93" s="150">
        <f>IF(OR($G93="",$E93="",$E93=0),"",$G93/($E93*IFERROR(VLOOKUP($F93,'02 Lists'!$A$5:$B$18,2,FALSE()),1)))</f>
        <v/>
      </c>
      <c r="I93" s="149" t="n"/>
      <c r="J93" s="141" t="n"/>
      <c r="K93" s="141" t="n"/>
      <c r="L93" s="140" t="n"/>
      <c r="M93" s="141" t="n"/>
      <c r="N93" s="140" t="n"/>
    </row>
    <row r="94" ht="15" customHeight="1" s="106">
      <c r="A94" s="149" t="n"/>
      <c r="B94" s="140" t="n"/>
      <c r="C94" s="140" t="n"/>
      <c r="D94" s="140" t="n"/>
      <c r="E94" s="147" t="n"/>
      <c r="F94" s="141" t="n"/>
      <c r="G94" s="148" t="n"/>
      <c r="H94" s="150">
        <f>IF(OR($G94="",$E94="",$E94=0),"",$G94/($E94*IFERROR(VLOOKUP($F94,'02 Lists'!$A$5:$B$18,2,FALSE()),1)))</f>
        <v/>
      </c>
      <c r="I94" s="149" t="n"/>
      <c r="J94" s="141" t="n"/>
      <c r="K94" s="141" t="n"/>
      <c r="L94" s="140" t="n"/>
      <c r="M94" s="141" t="n"/>
      <c r="N94" s="140" t="n"/>
    </row>
    <row r="95" ht="15" customHeight="1" s="106">
      <c r="A95" s="149" t="n"/>
      <c r="B95" s="140" t="n"/>
      <c r="C95" s="140" t="n"/>
      <c r="D95" s="140" t="n"/>
      <c r="E95" s="147" t="n"/>
      <c r="F95" s="141" t="n"/>
      <c r="G95" s="148" t="n"/>
      <c r="H95" s="150">
        <f>IF(OR($G95="",$E95="",$E95=0),"",$G95/($E95*IFERROR(VLOOKUP($F95,'02 Lists'!$A$5:$B$18,2,FALSE()),1)))</f>
        <v/>
      </c>
      <c r="I95" s="149" t="n"/>
      <c r="J95" s="141" t="n"/>
      <c r="K95" s="141" t="n"/>
      <c r="L95" s="140" t="n"/>
      <c r="M95" s="141" t="n"/>
      <c r="N95" s="140" t="n"/>
    </row>
    <row r="96" ht="15" customHeight="1" s="106">
      <c r="A96" s="149" t="n"/>
      <c r="B96" s="140" t="n"/>
      <c r="C96" s="140" t="n"/>
      <c r="D96" s="140" t="n"/>
      <c r="E96" s="147" t="n"/>
      <c r="F96" s="141" t="n"/>
      <c r="G96" s="148" t="n"/>
      <c r="H96" s="150">
        <f>IF(OR($G96="",$E96="",$E96=0),"",$G96/($E96*IFERROR(VLOOKUP($F96,'02 Lists'!$A$5:$B$18,2,FALSE()),1)))</f>
        <v/>
      </c>
      <c r="I96" s="149" t="n"/>
      <c r="J96" s="141" t="n"/>
      <c r="K96" s="141" t="n"/>
      <c r="L96" s="140" t="n"/>
      <c r="M96" s="141" t="n"/>
      <c r="N96" s="140" t="n"/>
    </row>
    <row r="97" ht="15" customHeight="1" s="106">
      <c r="A97" s="149" t="n"/>
      <c r="B97" s="140" t="n"/>
      <c r="C97" s="140" t="n"/>
      <c r="D97" s="140" t="n"/>
      <c r="E97" s="147" t="n"/>
      <c r="F97" s="141" t="n"/>
      <c r="G97" s="148" t="n"/>
      <c r="H97" s="150">
        <f>IF(OR($G97="",$E97="",$E97=0),"",$G97/($E97*IFERROR(VLOOKUP($F97,'02 Lists'!$A$5:$B$18,2,FALSE()),1)))</f>
        <v/>
      </c>
      <c r="I97" s="149" t="n"/>
      <c r="J97" s="141" t="n"/>
      <c r="K97" s="141" t="n"/>
      <c r="L97" s="140" t="n"/>
      <c r="M97" s="141" t="n"/>
      <c r="N97" s="140" t="n"/>
    </row>
    <row r="98" ht="15" customHeight="1" s="106">
      <c r="A98" s="149" t="n"/>
      <c r="B98" s="140" t="n"/>
      <c r="C98" s="140" t="n"/>
      <c r="D98" s="140" t="n"/>
      <c r="E98" s="147" t="n"/>
      <c r="F98" s="141" t="n"/>
      <c r="G98" s="148" t="n"/>
      <c r="H98" s="150">
        <f>IF(OR($G98="",$E98="",$E98=0),"",$G98/($E98*IFERROR(VLOOKUP($F98,'02 Lists'!$A$5:$B$18,2,FALSE()),1)))</f>
        <v/>
      </c>
      <c r="I98" s="149" t="n"/>
      <c r="J98" s="141" t="n"/>
      <c r="K98" s="141" t="n"/>
      <c r="L98" s="140" t="n"/>
      <c r="M98" s="141" t="n"/>
      <c r="N98" s="140" t="n"/>
    </row>
    <row r="99" ht="15" customHeight="1" s="106">
      <c r="A99" s="149" t="n"/>
      <c r="B99" s="140" t="n"/>
      <c r="C99" s="140" t="n"/>
      <c r="D99" s="140" t="n"/>
      <c r="E99" s="147" t="n"/>
      <c r="F99" s="141" t="n"/>
      <c r="G99" s="148" t="n"/>
      <c r="H99" s="150">
        <f>IF(OR($G99="",$E99="",$E99=0),"",$G99/($E99*IFERROR(VLOOKUP($F99,'02 Lists'!$A$5:$B$18,2,FALSE()),1)))</f>
        <v/>
      </c>
      <c r="I99" s="149" t="n"/>
      <c r="J99" s="141" t="n"/>
      <c r="K99" s="141" t="n"/>
      <c r="L99" s="140" t="n"/>
      <c r="M99" s="141" t="n"/>
      <c r="N99" s="140" t="n"/>
    </row>
    <row r="100" ht="15" customHeight="1" s="106">
      <c r="A100" s="149" t="n"/>
      <c r="B100" s="140" t="n"/>
      <c r="C100" s="140" t="n"/>
      <c r="D100" s="140" t="n"/>
      <c r="E100" s="147" t="n"/>
      <c r="F100" s="141" t="n"/>
      <c r="G100" s="148" t="n"/>
      <c r="H100" s="150">
        <f>IF(OR($G100="",$E100="",$E100=0),"",$G100/($E100*IFERROR(VLOOKUP($F100,'02 Lists'!$A$5:$B$18,2,FALSE()),1)))</f>
        <v/>
      </c>
      <c r="I100" s="149" t="n"/>
      <c r="J100" s="141" t="n"/>
      <c r="K100" s="141" t="n"/>
      <c r="L100" s="140" t="n"/>
      <c r="M100" s="141" t="n"/>
      <c r="N100" s="140" t="n"/>
    </row>
    <row r="101" ht="15" customHeight="1" s="106">
      <c r="A101" s="149" t="n"/>
      <c r="B101" s="140" t="n"/>
      <c r="C101" s="140" t="n"/>
      <c r="D101" s="140" t="n"/>
      <c r="E101" s="147" t="n"/>
      <c r="F101" s="141" t="n"/>
      <c r="G101" s="148" t="n"/>
      <c r="H101" s="150">
        <f>IF(OR($G101="",$E101="",$E101=0),"",$G101/($E101*IFERROR(VLOOKUP($F101,'02 Lists'!$A$5:$B$18,2,FALSE()),1)))</f>
        <v/>
      </c>
      <c r="I101" s="149" t="n"/>
      <c r="J101" s="141" t="n"/>
      <c r="K101" s="141" t="n"/>
      <c r="L101" s="140" t="n"/>
      <c r="M101" s="141" t="n"/>
      <c r="N101" s="140" t="n"/>
    </row>
    <row r="102" ht="15" customHeight="1" s="106">
      <c r="A102" s="149" t="n"/>
      <c r="B102" s="140" t="n"/>
      <c r="C102" s="140" t="n"/>
      <c r="D102" s="140" t="n"/>
      <c r="E102" s="147" t="n"/>
      <c r="F102" s="141" t="n"/>
      <c r="G102" s="148" t="n"/>
      <c r="H102" s="150">
        <f>IF(OR($G102="",$E102="",$E102=0),"",$G102/($E102*IFERROR(VLOOKUP($F102,'02 Lists'!$A$5:$B$18,2,FALSE()),1)))</f>
        <v/>
      </c>
      <c r="I102" s="149" t="n"/>
      <c r="J102" s="141" t="n"/>
      <c r="K102" s="141" t="n"/>
      <c r="L102" s="140" t="n"/>
      <c r="M102" s="141" t="n"/>
      <c r="N102" s="140" t="n"/>
    </row>
    <row r="103" ht="15" customHeight="1" s="106">
      <c r="A103" s="149" t="n"/>
      <c r="B103" s="140" t="n"/>
      <c r="C103" s="140" t="n"/>
      <c r="D103" s="140" t="n"/>
      <c r="E103" s="147" t="n"/>
      <c r="F103" s="141" t="n"/>
      <c r="G103" s="148" t="n"/>
      <c r="H103" s="150">
        <f>IF(OR($G103="",$E103="",$E103=0),"",$G103/($E103*IFERROR(VLOOKUP($F103,'02 Lists'!$A$5:$B$18,2,FALSE()),1)))</f>
        <v/>
      </c>
      <c r="I103" s="149" t="n"/>
      <c r="J103" s="141" t="n"/>
      <c r="K103" s="141" t="n"/>
      <c r="L103" s="140" t="n"/>
      <c r="M103" s="141" t="n"/>
      <c r="N103" s="140" t="n"/>
    </row>
    <row r="104" ht="15" customHeight="1" s="106">
      <c r="A104" s="149" t="n"/>
      <c r="B104" s="140" t="n"/>
      <c r="C104" s="140" t="n"/>
      <c r="D104" s="140" t="n"/>
      <c r="E104" s="147" t="n"/>
      <c r="F104" s="141" t="n"/>
      <c r="G104" s="148" t="n"/>
      <c r="H104" s="150">
        <f>IF(OR($G104="",$E104="",$E104=0),"",$G104/($E104*IFERROR(VLOOKUP($F104,'02 Lists'!$A$5:$B$18,2,FALSE()),1)))</f>
        <v/>
      </c>
      <c r="I104" s="149" t="n"/>
      <c r="J104" s="141" t="n"/>
      <c r="K104" s="141" t="n"/>
      <c r="L104" s="140" t="n"/>
      <c r="M104" s="141" t="n"/>
      <c r="N104" s="140" t="n"/>
    </row>
    <row r="105" ht="15" customHeight="1" s="106">
      <c r="A105" s="149" t="n"/>
      <c r="B105" s="140" t="n"/>
      <c r="C105" s="140" t="n"/>
      <c r="D105" s="140" t="n"/>
      <c r="E105" s="147" t="n"/>
      <c r="F105" s="141" t="n"/>
      <c r="G105" s="148" t="n"/>
      <c r="H105" s="150">
        <f>IF(OR($G105="",$E105="",$E105=0),"",$G105/($E105*IFERROR(VLOOKUP($F105,'02 Lists'!$A$5:$B$18,2,FALSE()),1)))</f>
        <v/>
      </c>
      <c r="I105" s="149" t="n"/>
      <c r="J105" s="141" t="n"/>
      <c r="K105" s="141" t="n"/>
      <c r="L105" s="140" t="n"/>
      <c r="M105" s="141" t="n"/>
      <c r="N105" s="140" t="n"/>
    </row>
    <row r="106" ht="15" customHeight="1" s="106">
      <c r="A106" s="149" t="n"/>
      <c r="B106" s="140" t="n"/>
      <c r="C106" s="140" t="n"/>
      <c r="D106" s="140" t="n"/>
      <c r="E106" s="147" t="n"/>
      <c r="F106" s="141" t="n"/>
      <c r="G106" s="148" t="n"/>
      <c r="H106" s="150">
        <f>IF(OR($G106="",$E106="",$E106=0),"",$G106/($E106*IFERROR(VLOOKUP($F106,'02 Lists'!$A$5:$B$18,2,FALSE()),1)))</f>
        <v/>
      </c>
      <c r="I106" s="149" t="n"/>
      <c r="J106" s="141" t="n"/>
      <c r="K106" s="141" t="n"/>
      <c r="L106" s="140" t="n"/>
      <c r="M106" s="141" t="n"/>
      <c r="N106" s="140" t="n"/>
    </row>
    <row r="107" ht="15" customHeight="1" s="106">
      <c r="A107" s="149" t="n"/>
      <c r="B107" s="140" t="n"/>
      <c r="C107" s="140" t="n"/>
      <c r="D107" s="140" t="n"/>
      <c r="E107" s="147" t="n"/>
      <c r="F107" s="141" t="n"/>
      <c r="G107" s="148" t="n"/>
      <c r="H107" s="150">
        <f>IF(OR($G107="",$E107="",$E107=0),"",$G107/($E107*IFERROR(VLOOKUP($F107,'02 Lists'!$A$5:$B$18,2,FALSE()),1)))</f>
        <v/>
      </c>
      <c r="I107" s="149" t="n"/>
      <c r="J107" s="141" t="n"/>
      <c r="K107" s="141" t="n"/>
      <c r="L107" s="140" t="n"/>
      <c r="M107" s="141" t="n"/>
      <c r="N107" s="140" t="n"/>
    </row>
    <row r="108" ht="15" customHeight="1" s="106">
      <c r="A108" s="149" t="n"/>
      <c r="B108" s="140" t="n"/>
      <c r="C108" s="140" t="n"/>
      <c r="D108" s="140" t="n"/>
      <c r="E108" s="147" t="n"/>
      <c r="F108" s="141" t="n"/>
      <c r="G108" s="148" t="n"/>
      <c r="H108" s="150">
        <f>IF(OR($G108="",$E108="",$E108=0),"",$G108/($E108*IFERROR(VLOOKUP($F108,'02 Lists'!$A$5:$B$18,2,FALSE()),1)))</f>
        <v/>
      </c>
      <c r="I108" s="149" t="n"/>
      <c r="J108" s="141" t="n"/>
      <c r="K108" s="141" t="n"/>
      <c r="L108" s="140" t="n"/>
      <c r="M108" s="141" t="n"/>
      <c r="N108" s="140" t="n"/>
    </row>
    <row r="109" ht="15" customHeight="1" s="106">
      <c r="A109" s="149" t="n"/>
      <c r="B109" s="140" t="n"/>
      <c r="C109" s="140" t="n"/>
      <c r="D109" s="140" t="n"/>
      <c r="E109" s="147" t="n"/>
      <c r="F109" s="141" t="n"/>
      <c r="G109" s="148" t="n"/>
      <c r="H109" s="150">
        <f>IF(OR($G109="",$E109="",$E109=0),"",$G109/($E109*IFERROR(VLOOKUP($F109,'02 Lists'!$A$5:$B$18,2,FALSE()),1)))</f>
        <v/>
      </c>
      <c r="I109" s="149" t="n"/>
      <c r="J109" s="141" t="n"/>
      <c r="K109" s="141" t="n"/>
      <c r="L109" s="140" t="n"/>
      <c r="M109" s="141" t="n"/>
      <c r="N109" s="140" t="n"/>
    </row>
    <row r="110" ht="15" customHeight="1" s="106">
      <c r="A110" s="149" t="n"/>
      <c r="B110" s="140" t="n"/>
      <c r="C110" s="140" t="n"/>
      <c r="D110" s="140" t="n"/>
      <c r="E110" s="147" t="n"/>
      <c r="F110" s="141" t="n"/>
      <c r="G110" s="148" t="n"/>
      <c r="H110" s="150">
        <f>IF(OR($G110="",$E110="",$E110=0),"",$G110/($E110*IFERROR(VLOOKUP($F110,'02 Lists'!$A$5:$B$18,2,FALSE()),1)))</f>
        <v/>
      </c>
      <c r="I110" s="149" t="n"/>
      <c r="J110" s="141" t="n"/>
      <c r="K110" s="141" t="n"/>
      <c r="L110" s="140" t="n"/>
      <c r="M110" s="141" t="n"/>
      <c r="N110" s="140" t="n"/>
    </row>
    <row r="111" ht="15" customHeight="1" s="106">
      <c r="A111" s="149" t="n"/>
      <c r="B111" s="140" t="n"/>
      <c r="C111" s="140" t="n"/>
      <c r="D111" s="140" t="n"/>
      <c r="E111" s="147" t="n"/>
      <c r="F111" s="141" t="n"/>
      <c r="G111" s="148" t="n"/>
      <c r="H111" s="150">
        <f>IF(OR($G111="",$E111="",$E111=0),"",$G111/($E111*IFERROR(VLOOKUP($F111,'02 Lists'!$A$5:$B$18,2,FALSE()),1)))</f>
        <v/>
      </c>
      <c r="I111" s="149" t="n"/>
      <c r="J111" s="141" t="n"/>
      <c r="K111" s="141" t="n"/>
      <c r="L111" s="140" t="n"/>
      <c r="M111" s="141" t="n"/>
      <c r="N111" s="140" t="n"/>
    </row>
    <row r="112" ht="15" customHeight="1" s="106">
      <c r="A112" s="149" t="n"/>
      <c r="B112" s="140" t="n"/>
      <c r="C112" s="140" t="n"/>
      <c r="D112" s="140" t="n"/>
      <c r="E112" s="147" t="n"/>
      <c r="F112" s="141" t="n"/>
      <c r="G112" s="148" t="n"/>
      <c r="H112" s="150">
        <f>IF(OR($G112="",$E112="",$E112=0),"",$G112/($E112*IFERROR(VLOOKUP($F112,'02 Lists'!$A$5:$B$18,2,FALSE()),1)))</f>
        <v/>
      </c>
      <c r="I112" s="149" t="n"/>
      <c r="J112" s="141" t="n"/>
      <c r="K112" s="141" t="n"/>
      <c r="L112" s="140" t="n"/>
      <c r="M112" s="141" t="n"/>
      <c r="N112" s="140" t="n"/>
    </row>
    <row r="113" ht="15" customHeight="1" s="106">
      <c r="A113" s="149" t="n"/>
      <c r="B113" s="140" t="n"/>
      <c r="C113" s="140" t="n"/>
      <c r="D113" s="140" t="n"/>
      <c r="E113" s="147" t="n"/>
      <c r="F113" s="141" t="n"/>
      <c r="G113" s="148" t="n"/>
      <c r="H113" s="150">
        <f>IF(OR($G113="",$E113="",$E113=0),"",$G113/($E113*IFERROR(VLOOKUP($F113,'02 Lists'!$A$5:$B$18,2,FALSE()),1)))</f>
        <v/>
      </c>
      <c r="I113" s="149" t="n"/>
      <c r="J113" s="141" t="n"/>
      <c r="K113" s="141" t="n"/>
      <c r="L113" s="140" t="n"/>
      <c r="M113" s="141" t="n"/>
      <c r="N113" s="140" t="n"/>
    </row>
    <row r="114" ht="15" customHeight="1" s="106">
      <c r="A114" s="149" t="n"/>
      <c r="B114" s="140" t="n"/>
      <c r="C114" s="140" t="n"/>
      <c r="D114" s="140" t="n"/>
      <c r="E114" s="147" t="n"/>
      <c r="F114" s="141" t="n"/>
      <c r="G114" s="148" t="n"/>
      <c r="H114" s="150">
        <f>IF(OR($G114="",$E114="",$E114=0),"",$G114/($E114*IFERROR(VLOOKUP($F114,'02 Lists'!$A$5:$B$18,2,FALSE()),1)))</f>
        <v/>
      </c>
      <c r="I114" s="149" t="n"/>
      <c r="J114" s="141" t="n"/>
      <c r="K114" s="141" t="n"/>
      <c r="L114" s="140" t="n"/>
      <c r="M114" s="141" t="n"/>
      <c r="N114" s="140" t="n"/>
    </row>
    <row r="115" ht="15" customHeight="1" s="106">
      <c r="A115" s="149" t="n"/>
      <c r="B115" s="140" t="n"/>
      <c r="C115" s="140" t="n"/>
      <c r="D115" s="140" t="n"/>
      <c r="E115" s="147" t="n"/>
      <c r="F115" s="141" t="n"/>
      <c r="G115" s="148" t="n"/>
      <c r="H115" s="150">
        <f>IF(OR($G115="",$E115="",$E115=0),"",$G115/($E115*IFERROR(VLOOKUP($F115,'02 Lists'!$A$5:$B$18,2,FALSE()),1)))</f>
        <v/>
      </c>
      <c r="I115" s="149" t="n"/>
      <c r="J115" s="141" t="n"/>
      <c r="K115" s="141" t="n"/>
      <c r="L115" s="140" t="n"/>
      <c r="M115" s="141" t="n"/>
      <c r="N115" s="140" t="n"/>
    </row>
    <row r="116" ht="15" customHeight="1" s="106">
      <c r="A116" s="149" t="n"/>
      <c r="B116" s="140" t="n"/>
      <c r="C116" s="140" t="n"/>
      <c r="D116" s="140" t="n"/>
      <c r="E116" s="147" t="n"/>
      <c r="F116" s="141" t="n"/>
      <c r="G116" s="148" t="n"/>
      <c r="H116" s="150">
        <f>IF(OR($G116="",$E116="",$E116=0),"",$G116/($E116*IFERROR(VLOOKUP($F116,'02 Lists'!$A$5:$B$18,2,FALSE()),1)))</f>
        <v/>
      </c>
      <c r="I116" s="149" t="n"/>
      <c r="J116" s="141" t="n"/>
      <c r="K116" s="141" t="n"/>
      <c r="L116" s="140" t="n"/>
      <c r="M116" s="141" t="n"/>
      <c r="N116" s="140" t="n"/>
    </row>
    <row r="117" ht="15" customHeight="1" s="106">
      <c r="A117" s="149" t="n"/>
      <c r="B117" s="140" t="n"/>
      <c r="C117" s="140" t="n"/>
      <c r="D117" s="140" t="n"/>
      <c r="E117" s="147" t="n"/>
      <c r="F117" s="141" t="n"/>
      <c r="G117" s="148" t="n"/>
      <c r="H117" s="150">
        <f>IF(OR($G117="",$E117="",$E117=0),"",$G117/($E117*IFERROR(VLOOKUP($F117,'02 Lists'!$A$5:$B$18,2,FALSE()),1)))</f>
        <v/>
      </c>
      <c r="I117" s="149" t="n"/>
      <c r="J117" s="141" t="n"/>
      <c r="K117" s="141" t="n"/>
      <c r="L117" s="140" t="n"/>
      <c r="M117" s="141" t="n"/>
      <c r="N117" s="140" t="n"/>
    </row>
    <row r="118" ht="15" customHeight="1" s="106">
      <c r="A118" s="149" t="n"/>
      <c r="B118" s="140" t="n"/>
      <c r="C118" s="140" t="n"/>
      <c r="D118" s="140" t="n"/>
      <c r="E118" s="147" t="n"/>
      <c r="F118" s="141" t="n"/>
      <c r="G118" s="148" t="n"/>
      <c r="H118" s="150">
        <f>IF(OR($G118="",$E118="",$E118=0),"",$G118/($E118*IFERROR(VLOOKUP($F118,'02 Lists'!$A$5:$B$18,2,FALSE()),1)))</f>
        <v/>
      </c>
      <c r="I118" s="149" t="n"/>
      <c r="J118" s="141" t="n"/>
      <c r="K118" s="141" t="n"/>
      <c r="L118" s="140" t="n"/>
      <c r="M118" s="141" t="n"/>
      <c r="N118" s="140" t="n"/>
    </row>
    <row r="119" ht="15" customHeight="1" s="106">
      <c r="A119" s="149" t="n"/>
      <c r="B119" s="140" t="n"/>
      <c r="C119" s="140" t="n"/>
      <c r="D119" s="140" t="n"/>
      <c r="E119" s="147" t="n"/>
      <c r="F119" s="141" t="n"/>
      <c r="G119" s="148" t="n"/>
      <c r="H119" s="150">
        <f>IF(OR($G119="",$E119="",$E119=0),"",$G119/($E119*IFERROR(VLOOKUP($F119,'02 Lists'!$A$5:$B$18,2,FALSE()),1)))</f>
        <v/>
      </c>
      <c r="I119" s="149" t="n"/>
      <c r="J119" s="141" t="n"/>
      <c r="K119" s="141" t="n"/>
      <c r="L119" s="140" t="n"/>
      <c r="M119" s="141" t="n"/>
      <c r="N119" s="140" t="n"/>
    </row>
    <row r="120" ht="15" customHeight="1" s="106">
      <c r="A120" s="149" t="n"/>
      <c r="B120" s="140" t="n"/>
      <c r="C120" s="140" t="n"/>
      <c r="D120" s="140" t="n"/>
      <c r="E120" s="147" t="n"/>
      <c r="F120" s="141" t="n"/>
      <c r="G120" s="148" t="n"/>
      <c r="H120" s="150">
        <f>IF(OR($G120="",$E120="",$E120=0),"",$G120/($E120*IFERROR(VLOOKUP($F120,'02 Lists'!$A$5:$B$18,2,FALSE()),1)))</f>
        <v/>
      </c>
      <c r="I120" s="149" t="n"/>
      <c r="J120" s="141" t="n"/>
      <c r="K120" s="141" t="n"/>
      <c r="L120" s="140" t="n"/>
      <c r="M120" s="141" t="n"/>
      <c r="N120" s="140" t="n"/>
    </row>
    <row r="121" ht="15" customHeight="1" s="106">
      <c r="A121" s="149" t="n"/>
      <c r="B121" s="140" t="n"/>
      <c r="C121" s="140" t="n"/>
      <c r="D121" s="140" t="n"/>
      <c r="E121" s="147" t="n"/>
      <c r="F121" s="141" t="n"/>
      <c r="G121" s="148" t="n"/>
      <c r="H121" s="150">
        <f>IF(OR($G121="",$E121="",$E121=0),"",$G121/($E121*IFERROR(VLOOKUP($F121,'02 Lists'!$A$5:$B$18,2,FALSE()),1)))</f>
        <v/>
      </c>
      <c r="I121" s="149" t="n"/>
      <c r="J121" s="141" t="n"/>
      <c r="K121" s="141" t="n"/>
      <c r="L121" s="140" t="n"/>
      <c r="M121" s="141" t="n"/>
      <c r="N121" s="140" t="n"/>
    </row>
    <row r="122" ht="15" customHeight="1" s="106">
      <c r="A122" s="149" t="n"/>
      <c r="B122" s="140" t="n"/>
      <c r="C122" s="140" t="n"/>
      <c r="D122" s="140" t="n"/>
      <c r="E122" s="147" t="n"/>
      <c r="F122" s="141" t="n"/>
      <c r="G122" s="148" t="n"/>
      <c r="H122" s="150">
        <f>IF(OR($G122="",$E122="",$E122=0),"",$G122/($E122*IFERROR(VLOOKUP($F122,'02 Lists'!$A$5:$B$18,2,FALSE()),1)))</f>
        <v/>
      </c>
      <c r="I122" s="149" t="n"/>
      <c r="J122" s="141" t="n"/>
      <c r="K122" s="141" t="n"/>
      <c r="L122" s="140" t="n"/>
      <c r="M122" s="141" t="n"/>
      <c r="N122" s="140" t="n"/>
    </row>
    <row r="123" ht="15" customHeight="1" s="106">
      <c r="A123" s="149" t="n"/>
      <c r="B123" s="140" t="n"/>
      <c r="C123" s="140" t="n"/>
      <c r="D123" s="140" t="n"/>
      <c r="E123" s="147" t="n"/>
      <c r="F123" s="141" t="n"/>
      <c r="G123" s="148" t="n"/>
      <c r="H123" s="150">
        <f>IF(OR($G123="",$E123="",$E123=0),"",$G123/($E123*IFERROR(VLOOKUP($F123,'02 Lists'!$A$5:$B$18,2,FALSE()),1)))</f>
        <v/>
      </c>
      <c r="I123" s="149" t="n"/>
      <c r="J123" s="141" t="n"/>
      <c r="K123" s="141" t="n"/>
      <c r="L123" s="140" t="n"/>
      <c r="M123" s="141" t="n"/>
      <c r="N123" s="140" t="n"/>
    </row>
    <row r="124" ht="15" customHeight="1" s="106">
      <c r="A124" s="149" t="n"/>
      <c r="B124" s="140" t="n"/>
      <c r="C124" s="140" t="n"/>
      <c r="D124" s="140" t="n"/>
      <c r="E124" s="147" t="n"/>
      <c r="F124" s="141" t="n"/>
      <c r="G124" s="148" t="n"/>
      <c r="H124" s="150">
        <f>IF(OR($G124="",$E124="",$E124=0),"",$G124/($E124*IFERROR(VLOOKUP($F124,'02 Lists'!$A$5:$B$18,2,FALSE()),1)))</f>
        <v/>
      </c>
      <c r="I124" s="149" t="n"/>
      <c r="J124" s="141" t="n"/>
      <c r="K124" s="141" t="n"/>
      <c r="L124" s="140" t="n"/>
      <c r="M124" s="141" t="n"/>
      <c r="N124" s="140" t="n"/>
    </row>
    <row r="125" ht="15" customHeight="1" s="106">
      <c r="A125" s="149" t="n"/>
      <c r="B125" s="140" t="n"/>
      <c r="C125" s="140" t="n"/>
      <c r="D125" s="140" t="n"/>
      <c r="E125" s="147" t="n"/>
      <c r="F125" s="141" t="n"/>
      <c r="G125" s="148" t="n"/>
      <c r="H125" s="150">
        <f>IF(OR($G125="",$E125="",$E125=0),"",$G125/($E125*IFERROR(VLOOKUP($F125,'02 Lists'!$A$5:$B$18,2,FALSE()),1)))</f>
        <v/>
      </c>
      <c r="I125" s="149" t="n"/>
      <c r="J125" s="141" t="n"/>
      <c r="K125" s="141" t="n"/>
      <c r="L125" s="140" t="n"/>
      <c r="M125" s="141" t="n"/>
      <c r="N125" s="140" t="n"/>
    </row>
    <row r="126" ht="15" customHeight="1" s="106">
      <c r="A126" s="149" t="n"/>
      <c r="B126" s="140" t="n"/>
      <c r="C126" s="140" t="n"/>
      <c r="D126" s="140" t="n"/>
      <c r="E126" s="147" t="n"/>
      <c r="F126" s="141" t="n"/>
      <c r="G126" s="148" t="n"/>
      <c r="H126" s="150">
        <f>IF(OR($G126="",$E126="",$E126=0),"",$G126/($E126*IFERROR(VLOOKUP($F126,'02 Lists'!$A$5:$B$18,2,FALSE()),1)))</f>
        <v/>
      </c>
      <c r="I126" s="149" t="n"/>
      <c r="J126" s="141" t="n"/>
      <c r="K126" s="141" t="n"/>
      <c r="L126" s="140" t="n"/>
      <c r="M126" s="141" t="n"/>
      <c r="N126" s="140" t="n"/>
    </row>
    <row r="127" ht="15" customHeight="1" s="106">
      <c r="A127" s="149" t="n"/>
      <c r="B127" s="140" t="n"/>
      <c r="C127" s="140" t="n"/>
      <c r="D127" s="140" t="n"/>
      <c r="E127" s="147" t="n"/>
      <c r="F127" s="141" t="n"/>
      <c r="G127" s="148" t="n"/>
      <c r="H127" s="150">
        <f>IF(OR($G127="",$E127="",$E127=0),"",$G127/($E127*IFERROR(VLOOKUP($F127,'02 Lists'!$A$5:$B$18,2,FALSE()),1)))</f>
        <v/>
      </c>
      <c r="I127" s="149" t="n"/>
      <c r="J127" s="141" t="n"/>
      <c r="K127" s="141" t="n"/>
      <c r="L127" s="140" t="n"/>
      <c r="M127" s="141" t="n"/>
      <c r="N127" s="140" t="n"/>
    </row>
    <row r="128" ht="15" customHeight="1" s="106">
      <c r="A128" s="149" t="n"/>
      <c r="B128" s="140" t="n"/>
      <c r="C128" s="140" t="n"/>
      <c r="D128" s="140" t="n"/>
      <c r="E128" s="147" t="n"/>
      <c r="F128" s="141" t="n"/>
      <c r="G128" s="148" t="n"/>
      <c r="H128" s="150">
        <f>IF(OR($G128="",$E128="",$E128=0),"",$G128/($E128*IFERROR(VLOOKUP($F128,'02 Lists'!$A$5:$B$18,2,FALSE()),1)))</f>
        <v/>
      </c>
      <c r="I128" s="149" t="n"/>
      <c r="J128" s="141" t="n"/>
      <c r="K128" s="141" t="n"/>
      <c r="L128" s="140" t="n"/>
      <c r="M128" s="141" t="n"/>
      <c r="N128" s="140" t="n"/>
    </row>
    <row r="129" ht="15" customHeight="1" s="106">
      <c r="A129" s="149" t="n"/>
      <c r="B129" s="140" t="n"/>
      <c r="C129" s="140" t="n"/>
      <c r="D129" s="140" t="n"/>
      <c r="E129" s="147" t="n"/>
      <c r="F129" s="141" t="n"/>
      <c r="G129" s="148" t="n"/>
      <c r="H129" s="150">
        <f>IF(OR($G129="",$E129="",$E129=0),"",$G129/($E129*IFERROR(VLOOKUP($F129,'02 Lists'!$A$5:$B$18,2,FALSE()),1)))</f>
        <v/>
      </c>
      <c r="I129" s="149" t="n"/>
      <c r="J129" s="141" t="n"/>
      <c r="K129" s="141" t="n"/>
      <c r="L129" s="140" t="n"/>
      <c r="M129" s="141" t="n"/>
      <c r="N129" s="140" t="n"/>
    </row>
    <row r="130" ht="15" customHeight="1" s="106">
      <c r="A130" s="149" t="n"/>
      <c r="B130" s="140" t="n"/>
      <c r="C130" s="140" t="n"/>
      <c r="D130" s="140" t="n"/>
      <c r="E130" s="147" t="n"/>
      <c r="F130" s="141" t="n"/>
      <c r="G130" s="148" t="n"/>
      <c r="H130" s="150">
        <f>IF(OR($G130="",$E130="",$E130=0),"",$G130/($E130*IFERROR(VLOOKUP($F130,'02 Lists'!$A$5:$B$18,2,FALSE()),1)))</f>
        <v/>
      </c>
      <c r="I130" s="149" t="n"/>
      <c r="J130" s="141" t="n"/>
      <c r="K130" s="141" t="n"/>
      <c r="L130" s="140" t="n"/>
      <c r="M130" s="141" t="n"/>
      <c r="N130" s="140" t="n"/>
    </row>
    <row r="131" ht="15" customHeight="1" s="106">
      <c r="A131" s="149" t="n"/>
      <c r="B131" s="140" t="n"/>
      <c r="C131" s="140" t="n"/>
      <c r="D131" s="140" t="n"/>
      <c r="E131" s="147" t="n"/>
      <c r="F131" s="141" t="n"/>
      <c r="G131" s="148" t="n"/>
      <c r="H131" s="150">
        <f>IF(OR($G131="",$E131="",$E131=0),"",$G131/($E131*IFERROR(VLOOKUP($F131,'02 Lists'!$A$5:$B$18,2,FALSE()),1)))</f>
        <v/>
      </c>
      <c r="I131" s="149" t="n"/>
      <c r="J131" s="141" t="n"/>
      <c r="K131" s="141" t="n"/>
      <c r="L131" s="140" t="n"/>
      <c r="M131" s="141" t="n"/>
      <c r="N131" s="140" t="n"/>
    </row>
    <row r="132" ht="15" customHeight="1" s="106">
      <c r="A132" s="149" t="n"/>
      <c r="B132" s="140" t="n"/>
      <c r="C132" s="140" t="n"/>
      <c r="D132" s="140" t="n"/>
      <c r="E132" s="147" t="n"/>
      <c r="F132" s="141" t="n"/>
      <c r="G132" s="148" t="n"/>
      <c r="H132" s="150">
        <f>IF(OR($G132="",$E132="",$E132=0),"",$G132/($E132*IFERROR(VLOOKUP($F132,'02 Lists'!$A$5:$B$18,2,FALSE()),1)))</f>
        <v/>
      </c>
      <c r="I132" s="149" t="n"/>
      <c r="J132" s="141" t="n"/>
      <c r="K132" s="141" t="n"/>
      <c r="L132" s="140" t="n"/>
      <c r="M132" s="141" t="n"/>
      <c r="N132" s="140" t="n"/>
    </row>
    <row r="133" ht="15" customHeight="1" s="106">
      <c r="A133" s="149" t="n"/>
      <c r="B133" s="140" t="n"/>
      <c r="C133" s="140" t="n"/>
      <c r="D133" s="140" t="n"/>
      <c r="E133" s="147" t="n"/>
      <c r="F133" s="141" t="n"/>
      <c r="G133" s="148" t="n"/>
      <c r="H133" s="150">
        <f>IF(OR($G133="",$E133="",$E133=0),"",$G133/($E133*IFERROR(VLOOKUP($F133,'02 Lists'!$A$5:$B$18,2,FALSE()),1)))</f>
        <v/>
      </c>
      <c r="I133" s="149" t="n"/>
      <c r="J133" s="141" t="n"/>
      <c r="K133" s="141" t="n"/>
      <c r="L133" s="140" t="n"/>
      <c r="M133" s="141" t="n"/>
      <c r="N133" s="140" t="n"/>
    </row>
    <row r="134" ht="15" customHeight="1" s="106">
      <c r="A134" s="149" t="n"/>
      <c r="B134" s="140" t="n"/>
      <c r="C134" s="140" t="n"/>
      <c r="D134" s="140" t="n"/>
      <c r="E134" s="147" t="n"/>
      <c r="F134" s="141" t="n"/>
      <c r="G134" s="148" t="n"/>
      <c r="H134" s="150">
        <f>IF(OR($G134="",$E134="",$E134=0),"",$G134/($E134*IFERROR(VLOOKUP($F134,'02 Lists'!$A$5:$B$18,2,FALSE()),1)))</f>
        <v/>
      </c>
      <c r="I134" s="149" t="n"/>
      <c r="J134" s="141" t="n"/>
      <c r="K134" s="141" t="n"/>
      <c r="L134" s="140" t="n"/>
      <c r="M134" s="141" t="n"/>
      <c r="N134" s="140" t="n"/>
    </row>
    <row r="135" ht="15" customHeight="1" s="106">
      <c r="A135" s="149" t="n"/>
      <c r="B135" s="140" t="n"/>
      <c r="C135" s="140" t="n"/>
      <c r="D135" s="140" t="n"/>
      <c r="E135" s="147" t="n"/>
      <c r="F135" s="141" t="n"/>
      <c r="G135" s="148" t="n"/>
      <c r="H135" s="150">
        <f>IF(OR($G135="",$E135="",$E135=0),"",$G135/($E135*IFERROR(VLOOKUP($F135,'02 Lists'!$A$5:$B$18,2,FALSE()),1)))</f>
        <v/>
      </c>
      <c r="I135" s="149" t="n"/>
      <c r="J135" s="141" t="n"/>
      <c r="K135" s="141" t="n"/>
      <c r="L135" s="140" t="n"/>
      <c r="M135" s="141" t="n"/>
      <c r="N135" s="140" t="n"/>
    </row>
    <row r="136" ht="15" customHeight="1" s="106">
      <c r="A136" s="149" t="n"/>
      <c r="B136" s="140" t="n"/>
      <c r="C136" s="140" t="n"/>
      <c r="D136" s="140" t="n"/>
      <c r="E136" s="147" t="n"/>
      <c r="F136" s="141" t="n"/>
      <c r="G136" s="148" t="n"/>
      <c r="H136" s="150">
        <f>IF(OR($G136="",$E136="",$E136=0),"",$G136/($E136*IFERROR(VLOOKUP($F136,'02 Lists'!$A$5:$B$18,2,FALSE()),1)))</f>
        <v/>
      </c>
      <c r="I136" s="149" t="n"/>
      <c r="J136" s="141" t="n"/>
      <c r="K136" s="141" t="n"/>
      <c r="L136" s="140" t="n"/>
      <c r="M136" s="141" t="n"/>
      <c r="N136" s="140" t="n"/>
    </row>
    <row r="137" ht="15" customHeight="1" s="106">
      <c r="A137" s="149" t="n"/>
      <c r="B137" s="140" t="n"/>
      <c r="C137" s="140" t="n"/>
      <c r="D137" s="140" t="n"/>
      <c r="E137" s="147" t="n"/>
      <c r="F137" s="141" t="n"/>
      <c r="G137" s="148" t="n"/>
      <c r="H137" s="150">
        <f>IF(OR($G137="",$E137="",$E137=0),"",$G137/($E137*IFERROR(VLOOKUP($F137,'02 Lists'!$A$5:$B$18,2,FALSE()),1)))</f>
        <v/>
      </c>
      <c r="I137" s="149" t="n"/>
      <c r="J137" s="141" t="n"/>
      <c r="K137" s="141" t="n"/>
      <c r="L137" s="140" t="n"/>
      <c r="M137" s="141" t="n"/>
      <c r="N137" s="140" t="n"/>
    </row>
    <row r="138" ht="15" customHeight="1" s="106">
      <c r="A138" s="149" t="n"/>
      <c r="B138" s="140" t="n"/>
      <c r="C138" s="140" t="n"/>
      <c r="D138" s="140" t="n"/>
      <c r="E138" s="147" t="n"/>
      <c r="F138" s="141" t="n"/>
      <c r="G138" s="148" t="n"/>
      <c r="H138" s="150">
        <f>IF(OR($G138="",$E138="",$E138=0),"",$G138/($E138*IFERROR(VLOOKUP($F138,'02 Lists'!$A$5:$B$18,2,FALSE()),1)))</f>
        <v/>
      </c>
      <c r="I138" s="149" t="n"/>
      <c r="J138" s="141" t="n"/>
      <c r="K138" s="141" t="n"/>
      <c r="L138" s="140" t="n"/>
      <c r="M138" s="141" t="n"/>
      <c r="N138" s="140" t="n"/>
    </row>
    <row r="139" ht="15" customHeight="1" s="106">
      <c r="A139" s="149" t="n"/>
      <c r="B139" s="140" t="n"/>
      <c r="C139" s="140" t="n"/>
      <c r="D139" s="140" t="n"/>
      <c r="E139" s="147" t="n"/>
      <c r="F139" s="141" t="n"/>
      <c r="G139" s="148" t="n"/>
      <c r="H139" s="150">
        <f>IF(OR($G139="",$E139="",$E139=0),"",$G139/($E139*IFERROR(VLOOKUP($F139,'02 Lists'!$A$5:$B$18,2,FALSE()),1)))</f>
        <v/>
      </c>
      <c r="I139" s="149" t="n"/>
      <c r="J139" s="141" t="n"/>
      <c r="K139" s="141" t="n"/>
      <c r="L139" s="140" t="n"/>
      <c r="M139" s="141" t="n"/>
      <c r="N139" s="140" t="n"/>
    </row>
    <row r="140" ht="15" customHeight="1" s="106">
      <c r="A140" s="149" t="n"/>
      <c r="B140" s="140" t="n"/>
      <c r="C140" s="140" t="n"/>
      <c r="D140" s="140" t="n"/>
      <c r="E140" s="147" t="n"/>
      <c r="F140" s="141" t="n"/>
      <c r="G140" s="148" t="n"/>
      <c r="H140" s="150">
        <f>IF(OR($G140="",$E140="",$E140=0),"",$G140/($E140*IFERROR(VLOOKUP($F140,'02 Lists'!$A$5:$B$18,2,FALSE()),1)))</f>
        <v/>
      </c>
      <c r="I140" s="149" t="n"/>
      <c r="J140" s="141" t="n"/>
      <c r="K140" s="141" t="n"/>
      <c r="L140" s="140" t="n"/>
      <c r="M140" s="141" t="n"/>
      <c r="N140" s="140" t="n"/>
    </row>
    <row r="141" ht="15" customHeight="1" s="106">
      <c r="A141" s="149" t="n"/>
      <c r="B141" s="140" t="n"/>
      <c r="C141" s="140" t="n"/>
      <c r="D141" s="140" t="n"/>
      <c r="E141" s="147" t="n"/>
      <c r="F141" s="141" t="n"/>
      <c r="G141" s="148" t="n"/>
      <c r="H141" s="150">
        <f>IF(OR($G141="",$E141="",$E141=0),"",$G141/($E141*IFERROR(VLOOKUP($F141,'02 Lists'!$A$5:$B$18,2,FALSE()),1)))</f>
        <v/>
      </c>
      <c r="I141" s="149" t="n"/>
      <c r="J141" s="141" t="n"/>
      <c r="K141" s="141" t="n"/>
      <c r="L141" s="140" t="n"/>
      <c r="M141" s="141" t="n"/>
      <c r="N141" s="140" t="n"/>
    </row>
    <row r="142" ht="15" customHeight="1" s="106">
      <c r="A142" s="149" t="n"/>
      <c r="B142" s="140" t="n"/>
      <c r="C142" s="140" t="n"/>
      <c r="D142" s="140" t="n"/>
      <c r="E142" s="147" t="n"/>
      <c r="F142" s="141" t="n"/>
      <c r="G142" s="148" t="n"/>
      <c r="H142" s="150">
        <f>IF(OR($G142="",$E142="",$E142=0),"",$G142/($E142*IFERROR(VLOOKUP($F142,'02 Lists'!$A$5:$B$18,2,FALSE()),1)))</f>
        <v/>
      </c>
      <c r="I142" s="149" t="n"/>
      <c r="J142" s="141" t="n"/>
      <c r="K142" s="141" t="n"/>
      <c r="L142" s="140" t="n"/>
      <c r="M142" s="141" t="n"/>
      <c r="N142" s="140" t="n"/>
    </row>
    <row r="143" ht="15" customHeight="1" s="106">
      <c r="A143" s="149" t="n"/>
      <c r="B143" s="140" t="n"/>
      <c r="C143" s="140" t="n"/>
      <c r="D143" s="140" t="n"/>
      <c r="E143" s="147" t="n"/>
      <c r="F143" s="141" t="n"/>
      <c r="G143" s="148" t="n"/>
      <c r="H143" s="150">
        <f>IF(OR($G143="",$E143="",$E143=0),"",$G143/($E143*IFERROR(VLOOKUP($F143,'02 Lists'!$A$5:$B$18,2,FALSE()),1)))</f>
        <v/>
      </c>
      <c r="I143" s="149" t="n"/>
      <c r="J143" s="141" t="n"/>
      <c r="K143" s="141" t="n"/>
      <c r="L143" s="140" t="n"/>
      <c r="M143" s="141" t="n"/>
      <c r="N143" s="140" t="n"/>
    </row>
    <row r="144" ht="15" customHeight="1" s="106">
      <c r="A144" s="149" t="n"/>
      <c r="B144" s="140" t="n"/>
      <c r="C144" s="140" t="n"/>
      <c r="D144" s="140" t="n"/>
      <c r="E144" s="147" t="n"/>
      <c r="F144" s="141" t="n"/>
      <c r="G144" s="148" t="n"/>
      <c r="H144" s="150">
        <f>IF(OR($G144="",$E144="",$E144=0),"",$G144/($E144*IFERROR(VLOOKUP($F144,'02 Lists'!$A$5:$B$18,2,FALSE()),1)))</f>
        <v/>
      </c>
      <c r="I144" s="149" t="n"/>
      <c r="J144" s="141" t="n"/>
      <c r="K144" s="141" t="n"/>
      <c r="L144" s="140" t="n"/>
      <c r="M144" s="141" t="n"/>
      <c r="N144" s="140" t="n"/>
    </row>
  </sheetData>
  <sheetProtection selectLockedCells="0" selectUnlockedCells="0" sheet="1" objects="0" insertRows="1" insertHyperlinks="1" autoFilter="0" scenarios="0" formatColumns="0" deleteColumns="1" insertColumns="1" pivotTables="1" deleteRows="1" formatCells="0" formatRows="0" sort="0"/>
  <autoFilter ref="A4:N144"/>
  <mergeCells count="2">
    <mergeCell ref="A2:N2"/>
    <mergeCell ref="A1:N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H101"/>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6" customWidth="1" style="105" min="1" max="1"/>
    <col width="15" customWidth="1" style="105" min="2" max="2"/>
    <col width="14" customWidth="1" style="105" min="3" max="3"/>
    <col width="20" customWidth="1" style="105" min="4" max="4"/>
    <col width="18" customWidth="1" style="105" min="5" max="5"/>
    <col width="16" customWidth="1" style="105" min="6" max="7"/>
    <col width="74" customWidth="1" style="105" min="8" max="8"/>
  </cols>
  <sheetData>
    <row r="1" ht="30" customHeight="1" s="106">
      <c r="A1" s="107" t="inlineStr">
        <is>
          <t>PRODUCTION CAPACITY  -  WHAT THE EQUIPMENT CAN ACTUALLY DO</t>
        </is>
      </c>
    </row>
    <row r="2" ht="18" customHeight="1" s="106">
      <c r="A2" s="108" t="inlineStr">
        <is>
          <t>The line as Ricardo specified it on 6 Sep 2026: a 9-pot pasta cooker, sauce warmers, and 3-4 automatic wok cookers that finish the pasta and the sauce together. Every one of them is a yellow variable here. This tab works out covers per hour at each station, names the station that binds, and then asks the harder question - can the store extrude and dry enough pasta overnight to serve what it is capable of selling tomorrow. This supersedes the OPS pack's 2-basket boiler, 3 lidded vessels and 2-plate hob.</t>
        </is>
      </c>
    </row>
    <row r="4" ht="15" customHeight="1" s="106">
      <c r="A4" s="109" t="inlineStr">
        <is>
          <t>EQUIPMENT AND LINE VARIABLES  -  edit the yellow cells only</t>
        </is>
      </c>
      <c r="B4" s="110" t="n"/>
      <c r="C4" s="110" t="n"/>
      <c r="D4" s="110" t="n"/>
      <c r="E4" s="110" t="n"/>
      <c r="F4" s="110" t="n"/>
      <c r="G4" s="110" t="n"/>
      <c r="H4" s="111" t="n"/>
    </row>
    <row r="5" ht="24" customHeight="1" s="106">
      <c r="A5" s="112" t="inlineStr">
        <is>
          <t>Variable</t>
        </is>
      </c>
      <c r="B5" s="112" t="inlineStr">
        <is>
          <t>Value</t>
        </is>
      </c>
      <c r="C5" s="112" t="inlineStr">
        <is>
          <t>Unit</t>
        </is>
      </c>
      <c r="D5" s="112" t="n"/>
      <c r="E5" s="112" t="n"/>
      <c r="F5" s="112" t="n"/>
      <c r="G5" s="112" t="n"/>
      <c r="H5" s="112" t="inlineStr">
        <is>
          <t>What it drives</t>
        </is>
      </c>
    </row>
    <row r="6" ht="21.75" customHeight="1" s="106">
      <c r="A6" s="113" t="inlineStr">
        <is>
          <t>Pasta cooker baskets (pots)</t>
        </is>
      </c>
      <c r="B6" s="117" t="n">
        <v>9</v>
      </c>
      <c r="C6" s="206" t="inlineStr">
        <is>
          <t>baskets</t>
        </is>
      </c>
      <c r="D6" s="207" t="n"/>
      <c r="E6" s="207" t="n"/>
      <c r="F6" s="207" t="n"/>
      <c r="G6" s="207" t="n"/>
      <c r="H6" s="116" t="inlineStr">
        <is>
          <t>The 9-pot cooker. Each basket is one bowl of pasta.</t>
        </is>
      </c>
    </row>
    <row r="7" ht="21.75" customHeight="1" s="106">
      <c r="A7" s="113" t="inlineStr">
        <is>
          <t>Boil time per basket</t>
        </is>
      </c>
      <c r="B7" s="117" t="n">
        <v>150</v>
      </c>
      <c r="C7" s="206" t="inlineStr">
        <is>
          <t>seconds</t>
        </is>
      </c>
      <c r="D7" s="207" t="n"/>
      <c r="E7" s="207" t="n"/>
      <c r="F7" s="207" t="n"/>
      <c r="G7" s="207" t="n"/>
      <c r="H7" s="116" t="inlineStr">
        <is>
          <t>Dried pasta, 90-180 s per the OPS pack. 150 s is the mid-point - confirm on the machine.</t>
        </is>
      </c>
    </row>
    <row r="8" ht="21.75" customHeight="1" s="106">
      <c r="A8" s="113" t="inlineStr">
        <is>
          <t>Basket load, drain and reset</t>
        </is>
      </c>
      <c r="B8" s="117" t="n">
        <v>30</v>
      </c>
      <c r="C8" s="206" t="inlineStr">
        <is>
          <t>seconds</t>
        </is>
      </c>
      <c r="D8" s="207" t="n"/>
      <c r="E8" s="207" t="n"/>
      <c r="F8" s="207" t="n"/>
      <c r="G8" s="207" t="n"/>
      <c r="H8" s="116" t="inlineStr">
        <is>
          <t>Hands-on time between two consecutive baskets in the same pot.</t>
        </is>
      </c>
    </row>
    <row r="9" ht="21.75" customHeight="1" s="106">
      <c r="A9" s="113" t="inlineStr">
        <is>
          <t>Baskets usable at peak</t>
        </is>
      </c>
      <c r="B9" s="114" t="n">
        <v>0.9</v>
      </c>
      <c r="C9" s="206" t="inlineStr">
        <is>
          <t>%</t>
        </is>
      </c>
      <c r="D9" s="207" t="n"/>
      <c r="E9" s="207" t="n"/>
      <c r="F9" s="207" t="n"/>
      <c r="G9" s="207" t="n"/>
      <c r="H9" s="116" t="inlineStr">
        <is>
          <t>You never run all nine perfectly in phase. 90% is a realistic peak.</t>
        </is>
      </c>
    </row>
    <row r="10" ht="21.75" customHeight="1" s="106">
      <c r="A10" s="113" t="inlineStr">
        <is>
          <t>Automatic wok cookers</t>
        </is>
      </c>
      <c r="B10" s="117" t="n">
        <v>4</v>
      </c>
      <c r="C10" s="206" t="inlineStr">
        <is>
          <t>woks</t>
        </is>
      </c>
      <c r="D10" s="207" t="n"/>
      <c r="E10" s="207" t="n"/>
      <c r="F10" s="207" t="n"/>
      <c r="G10" s="207" t="n"/>
      <c r="H10" s="116" t="inlineStr">
        <is>
          <t>Pasta and sauce finished together in the wok. 3 or 4 - this is the number to decide.</t>
        </is>
      </c>
    </row>
    <row r="11" ht="21.75" customHeight="1" s="106">
      <c r="A11" s="113" t="inlineStr">
        <is>
          <t>Wok finish cycle</t>
        </is>
      </c>
      <c r="B11" s="117" t="n">
        <v>60</v>
      </c>
      <c r="C11" s="206" t="inlineStr">
        <is>
          <t>seconds</t>
        </is>
      </c>
      <c r="D11" s="207" t="n"/>
      <c r="E11" s="207" t="n"/>
      <c r="F11" s="207" t="n"/>
      <c r="G11" s="207" t="n"/>
      <c r="H11" s="116" t="inlineStr">
        <is>
          <t>Sauce in, pasta in, toss, out.</t>
        </is>
      </c>
    </row>
    <row r="12" ht="21.75" customHeight="1" s="106">
      <c r="A12" s="113" t="inlineStr">
        <is>
          <t>Wok load and unload</t>
        </is>
      </c>
      <c r="B12" s="117" t="n">
        <v>20</v>
      </c>
      <c r="C12" s="206" t="inlineStr">
        <is>
          <t>seconds</t>
        </is>
      </c>
      <c r="D12" s="207" t="n"/>
      <c r="E12" s="207" t="n"/>
      <c r="F12" s="207" t="n"/>
      <c r="G12" s="207" t="n"/>
      <c r="H12" s="116" t="inlineStr">
        <is>
          <t>Between two consecutive bowls in the same wok.</t>
        </is>
      </c>
    </row>
    <row r="13" ht="21.75" customHeight="1" s="106">
      <c r="A13" s="113" t="inlineStr">
        <is>
          <t>Bowls per wok cycle</t>
        </is>
      </c>
      <c r="B13" s="117" t="n">
        <v>1</v>
      </c>
      <c r="C13" s="206" t="inlineStr">
        <is>
          <t>bowls</t>
        </is>
      </c>
      <c r="D13" s="207" t="n"/>
      <c r="E13" s="207" t="n"/>
      <c r="F13" s="207" t="n"/>
      <c r="G13" s="207" t="n"/>
      <c r="H13" s="116" t="inlineStr">
        <is>
          <t>Set to 2 only if you confirm a double-bowl wok basket.</t>
        </is>
      </c>
    </row>
    <row r="14" ht="21.75" customHeight="1" s="106">
      <c r="A14" s="113" t="inlineStr">
        <is>
          <t>Sauce warmer wells</t>
        </is>
      </c>
      <c r="B14" s="117" t="n">
        <v>6</v>
      </c>
      <c r="C14" s="206" t="inlineStr">
        <is>
          <t>wells</t>
        </is>
      </c>
      <c r="D14" s="207" t="n"/>
      <c r="E14" s="207" t="n"/>
      <c r="F14" s="207" t="n"/>
      <c r="G14" s="207" t="n"/>
      <c r="H14" s="116" t="inlineStr">
        <is>
          <t>How many sauces the line can hold hot at once. This sets how wide the menu can be at any moment.</t>
        </is>
      </c>
    </row>
    <row r="15" ht="21.75" customHeight="1" s="106">
      <c r="A15" s="113" t="inlineStr">
        <is>
          <t>Capacity per warmer well</t>
        </is>
      </c>
      <c r="B15" s="118" t="n">
        <v>4</v>
      </c>
      <c r="C15" s="206" t="inlineStr">
        <is>
          <t>kg</t>
        </is>
      </c>
      <c r="D15" s="207" t="n"/>
      <c r="E15" s="207" t="n"/>
      <c r="F15" s="207" t="n"/>
      <c r="G15" s="207" t="n"/>
      <c r="H15" s="116" t="inlineStr">
        <is>
          <t>A well holds roughly two 2 kg pouches.</t>
        </is>
      </c>
    </row>
    <row r="16" ht="21.75" customHeight="1" s="106">
      <c r="A16" s="113" t="inlineStr">
        <is>
          <t>Sauce hot-hold window</t>
        </is>
      </c>
      <c r="B16" s="117" t="n">
        <v>4</v>
      </c>
      <c r="C16" s="206" t="inlineStr">
        <is>
          <t>hours</t>
        </is>
      </c>
      <c r="D16" s="207" t="n"/>
      <c r="E16" s="207" t="n"/>
      <c r="F16" s="207" t="n"/>
      <c r="G16" s="207" t="n"/>
      <c r="H16" s="116" t="inlineStr">
        <is>
          <t>63 C or above for 4 hours, then chill or discard (OPS pack).</t>
        </is>
      </c>
    </row>
    <row r="17" ht="21.75" customHeight="1" s="106">
      <c r="A17" s="113" t="inlineStr">
        <is>
          <t>Average sauce per bowl</t>
        </is>
      </c>
      <c r="B17" s="117" t="n">
        <v>150</v>
      </c>
      <c r="C17" s="206" t="inlineStr">
        <is>
          <t>g</t>
        </is>
      </c>
      <c r="D17" s="207" t="n"/>
      <c r="E17" s="207" t="n"/>
      <c r="F17" s="207" t="n"/>
      <c r="G17" s="207" t="n"/>
      <c r="H17" s="116" t="inlineStr">
        <is>
          <t>Weighted across the core menu. Drives how fast a warmer well empties.</t>
        </is>
      </c>
    </row>
    <row r="18" ht="21.75" customHeight="1" s="106">
      <c r="A18" s="113" t="inlineStr">
        <is>
          <t>Assembly and pack crew at peak</t>
        </is>
      </c>
      <c r="B18" s="117" t="n">
        <v>2</v>
      </c>
      <c r="C18" s="206" t="inlineStr">
        <is>
          <t>people</t>
        </is>
      </c>
      <c r="D18" s="207" t="n"/>
      <c r="E18" s="207" t="n"/>
      <c r="F18" s="207" t="n"/>
      <c r="G18" s="207" t="n"/>
      <c r="H18" s="116" t="inlineStr">
        <is>
          <t>The people plating, lidding and bagging.</t>
        </is>
      </c>
    </row>
    <row r="19" ht="21.75" customHeight="1" s="106">
      <c r="A19" s="113" t="inlineStr">
        <is>
          <t>Assembly and pack time per bowl</t>
        </is>
      </c>
      <c r="B19" s="117" t="n">
        <v>25</v>
      </c>
      <c r="C19" s="206" t="inlineStr">
        <is>
          <t>seconds</t>
        </is>
      </c>
      <c r="D19" s="207" t="n"/>
      <c r="E19" s="207" t="n"/>
      <c r="F19" s="207" t="n"/>
      <c r="G19" s="207" t="n"/>
      <c r="H19" s="116" t="inlineStr">
        <is>
          <t>Plate, lid, bag, hand over.</t>
        </is>
      </c>
    </row>
    <row r="20" ht="21.75" customHeight="1" s="106">
      <c r="A20" s="113" t="inlineStr">
        <is>
          <t>Trading hours per day</t>
        </is>
      </c>
      <c r="B20" s="117" t="n">
        <v>10</v>
      </c>
      <c r="C20" s="206" t="inlineStr">
        <is>
          <t>hours</t>
        </is>
      </c>
      <c r="D20" s="207" t="n"/>
      <c r="E20" s="207" t="n"/>
      <c r="F20" s="207" t="n"/>
      <c r="G20" s="207" t="n"/>
      <c r="H20" s="116" t="inlineStr">
        <is>
          <t>Open to close.</t>
        </is>
      </c>
    </row>
    <row r="21" ht="21.75" customHeight="1" s="106">
      <c r="A21" s="113" t="inlineStr">
        <is>
          <t>Peak-rate utilisation across the day</t>
        </is>
      </c>
      <c r="B21" s="114" t="n">
        <v>0.35</v>
      </c>
      <c r="C21" s="206" t="inlineStr">
        <is>
          <t>%</t>
        </is>
      </c>
      <c r="D21" s="207" t="n"/>
      <c r="E21" s="207" t="n"/>
      <c r="F21" s="207" t="n"/>
      <c r="G21" s="207" t="n"/>
      <c r="H21" s="116" t="inlineStr">
        <is>
          <t>A store does not run at peak all day. Daily covers = peak rate x hours x this.</t>
        </is>
      </c>
    </row>
    <row r="22" ht="21.75" customHeight="1" s="106">
      <c r="A22" s="113" t="inlineStr">
        <is>
          <t>Extruder output rate</t>
        </is>
      </c>
      <c r="B22" s="117" t="n">
        <v>18</v>
      </c>
      <c r="C22" s="206" t="inlineStr">
        <is>
          <t>kg / hour</t>
        </is>
      </c>
      <c r="D22" s="207" t="n"/>
      <c r="E22" s="207" t="n"/>
      <c r="F22" s="207" t="n"/>
      <c r="G22" s="207" t="n"/>
      <c r="H22" s="116" t="inlineStr">
        <is>
          <t>Gustotek GUSGT108, 16-20 kg/h. This is WET extruded weight, before drying.</t>
        </is>
      </c>
    </row>
    <row r="23" ht="21.75" customHeight="1" s="106">
      <c r="A23" s="113" t="inlineStr">
        <is>
          <t>Extruder hours available per day</t>
        </is>
      </c>
      <c r="B23" s="117" t="n">
        <v>4</v>
      </c>
      <c r="C23" s="206" t="inlineStr">
        <is>
          <t>hours</t>
        </is>
      </c>
      <c r="D23" s="207" t="n"/>
      <c r="E23" s="207" t="n"/>
      <c r="F23" s="207" t="n"/>
      <c r="G23" s="207" t="n"/>
      <c r="H23" s="116" t="inlineStr">
        <is>
          <t>How long someone is on the extruder. The Pasta Theatre window.</t>
        </is>
      </c>
    </row>
    <row r="24" ht="21.75" customHeight="1" s="106">
      <c r="A24" s="113" t="inlineStr">
        <is>
          <t>Drying racks in store</t>
        </is>
      </c>
      <c r="B24" s="117" t="n">
        <v>6</v>
      </c>
      <c r="C24" s="206" t="inlineStr">
        <is>
          <t>racks</t>
        </is>
      </c>
      <c r="D24" s="207" t="n"/>
      <c r="E24" s="207" t="n"/>
      <c r="F24" s="207" t="n"/>
      <c r="G24" s="207" t="n"/>
      <c r="H24" s="116" t="inlineStr">
        <is>
          <t>Fan-assisted mesh racks. No drying cabinet.</t>
        </is>
      </c>
    </row>
    <row r="25" ht="21.75" customHeight="1" s="106">
      <c r="A25" s="113" t="inlineStr">
        <is>
          <t>Trays per rack</t>
        </is>
      </c>
      <c r="B25" s="117" t="n">
        <v>10</v>
      </c>
      <c r="C25" s="206" t="inlineStr">
        <is>
          <t>trays</t>
        </is>
      </c>
      <c r="D25" s="207" t="n"/>
      <c r="E25" s="207" t="n"/>
      <c r="F25" s="207" t="n"/>
      <c r="G25" s="207" t="n"/>
      <c r="H25" s="116" t="inlineStr">
        <is>
          <t>F-21 style rack.</t>
        </is>
      </c>
    </row>
    <row r="26" ht="21.75" customHeight="1" s="106">
      <c r="A26" s="113" t="inlineStr">
        <is>
          <t>Wet pasta per tray</t>
        </is>
      </c>
      <c r="B26" s="118" t="n">
        <v>2</v>
      </c>
      <c r="C26" s="206" t="inlineStr">
        <is>
          <t>kg</t>
        </is>
      </c>
      <c r="D26" s="207" t="n"/>
      <c r="E26" s="207" t="n"/>
      <c r="F26" s="207" t="n"/>
      <c r="G26" s="207" t="n"/>
      <c r="H26" s="116" t="inlineStr">
        <is>
          <t>Laid out thin enough to dry evenly - confirm on the witnessed batch.</t>
        </is>
      </c>
    </row>
    <row r="27" ht="21.75" customHeight="1" s="106">
      <c r="A27" s="113" t="inlineStr">
        <is>
          <t>Drying time per batch</t>
        </is>
      </c>
      <c r="B27" s="117" t="n">
        <v>14</v>
      </c>
      <c r="C27" s="206" t="inlineStr">
        <is>
          <t>hours</t>
        </is>
      </c>
      <c r="D27" s="207" t="n"/>
      <c r="E27" s="207" t="n"/>
      <c r="F27" s="207" t="n"/>
      <c r="G27" s="207" t="n"/>
      <c r="H27" s="116" t="inlineStr">
        <is>
          <t>Extrude today, dry overnight, cook tomorrow. Ties up rack space for a full cycle.</t>
        </is>
      </c>
    </row>
    <row r="28" ht="21.75" customHeight="1" s="106">
      <c r="A28" s="113" t="inlineStr">
        <is>
          <t>Slushee machine bowls</t>
        </is>
      </c>
      <c r="B28" s="117" t="n">
        <v>4</v>
      </c>
      <c r="C28" s="206" t="inlineStr">
        <is>
          <t>bowls</t>
        </is>
      </c>
      <c r="D28" s="207" t="n"/>
      <c r="E28" s="207" t="n"/>
      <c r="F28" s="207" t="n"/>
      <c r="G28" s="207" t="n"/>
      <c r="H28" s="116" t="inlineStr">
        <is>
          <t>How many slush flavours can be live at once. 6 flavours are now specced, so this is a real constraint.</t>
        </is>
      </c>
    </row>
    <row r="30" ht="15" customHeight="1" s="106">
      <c r="A30" s="128" t="inlineStr">
        <is>
          <t>SERVICE CAPACITY  -  COVERS PER HOUR, STATION BY STATION</t>
        </is>
      </c>
      <c r="B30" s="110" t="n"/>
      <c r="C30" s="110" t="n"/>
      <c r="D30" s="110" t="n"/>
      <c r="E30" s="110" t="n"/>
      <c r="F30" s="110" t="n"/>
      <c r="G30" s="110" t="n"/>
      <c r="H30" s="111" t="n"/>
    </row>
    <row r="31" ht="31.5" customHeight="1" s="106">
      <c r="A31" s="112" t="inlineStr">
        <is>
          <t>Station</t>
        </is>
      </c>
      <c r="B31" s="112" t="inlineStr">
        <is>
          <t>Covers / hour</t>
        </is>
      </c>
      <c r="C31" s="112" t="n"/>
      <c r="D31" s="112" t="inlineStr">
        <is>
          <t>How that number is built</t>
        </is>
      </c>
      <c r="E31" s="112" t="inlineStr">
        <is>
          <t>Used at
peak</t>
        </is>
      </c>
      <c r="F31" s="112" t="inlineStr">
        <is>
          <t>Headroom</t>
        </is>
      </c>
      <c r="G31" s="112" t="n"/>
      <c r="H31" s="112" t="inlineStr">
        <is>
          <t>Read</t>
        </is>
      </c>
    </row>
    <row r="32" ht="30" customHeight="1" s="106">
      <c r="A32" s="134" t="inlineStr">
        <is>
          <t>Pasta cooker  (the 9-pot)</t>
        </is>
      </c>
      <c r="B32" s="193">
        <f>$B$6*$B$9*3600/($B$7+$B$8)</f>
        <v/>
      </c>
      <c r="C32" s="206" t="inlineStr">
        <is>
          <t>covers/h</t>
        </is>
      </c>
      <c r="D32" s="116" t="inlineStr">
        <is>
          <t>baskets x usable% x 3600 / (boil + reset)</t>
        </is>
      </c>
      <c r="E32" s="153">
        <f>IF($B$32=0,"",MIN($B$32:$B$34)/$B$32)</f>
        <v/>
      </c>
      <c r="F32" s="152">
        <f>$B$32-MIN($B$32:$B$34)</f>
        <v/>
      </c>
      <c r="H32" s="116" t="inlineStr">
        <is>
          <t>One basket is one bowl. At 150 s boil plus 30 s handling a pot turns 20 times an hour.</t>
        </is>
      </c>
    </row>
    <row r="33" ht="30" customHeight="1" s="106">
      <c r="A33" s="134" t="inlineStr">
        <is>
          <t>Wok finishing  (the automatic woks)</t>
        </is>
      </c>
      <c r="B33" s="193">
        <f>$B$10*$B$13*3600/($B$11+$B$12)</f>
        <v/>
      </c>
      <c r="C33" s="206" t="inlineStr">
        <is>
          <t>covers/h</t>
        </is>
      </c>
      <c r="D33" s="116" t="inlineStr">
        <is>
          <t>woks x bowls per cycle x 3600 / (finish + load)</t>
        </is>
      </c>
      <c r="E33" s="153">
        <f>IF($B$33=0,"",MIN($B$32:$B$34)/$B$33)</f>
        <v/>
      </c>
      <c r="F33" s="152">
        <f>$B$33-MIN($B$32:$B$34)</f>
        <v/>
      </c>
      <c r="H33" s="116" t="inlineStr">
        <is>
          <t>EVERY bowl passes through a wok, so this station is the ceiling for the whole store. It is the number that decides 3 woks or 4.</t>
        </is>
      </c>
    </row>
    <row r="34" ht="30" customHeight="1" s="106">
      <c r="A34" s="134" t="inlineStr">
        <is>
          <t>Assembly and pack</t>
        </is>
      </c>
      <c r="B34" s="193">
        <f>$B$18*3600/$B$19</f>
        <v/>
      </c>
      <c r="C34" s="206" t="inlineStr">
        <is>
          <t>covers/h</t>
        </is>
      </c>
      <c r="D34" s="116" t="inlineStr">
        <is>
          <t>pack crew x 3600 / seconds per bowl</t>
        </is>
      </c>
      <c r="E34" s="153">
        <f>IF($B$34=0,"",MIN($B$32:$B$34)/$B$34)</f>
        <v/>
      </c>
      <c r="F34" s="152">
        <f>$B$34-MIN($B$32:$B$34)</f>
        <v/>
      </c>
      <c r="H34" s="116" t="inlineStr">
        <is>
          <t>Plate, lid, bag, hand over. Cheap to add to - it is another pair of hands, not another machine.</t>
        </is>
      </c>
    </row>
    <row r="35" ht="46.25" customHeight="1" s="106">
      <c r="A35" s="208" t="inlineStr">
        <is>
          <t>BINDING STATION  (the slowest)</t>
        </is>
      </c>
      <c r="B35" s="192">
        <f>INDEX($A$32:$A$34,MATCH(MIN($B$32:$B$34),$B$32:$B$34,0))</f>
        <v/>
      </c>
      <c r="C35" s="111" t="n"/>
      <c r="D35" s="116" t="inlineStr">
        <is>
          <t>The station with the fewest covers per hour is the only one that matters. Adding capacity anywhere else changes nothing.</t>
        </is>
      </c>
    </row>
    <row r="36" ht="28.35" customHeight="1" s="106">
      <c r="A36" s="190" t="inlineStr">
        <is>
          <t>PEAK CAPACITY</t>
        </is>
      </c>
      <c r="B36" s="201">
        <f>MIN($B$32:$B$34)</f>
        <v/>
      </c>
      <c r="C36" s="206" t="inlineStr">
        <is>
          <t>covers/h</t>
        </is>
      </c>
      <c r="D36" s="116" t="inlineStr">
        <is>
          <t>What the line can do flat out, for as long as the orders keep coming.</t>
        </is>
      </c>
    </row>
    <row r="37" ht="28.35" customHeight="1" s="106">
      <c r="A37" s="190" t="inlineStr">
        <is>
          <t>DAILY CAPACITY  (covers the line could serve)</t>
        </is>
      </c>
      <c r="B37" s="201">
        <f>$B$36*$B$20*$B$21</f>
        <v/>
      </c>
      <c r="C37" s="206" t="inlineStr">
        <is>
          <t>covers/day</t>
        </is>
      </c>
      <c r="D37" s="116" t="inlineStr">
        <is>
          <t>Peak rate x trading hours x the utilisation input. A store never runs at peak all day.</t>
        </is>
      </c>
    </row>
    <row r="38" ht="37.3" customHeight="1" s="106">
      <c r="A38" s="113" t="inlineStr">
        <is>
          <t>Planned volume on 01 Control</t>
        </is>
      </c>
      <c r="B38" s="152">
        <f>'01 Control'!$C$26</f>
        <v/>
      </c>
      <c r="C38" s="206" t="inlineStr">
        <is>
          <t>covers/day</t>
        </is>
      </c>
      <c r="D38" s="116" t="inlineStr">
        <is>
          <t>The Servings per store per day input that drives the whole P&amp;L on 13 Network Economics.</t>
        </is>
      </c>
    </row>
    <row r="39" ht="30" customHeight="1" s="106">
      <c r="A39" s="134" t="inlineStr">
        <is>
          <t>Line utilisation at the planned volume</t>
        </is>
      </c>
      <c r="B39" s="182">
        <f>IF($B$37=0,"",$B$38/$B$37)</f>
        <v/>
      </c>
      <c r="D39" s="209">
        <f>IF($B$37=0,"",IF($B$38&gt;$B$37,"OVER CAPACITY - the plan sells more than this line can serve. Add a wok, or add pack crew, whichever is the binding station above.",IF($B$38/$B$37&lt;0.5,"Comfortable. The line is sized well ahead of the plan - the constraint is pasta production below, not service.","Tight but workable. Watch the binding station at peak.")))</f>
        <v/>
      </c>
      <c r="E39" s="110" t="n"/>
      <c r="F39" s="110" t="n"/>
      <c r="G39" s="110" t="n"/>
      <c r="H39" s="111" t="n"/>
    </row>
    <row r="41" ht="15" customHeight="1" s="106">
      <c r="A41" s="179" t="inlineStr">
        <is>
          <t>SAUCE STATION LOADOUT  -  WHAT SITS IN A WARMER AND WHAT IS FINISHED TO ORDER</t>
        </is>
      </c>
      <c r="B41" s="110" t="n"/>
      <c r="C41" s="110" t="n"/>
      <c r="D41" s="110" t="n"/>
      <c r="E41" s="110" t="n"/>
      <c r="F41" s="110" t="n"/>
      <c r="G41" s="110" t="n"/>
      <c r="H41" s="111" t="n"/>
    </row>
    <row r="42" ht="19.4" customHeight="1" s="106">
      <c r="A42" s="135" t="inlineStr">
        <is>
          <t>This is a TASTE rule, not a capacity rule. A sauce goes in a warmer only where four hours at 63 C leaves it the same or better - the tomato bases and the braises are genuinely improved by it. Everything else is opened from a chilled pouch and finished in the wok with the pasta, per bowl. The wok cookers are what make that affordable: on the old 2-plate hob, finish-to-order was a bottleneck, so sauces got held that should never have been. Change any SERVICE METHOD dropdown on 07 or 08 and this table follows it.</t>
        </is>
      </c>
    </row>
    <row r="44" ht="33.75" customHeight="1" s="106">
      <c r="A44" s="112" t="inlineStr">
        <is>
          <t>Sauce</t>
        </is>
      </c>
      <c r="B44" s="112" t="inlineStr">
        <is>
          <t>Cost Index
Code</t>
        </is>
      </c>
      <c r="C44" s="112" t="inlineStr">
        <is>
          <t>Tier</t>
        </is>
      </c>
      <c r="D44" s="112" t="inlineStr">
        <is>
          <t>SERVICE METHOD
(live from 07 / 08)</t>
        </is>
      </c>
      <c r="E44" s="112" t="inlineStr">
        <is>
          <t>Warmer well
needed</t>
        </is>
      </c>
      <c r="F44" s="112" t="inlineStr">
        <is>
          <t>Portion
(g)</t>
        </is>
      </c>
      <c r="G44" s="112" t="n"/>
      <c r="H44" s="112" t="inlineStr">
        <is>
          <t>Why it is served that way</t>
        </is>
      </c>
    </row>
    <row r="45" ht="25.5" customHeight="1" s="106">
      <c r="A45" s="134" t="inlineStr">
        <is>
          <t>Napoletana (Pomodoro)</t>
        </is>
      </c>
      <c r="B45" s="210" t="inlineStr">
        <is>
          <t>PP-SAUCE-NAP</t>
        </is>
      </c>
      <c r="C45" s="180" t="inlineStr">
        <is>
          <t>Core</t>
        </is>
      </c>
      <c r="D45" s="203">
        <f>'07 Core Sauce BOM CK'!$D$43</f>
        <v/>
      </c>
      <c r="E45" s="152">
        <f>IF($D45="WARMER",1,0)</f>
        <v/>
      </c>
      <c r="F45" s="152">
        <f>'07 Core Sauce BOM CK'!$D$42</f>
        <v/>
      </c>
      <c r="H45" s="116" t="inlineStr">
        <is>
          <t>Tomato base. Holding concentrates it - it is better at hour three than hour one.</t>
        </is>
      </c>
    </row>
    <row r="46" ht="25.5" customHeight="1" s="106">
      <c r="A46" s="134" t="inlineStr">
        <is>
          <t>Papa's Bolognese</t>
        </is>
      </c>
      <c r="B46" s="210" t="inlineStr">
        <is>
          <t>PP-SAUCE-BOL</t>
        </is>
      </c>
      <c r="C46" s="180" t="inlineStr">
        <is>
          <t>Core</t>
        </is>
      </c>
      <c r="D46" s="203">
        <f>'07 Core Sauce BOM CK'!$D$92</f>
        <v/>
      </c>
      <c r="E46" s="152">
        <f>IF($D46="WARMER",1,0)</f>
        <v/>
      </c>
      <c r="F46" s="152">
        <f>'07 Core Sauce BOM CK'!$D$91</f>
        <v/>
      </c>
      <c r="H46" s="116" t="inlineStr">
        <is>
          <t>A braise. Long, gentle holding is how ragu is supposed to be served.</t>
        </is>
      </c>
    </row>
    <row r="47" ht="25.5" customHeight="1" s="106">
      <c r="A47" s="134" t="inlineStr">
        <is>
          <t>Creamy Alfredo</t>
        </is>
      </c>
      <c r="B47" s="210" t="inlineStr">
        <is>
          <t>PP-SAUCE-ALF</t>
        </is>
      </c>
      <c r="C47" s="180" t="inlineStr">
        <is>
          <t>Core</t>
        </is>
      </c>
      <c r="D47" s="203">
        <f>'07 Core Sauce BOM CK'!$D$136</f>
        <v/>
      </c>
      <c r="E47" s="152">
        <f>IF($D47="WARMER",1,0)</f>
        <v/>
      </c>
      <c r="F47" s="152">
        <f>'07 Core Sauce BOM CK'!$D$135</f>
        <v/>
      </c>
      <c r="H47" s="116" t="inlineStr">
        <is>
          <t>Only because the CK spec stabilises it to reheat without splitting. Stir every 20 min; skin it and it is gone.</t>
        </is>
      </c>
    </row>
    <row r="48" ht="25.5" customHeight="1" s="106">
      <c r="A48" s="134" t="inlineStr">
        <is>
          <t>Carbonara Base</t>
        </is>
      </c>
      <c r="B48" s="210" t="inlineStr">
        <is>
          <t>PP-SAUCE-CAR</t>
        </is>
      </c>
      <c r="C48" s="180" t="inlineStr">
        <is>
          <t>Core</t>
        </is>
      </c>
      <c r="D48" s="203">
        <f>'07 Core Sauce BOM CK'!$D$179</f>
        <v/>
      </c>
      <c r="E48" s="152">
        <f>IF($D48="WARMER",1,0)</f>
        <v/>
      </c>
      <c r="F48" s="152">
        <f>'07 Core Sauce BOM CK'!$D$178</f>
        <v/>
      </c>
      <c r="H48" s="116" t="inlineStr">
        <is>
          <t>Pasteurised egg-pecorino emulsion. Above ~70 C it scrambles. It cannot be held - ever.</t>
        </is>
      </c>
    </row>
    <row r="49" ht="25.5" customHeight="1" s="106">
      <c r="A49" s="134" t="inlineStr">
        <is>
          <t>Arrabbiata</t>
        </is>
      </c>
      <c r="B49" s="210" t="inlineStr">
        <is>
          <t>PP-SAUCE-ARR</t>
        </is>
      </c>
      <c r="C49" s="180" t="inlineStr">
        <is>
          <t>Core</t>
        </is>
      </c>
      <c r="D49" s="203">
        <f>'07 Core Sauce BOM CK'!$D$226</f>
        <v/>
      </c>
      <c r="E49" s="152">
        <f>IF($D49="WARMER",1,0)</f>
        <v/>
      </c>
      <c r="F49" s="152">
        <f>'07 Core Sauce BOM CK'!$D$225</f>
        <v/>
      </c>
      <c r="H49" s="116" t="inlineStr">
        <is>
          <t>Same tomato base as Napoletana. Holds identically; chilli oil is added at the pass.</t>
        </is>
      </c>
    </row>
    <row r="50" ht="25.5" customHeight="1" s="106">
      <c r="A50" s="134" t="inlineStr">
        <is>
          <t>Basil Pesto</t>
        </is>
      </c>
      <c r="B50" s="210" t="inlineStr">
        <is>
          <t>PP-SAUCE-PES</t>
        </is>
      </c>
      <c r="C50" s="180" t="inlineStr">
        <is>
          <t>Core</t>
        </is>
      </c>
      <c r="D50" s="203">
        <f>'07 Core Sauce BOM CK'!$D$270</f>
        <v/>
      </c>
      <c r="E50" s="152">
        <f>IF($D50="WARMER",1,0)</f>
        <v/>
      </c>
      <c r="F50" s="152">
        <f>'07 Core Sauce BOM CK'!$D$269</f>
        <v/>
      </c>
      <c r="H50" s="116" t="inlineStr">
        <is>
          <t>Raw basil. Heat turns it grey and bitter within minutes. Tossed cold through hot pasta in the wok.</t>
        </is>
      </c>
    </row>
    <row r="51" ht="25.5" customHeight="1" s="106">
      <c r="A51" s="134" t="inlineStr">
        <is>
          <t>Boscaiola</t>
        </is>
      </c>
      <c r="B51" s="210" t="inlineStr">
        <is>
          <t>PP-SAUCE-BOSC</t>
        </is>
      </c>
      <c r="C51" s="180" t="inlineStr">
        <is>
          <t>Core</t>
        </is>
      </c>
      <c r="D51" s="203">
        <f>'07 Core Sauce BOM CK'!$D$316</f>
        <v/>
      </c>
      <c r="E51" s="152">
        <f>IF($D51="WARMER",1,0)</f>
        <v/>
      </c>
      <c r="F51" s="152">
        <f>'07 Core Sauce BOM CK'!$D$315</f>
        <v/>
      </c>
      <c r="H51" s="116" t="inlineStr">
        <is>
          <t>Reheat-safe mushroom cream per the CK spec. Mushroom depth improves on the hold.</t>
        </is>
      </c>
    </row>
    <row r="52" ht="25.5" customHeight="1" s="106">
      <c r="A52" s="134" t="inlineStr">
        <is>
          <t>Quattro Formaggi</t>
        </is>
      </c>
      <c r="B52" s="210" t="inlineStr">
        <is>
          <t>PP-SAUCE-QF</t>
        </is>
      </c>
      <c r="C52" s="180" t="inlineStr">
        <is>
          <t>Core</t>
        </is>
      </c>
      <c r="D52" s="203">
        <f>'07 Core Sauce BOM CK'!$D$361</f>
        <v/>
      </c>
      <c r="E52" s="152">
        <f>IF($D52="WARMER",1,0)</f>
        <v/>
      </c>
      <c r="F52" s="152">
        <f>'07 Core Sauce BOM CK'!$D$360</f>
        <v/>
      </c>
      <c r="H52" s="116" t="inlineStr">
        <is>
          <t>Four-cheese. Held cheese sauce grains and skins - the single most common QSR quality failure. Finished per bowl, then baked.</t>
        </is>
      </c>
    </row>
    <row r="53" ht="25.5" customHeight="1" s="106">
      <c r="A53" s="134" t="inlineStr">
        <is>
          <t>Aglio e Olio Kit</t>
        </is>
      </c>
      <c r="B53" s="210" t="inlineStr">
        <is>
          <t>PP-SAUCE-ALO</t>
        </is>
      </c>
      <c r="C53" s="180" t="inlineStr">
        <is>
          <t>Core</t>
        </is>
      </c>
      <c r="D53" s="203">
        <f>'07 Core Sauce BOM CK'!$D$403</f>
        <v/>
      </c>
      <c r="E53" s="152">
        <f>IF($D53="WARMER",1,0)</f>
        <v/>
      </c>
      <c r="F53" s="152">
        <f>'07 Core Sauce BOM CK'!$D$402</f>
        <v/>
      </c>
      <c r="H53" s="116" t="inlineStr">
        <is>
          <t>A prep kit, not a cooked sauce. Confit garlic and EVOO emulsify in the wok with the pasta water.</t>
        </is>
      </c>
    </row>
    <row r="54" ht="25.5" customHeight="1" s="106">
      <c r="A54" s="134" t="inlineStr">
        <is>
          <t>Durban Curry-Tomato Base</t>
        </is>
      </c>
      <c r="B54" s="210" t="inlineStr">
        <is>
          <t>PP-SEASAUCE-CURRYTOM</t>
        </is>
      </c>
      <c r="C54" s="211" t="inlineStr">
        <is>
          <t>Seasonal</t>
        </is>
      </c>
      <c r="D54" s="203">
        <f>'08 Seasonal Sauce BOM CK'!$D$40</f>
        <v/>
      </c>
      <c r="E54" s="152">
        <f>IF($D54="WARMER",1,0)</f>
        <v/>
      </c>
      <c r="F54" s="152">
        <f>'08 Seasonal Sauce BOM CK'!$D$39</f>
        <v/>
      </c>
      <c r="H54" s="116" t="inlineStr">
        <is>
          <t>Curry-tomato. Spice blooms on the hold - it gets better.</t>
        </is>
      </c>
    </row>
    <row r="55" ht="25.5" customHeight="1" s="106">
      <c r="A55" s="134" t="inlineStr">
        <is>
          <t>Slow-Braised Oxtail-Style Ragu</t>
        </is>
      </c>
      <c r="B55" s="210" t="inlineStr">
        <is>
          <t>PP-SEASAUCE-OXTAIL</t>
        </is>
      </c>
      <c r="C55" s="211" t="inlineStr">
        <is>
          <t>Seasonal</t>
        </is>
      </c>
      <c r="D55" s="203">
        <f>'08 Seasonal Sauce BOM CK'!$D$88</f>
        <v/>
      </c>
      <c r="E55" s="152">
        <f>IF($D55="WARMER",1,0)</f>
        <v/>
      </c>
      <c r="F55" s="152">
        <f>'08 Seasonal Sauce BOM CK'!$D$87</f>
        <v/>
      </c>
      <c r="H55" s="116" t="inlineStr">
        <is>
          <t>A braise, like the Bolognese. Built for holding.</t>
        </is>
      </c>
    </row>
    <row r="56" ht="25.5" customHeight="1" s="106">
      <c r="A56" s="134" t="inlineStr">
        <is>
          <t>Chakalaka Relish Base</t>
        </is>
      </c>
      <c r="B56" s="210" t="inlineStr">
        <is>
          <t>PP-SEASAUCE-CHAKALAKA</t>
        </is>
      </c>
      <c r="C56" s="211" t="inlineStr">
        <is>
          <t>Seasonal</t>
        </is>
      </c>
      <c r="D56" s="203">
        <f>'08 Seasonal Sauce BOM CK'!$D$134</f>
        <v/>
      </c>
      <c r="E56" s="152">
        <f>IF($D56="WARMER",1,0)</f>
        <v/>
      </c>
      <c r="F56" s="152">
        <f>'08 Seasonal Sauce BOM CK'!$D$133</f>
        <v/>
      </c>
      <c r="H56" s="116" t="inlineStr">
        <is>
          <t>A relish. Served at ambient, spooned at the pass.</t>
        </is>
      </c>
    </row>
    <row r="57" ht="25.5" customHeight="1" s="106">
      <c r="A57" s="134" t="inlineStr">
        <is>
          <t>Coconut-Cream Base</t>
        </is>
      </c>
      <c r="B57" s="210" t="inlineStr">
        <is>
          <t>PP-SEASAUCE-COCONUT</t>
        </is>
      </c>
      <c r="C57" s="211" t="inlineStr">
        <is>
          <t>Seasonal</t>
        </is>
      </c>
      <c r="D57" s="203">
        <f>'08 Seasonal Sauce BOM CK'!$D$179</f>
        <v/>
      </c>
      <c r="E57" s="152">
        <f>IF($D57="WARMER",1,0)</f>
        <v/>
      </c>
      <c r="F57" s="152">
        <f>'08 Seasonal Sauce BOM CK'!$D$178</f>
        <v/>
      </c>
      <c r="H57" s="116" t="inlineStr">
        <is>
          <t>Coconut cream splits and oils out on a long hold. Finished per bowl.</t>
        </is>
      </c>
    </row>
    <row r="58" ht="25.5" customHeight="1" s="106">
      <c r="A58" s="134" t="inlineStr">
        <is>
          <t>Cape Malay Curry-Cream Base</t>
        </is>
      </c>
      <c r="B58" s="210" t="inlineStr">
        <is>
          <t>PP-SEASAUCE-CAPEMALAY</t>
        </is>
      </c>
      <c r="C58" s="211" t="inlineStr">
        <is>
          <t>Seasonal</t>
        </is>
      </c>
      <c r="D58" s="203">
        <f>'08 Seasonal Sauce BOM CK'!$D$225</f>
        <v/>
      </c>
      <c r="E58" s="152">
        <f>IF($D58="WARMER",1,0)</f>
        <v/>
      </c>
      <c r="F58" s="152">
        <f>'08 Seasonal Sauce BOM CK'!$D$224</f>
        <v/>
      </c>
      <c r="H58" s="116" t="inlineStr">
        <is>
          <t>Curry-cream. The curry would hold; the cream would not. Finished per bowl.</t>
        </is>
      </c>
    </row>
    <row r="59" ht="25.5" customHeight="1" s="106">
      <c r="A59" s="134" t="inlineStr">
        <is>
          <t>Chermoula Herb Paste</t>
        </is>
      </c>
      <c r="B59" s="210" t="inlineStr">
        <is>
          <t>PP-SEASAUCE-CHERMOULA</t>
        </is>
      </c>
      <c r="C59" s="211" t="inlineStr">
        <is>
          <t>Seasonal</t>
        </is>
      </c>
      <c r="D59" s="203">
        <f>'08 Seasonal Sauce BOM CK'!$D$268</f>
        <v/>
      </c>
      <c r="E59" s="152">
        <f>IF($D59="WARMER",1,0)</f>
        <v/>
      </c>
      <c r="F59" s="152">
        <f>'08 Seasonal Sauce BOM CK'!$D$267</f>
        <v/>
      </c>
      <c r="H59" s="116" t="inlineStr">
        <is>
          <t>Raw herb paste. Same rule as pesto - never heated.</t>
        </is>
      </c>
    </row>
    <row r="60" ht="25.5" customHeight="1" s="106">
      <c r="A60" s="134" t="inlineStr">
        <is>
          <t>Groundnut Cream Base</t>
        </is>
      </c>
      <c r="B60" s="210" t="inlineStr">
        <is>
          <t>PP-SEASAUCE-GROUNDNUT</t>
        </is>
      </c>
      <c r="C60" s="211" t="inlineStr">
        <is>
          <t>Seasonal</t>
        </is>
      </c>
      <c r="D60" s="203">
        <f>'08 Seasonal Sauce BOM CK'!$D$313</f>
        <v/>
      </c>
      <c r="E60" s="152">
        <f>IF($D60="WARMER",1,0)</f>
        <v/>
      </c>
      <c r="F60" s="152">
        <f>'08 Seasonal Sauce BOM CK'!$D$312</f>
        <v/>
      </c>
      <c r="H60" s="116" t="inlineStr">
        <is>
          <t>Groundnut cream is emulsion-stable hot and thickens predictably.</t>
        </is>
      </c>
    </row>
    <row r="62" ht="25.5" customHeight="1" s="106">
      <c r="A62" s="113" t="inlineStr">
        <is>
          <t>Core sauces that need a warmer well</t>
        </is>
      </c>
      <c r="B62" s="152">
        <f>SUM($E$45:$E$53)</f>
        <v/>
      </c>
      <c r="H62" s="116" t="inlineStr">
        <is>
          <t>These five run permanently: they are the sauces the customer is most likely to order and the ones that hold best.</t>
        </is>
      </c>
    </row>
    <row r="63" ht="25.5" customHeight="1" s="106">
      <c r="A63" s="113" t="inlineStr">
        <is>
          <t>Seasonal bases live at any one time</t>
        </is>
      </c>
      <c r="B63" s="174" t="n">
        <v>2</v>
      </c>
      <c r="H63" s="116" t="inlineStr">
        <is>
          <t>INPUT. Usually one drop is live; two during a changeover week. Only the WARMER-method seasonal bases take a well.</t>
        </is>
      </c>
    </row>
    <row r="64" ht="25.5" customHeight="1" s="106">
      <c r="A64" s="113" t="inlineStr">
        <is>
          <t>Seasonal bases that need a warmer well (of those live)</t>
        </is>
      </c>
      <c r="B64" s="152">
        <f>IF(COUNTA($A$54:$A$60)=0,0,ROUND(SUM($E$54:$E$60)/COUNTA($A$54:$A$60)*$B$63,0))</f>
        <v/>
      </c>
      <c r="H64" s="116" t="inlineStr">
        <is>
          <t>Scaled from the seasonal loadout above - some seasonal bases are wok-finish or cold and take no well at all.</t>
        </is>
      </c>
    </row>
    <row r="65" ht="25.5" customHeight="1" s="106">
      <c r="A65" s="134" t="inlineStr">
        <is>
          <t>WARMER WELLS NEEDED</t>
        </is>
      </c>
      <c r="B65" s="201">
        <f>$B$62+$B$64</f>
        <v/>
      </c>
      <c r="H65" s="116" t="inlineStr">
        <is>
          <t>Core plus the live seasonal. This is the number the line must physically hold.</t>
        </is>
      </c>
    </row>
    <row r="66" ht="25.5" customHeight="1" s="106">
      <c r="A66" s="113" t="inlineStr">
        <is>
          <t>Warmer wells available</t>
        </is>
      </c>
      <c r="B66" s="152">
        <f>$B$14</f>
        <v/>
      </c>
      <c r="H66" s="116" t="inlineStr">
        <is>
          <t>From the equipment block at the top of this tab.</t>
        </is>
      </c>
    </row>
    <row r="67" ht="25.5" customHeight="1" s="106">
      <c r="A67" s="134" t="inlineStr">
        <is>
          <t>Menu fits the line</t>
        </is>
      </c>
      <c r="B67" s="212">
        <f>IF($B$66&gt;=$B$65,"FITS - "&amp;($B$66-$B$65)&amp;" spare well(s)","DOES NOT FIT - short by "&amp;($B$65-$B$66)&amp;" well(s)")</f>
        <v/>
      </c>
      <c r="C67" s="110" t="n"/>
      <c r="D67" s="110" t="n"/>
      <c r="E67" s="110" t="n"/>
      <c r="F67" s="111" t="n"/>
      <c r="H67" s="116" t="inlineStr">
        <is>
          <t>If this fails, a core sauce has to come off the board or a well has to be added. That is a menu decision, not a kitchen one.</t>
        </is>
      </c>
    </row>
    <row r="68" ht="25.5" customHeight="1" s="106">
      <c r="A68" s="113" t="inlineStr">
        <is>
          <t>Sauce standing on the line at once</t>
        </is>
      </c>
      <c r="B68" s="158">
        <f>$B$66*$B$15</f>
        <v/>
      </c>
      <c r="H68" s="116" t="inlineStr">
        <is>
          <t>Wells x capacity per well. This is how much sauce is hot at any moment.</t>
        </is>
      </c>
    </row>
    <row r="69" ht="25.5" customHeight="1" s="106">
      <c r="A69" s="113" t="inlineStr">
        <is>
          <t>Bowls of sauce standing on the line</t>
        </is>
      </c>
      <c r="B69" s="152">
        <f>$B$68*1000/$B$17</f>
        <v/>
      </c>
      <c r="H69" s="116" t="inlineStr">
        <is>
          <t>At the average sauce weight per bowl.</t>
        </is>
      </c>
    </row>
    <row r="70" ht="25.5" customHeight="1" s="106">
      <c r="A70" s="113" t="inlineStr">
        <is>
          <t>Hours a full well lasts at peak</t>
        </is>
      </c>
      <c r="B70" s="158">
        <f>IF(OR($B$36=0,$B$65=0),"",($B$15*1000/$B$17)/($B$36/$B$65))</f>
        <v/>
      </c>
      <c r="H70" s="116" t="inlineStr">
        <is>
          <t>One well's worth of sauce, divided by the share of peak demand that one held sauce carries.</t>
        </is>
      </c>
    </row>
    <row r="71" ht="25.5" customHeight="1" s="106">
      <c r="A71" s="134" t="inlineStr">
        <is>
          <t>Hold-window check</t>
        </is>
      </c>
      <c r="B71" s="212">
        <f>IF($B$70="","",IF($B$70&lt;=$B$16,"PASS - a full well turns over inside the hold window at peak","PART-FILL THE WELLS - at peak a full well would sit past the hold window and get discarded"))</f>
        <v/>
      </c>
      <c r="C71" s="110" t="n"/>
      <c r="D71" s="110" t="n"/>
      <c r="E71" s="110" t="n"/>
      <c r="F71" s="111" t="n"/>
      <c r="H71" s="116" t="inlineStr">
        <is>
          <t>A well must empty faster than the 4-hour hot-hold window, or you are discarding sauce. If it does not, part-fill the wells.</t>
        </is>
      </c>
    </row>
    <row r="74" ht="15" customHeight="1" s="106">
      <c r="A74" s="185" t="inlineStr">
        <is>
          <t>PASTA SUPPLY  -  CAN THE STORE DRY ENOUGH TONIGHT TO SERVE TOMORROW?</t>
        </is>
      </c>
      <c r="B74" s="110" t="n"/>
      <c r="C74" s="110" t="n"/>
      <c r="D74" s="110" t="n"/>
      <c r="E74" s="110" t="n"/>
      <c r="F74" s="110" t="n"/>
      <c r="G74" s="110" t="n"/>
      <c r="H74" s="111" t="n"/>
    </row>
    <row r="75" ht="19.4" customHeight="1" s="106">
      <c r="A75" s="135" t="inlineStr">
        <is>
          <t>Dried in store, served fresh: what you extrude today is what you cook tomorrow, so the extruder window and the drying racks are a hard daily limit on how many bowls the store can sell - separate from, and often tighter than, the service line above. Batch figures are read live from Bokgat Base on 06 Pasta Dough BOM, the volume-driver formula.</t>
        </is>
      </c>
    </row>
    <row r="77" ht="25.5" customHeight="1" s="106">
      <c r="A77" s="113" t="inlineStr">
        <is>
          <t>Covers to be served tomorrow</t>
        </is>
      </c>
      <c r="B77" s="152">
        <f>'01 Control'!$C$26</f>
        <v/>
      </c>
      <c r="C77" s="206" t="inlineStr">
        <is>
          <t>covers</t>
        </is>
      </c>
      <c r="H77" s="116" t="inlineStr">
        <is>
          <t>From 01 Control. Change it there and everything below moves.</t>
        </is>
      </c>
    </row>
    <row r="78" ht="25.5" customHeight="1" s="106">
      <c r="A78" s="113" t="inlineStr">
        <is>
          <t>Dried pasta needed</t>
        </is>
      </c>
      <c r="B78" s="158">
        <f>$B$77*'01 Control'!$C$8/1000</f>
        <v/>
      </c>
      <c r="C78" s="206" t="inlineStr">
        <is>
          <t>kg/day</t>
        </is>
      </c>
      <c r="H78" s="116" t="inlineStr">
        <is>
          <t>Covers x the dried portion on 01 Control.</t>
        </is>
      </c>
    </row>
    <row r="79" ht="25.5" customHeight="1" s="106">
      <c r="A79" s="113" t="inlineStr">
        <is>
          <t>Net dried pasta per batch</t>
        </is>
      </c>
      <c r="B79" s="158">
        <f>'06 Pasta Dough BOM'!$D$33/1000</f>
        <v/>
      </c>
      <c r="C79" s="206" t="inlineStr">
        <is>
          <t>kg</t>
        </is>
      </c>
      <c r="H79" s="116" t="inlineStr">
        <is>
          <t>Bokgat Base, after process loss. Live off tab 06.</t>
        </is>
      </c>
    </row>
    <row r="80" ht="25.5" customHeight="1" s="106">
      <c r="A80" s="113" t="inlineStr">
        <is>
          <t>Batches needed</t>
        </is>
      </c>
      <c r="B80" s="158">
        <f>IF($B$79=0,"",$B$78/$B$79)</f>
        <v/>
      </c>
      <c r="C80" s="206" t="inlineStr">
        <is>
          <t>batches/day</t>
        </is>
      </c>
      <c r="H80" s="116" t="inlineStr">
        <is>
          <t>Round up in practice - you cannot run two-thirds of a batch.</t>
        </is>
      </c>
    </row>
    <row r="81" ht="25.5" customHeight="1" s="106">
      <c r="A81" s="113" t="inlineStr">
        <is>
          <t>Wet pasta onto the racks per batch</t>
        </is>
      </c>
      <c r="B81" s="158">
        <f>'06 Pasta Dough BOM'!$D$29/1000</f>
        <v/>
      </c>
      <c r="C81" s="206" t="inlineStr">
        <is>
          <t>kg</t>
        </is>
      </c>
      <c r="H81" s="116" t="inlineStr">
        <is>
          <t>What comes out of the extruder, before the water leaves.</t>
        </is>
      </c>
    </row>
    <row r="82" ht="25.5" customHeight="1" s="106">
      <c r="A82" s="113" t="inlineStr">
        <is>
          <t>Wet pasta onto the racks per day</t>
        </is>
      </c>
      <c r="B82" s="158">
        <f>$B$80*$B$81</f>
        <v/>
      </c>
      <c r="C82" s="206" t="inlineStr">
        <is>
          <t>kg/day</t>
        </is>
      </c>
      <c r="H82" s="116" t="inlineStr">
        <is>
          <t>Batches x wet weight per batch.</t>
        </is>
      </c>
    </row>
    <row r="83" ht="25.5" customHeight="1" s="106">
      <c r="A83" s="113" t="inlineStr">
        <is>
          <t>Extruder hours needed</t>
        </is>
      </c>
      <c r="B83" s="158">
        <f>IF($B$22=0,"",$B$82/$B$22)</f>
        <v/>
      </c>
      <c r="C83" s="206" t="inlineStr">
        <is>
          <t>hours</t>
        </is>
      </c>
      <c r="H83" s="116" t="inlineStr">
        <is>
          <t>Wet kg per day divided by the GUSGT108's output rate.</t>
        </is>
      </c>
    </row>
    <row r="84" ht="25.5" customHeight="1" s="106">
      <c r="A84" s="113" t="inlineStr">
        <is>
          <t>Extruder hours available</t>
        </is>
      </c>
      <c r="B84" s="158">
        <f>$B$23</f>
        <v/>
      </c>
      <c r="C84" s="206" t="inlineStr">
        <is>
          <t>hours</t>
        </is>
      </c>
      <c r="H84" s="116" t="inlineStr">
        <is>
          <t>The Pasta Theatre window. This is a rostering decision, not a machine limit.</t>
        </is>
      </c>
    </row>
    <row r="85" ht="25.5" customHeight="1" s="106">
      <c r="A85" s="113" t="inlineStr">
        <is>
          <t>Extruder check</t>
        </is>
      </c>
      <c r="B85" s="170">
        <f>IF($B$83="","",IF($B$83&lt;=$B$84,"PASS - "&amp;TEXT($B$83,"0.0")&amp;" h of extruding fits the "&amp;$B$84&amp;" h window","FAIL - needs "&amp;TEXT($B$83,"0.0")&amp;" h of extruding against a "&amp;$B$84&amp;" h window"))</f>
        <v/>
      </c>
      <c r="C85" s="110" t="n"/>
      <c r="D85" s="110" t="n"/>
      <c r="E85" s="110" t="n"/>
      <c r="F85" s="111" t="n"/>
      <c r="H85" s="116" t="inlineStr">
        <is>
          <t>If this fails, either extend the window, add a second machine, or take the make point on tab 06 to CENTRAL KITCHEN.</t>
        </is>
      </c>
    </row>
    <row r="86" ht="25.5" customHeight="1" s="106">
      <c r="A86" s="113" t="inlineStr">
        <is>
          <t>Drying rack capacity</t>
        </is>
      </c>
      <c r="B86" s="158">
        <f>$B$24*$B$25*$B$26</f>
        <v/>
      </c>
      <c r="C86" s="206" t="inlineStr">
        <is>
          <t>kg wet</t>
        </is>
      </c>
      <c r="H86" s="116" t="inlineStr">
        <is>
          <t>Racks x trays x wet kg per tray.</t>
        </is>
      </c>
    </row>
    <row r="87" ht="25.5" customHeight="1" s="106">
      <c r="A87" s="113" t="inlineStr">
        <is>
          <t>Rack space used</t>
        </is>
      </c>
      <c r="B87" s="153">
        <f>IF($B$86=0,"",$B$82/$B$86)</f>
        <v/>
      </c>
      <c r="C87" s="206" t="n"/>
      <c r="H87" s="116" t="inlineStr">
        <is>
          <t>Wet kg per day against total rack capacity. Drying ties a rack up for a full cycle.</t>
        </is>
      </c>
    </row>
    <row r="88" ht="25.5" customHeight="1" s="106">
      <c r="A88" s="113" t="inlineStr">
        <is>
          <t>Drying rack check</t>
        </is>
      </c>
      <c r="B88" s="170">
        <f>IF($B$87="","",IF($B$87&lt;=1,"PASS - "&amp;TEXT($B$87,"0%")&amp;" of rack space used","FAIL - needs "&amp;TEXT($B$87,"0%")&amp;" of the rack space you have"))</f>
        <v/>
      </c>
      <c r="C88" s="110" t="n"/>
      <c r="D88" s="110" t="n"/>
      <c r="E88" s="110" t="n"/>
      <c r="F88" s="111" t="n"/>
      <c r="H88" s="116" t="inlineStr">
        <is>
          <t>If this fails the store cannot dry a full day's pasta overnight and has to buy racks or cut the batch.</t>
        </is>
      </c>
    </row>
    <row r="89" ht="25.5" customHeight="1" s="106">
      <c r="A89" s="134" t="inlineStr">
        <is>
          <t>MAXIMUM COVERS THE PASTA LINE SUPPORTS</t>
        </is>
      </c>
      <c r="B89" s="201">
        <f>IF(OR($B$81=0,$B$79=0),"",MIN($B$23*$B$22,$B$86)/$B$81*$B$79*1000/'01 Control'!$C$8)</f>
        <v/>
      </c>
      <c r="C89" s="206" t="inlineStr">
        <is>
          <t>covers/day</t>
        </is>
      </c>
      <c r="H89" s="116" t="inlineStr">
        <is>
          <t>The most bowls a day the store can actually dry pasta for, on the tighter of the extruder window and the rack space.</t>
        </is>
      </c>
    </row>
    <row r="90" ht="25.5" customHeight="1" s="106">
      <c r="A90" s="134" t="inlineStr">
        <is>
          <t>TRUE DAILY CEILING</t>
        </is>
      </c>
      <c r="B90" s="201">
        <f>IF($B$89="","",MIN($B$37,$B$89))</f>
        <v/>
      </c>
      <c r="C90" s="206" t="inlineStr">
        <is>
          <t>covers/day</t>
        </is>
      </c>
      <c r="H90" s="116" t="inlineStr">
        <is>
          <t>The lower of what the service line can serve and what the pasta line can supply. THIS is the store's real capacity.</t>
        </is>
      </c>
    </row>
    <row r="91" ht="25.5" customHeight="1" s="106">
      <c r="A91" s="113" t="inlineStr">
        <is>
          <t>What binds it</t>
        </is>
      </c>
      <c r="B91" s="170">
        <f>IF($B$89="","",IF($B$89&lt;$B$37,"THE PASTA LINE BINDS - the store can serve faster than it can dry. Extend the extruder window or add racks.","THE SERVICE LINE BINDS - there is more dried pasta available than the line can plate. Add a wok or pack crew."))</f>
        <v/>
      </c>
      <c r="C91" s="110" t="n"/>
      <c r="D91" s="110" t="n"/>
      <c r="E91" s="110" t="n"/>
      <c r="F91" s="111" t="n"/>
      <c r="H91" s="116" t="inlineStr">
        <is>
          <t>Service line or pasta line. Fix the one that is named - the other has headroom.</t>
        </is>
      </c>
    </row>
    <row r="94" ht="15" customHeight="1" s="106">
      <c r="A94" s="128" t="inlineStr">
        <is>
          <t>THE FUEL BAR  -  SLUSHEE BOWLS vs FLAVOURS ON THE BOARD</t>
        </is>
      </c>
      <c r="B94" s="110" t="n"/>
      <c r="C94" s="110" t="n"/>
      <c r="D94" s="110" t="n"/>
      <c r="E94" s="110" t="n"/>
      <c r="F94" s="110" t="n"/>
      <c r="G94" s="110" t="n"/>
      <c r="H94" s="111" t="n"/>
    </row>
    <row r="95" ht="24" customHeight="1" s="106">
      <c r="A95" s="113" t="inlineStr">
        <is>
          <t>Slushee flavours specced</t>
        </is>
      </c>
      <c r="B95" s="152" t="n">
        <v>10</v>
      </c>
      <c r="H95" s="116" t="inlineStr">
        <is>
          <t>Every slushee line on 10 Core Menu BOM. Each one needs a bowl to be live.</t>
        </is>
      </c>
    </row>
    <row r="96" ht="24" customHeight="1" s="106">
      <c r="A96" s="113" t="inlineStr">
        <is>
          <t>Slushee machine bowls</t>
        </is>
      </c>
      <c r="B96" s="152">
        <f>$B$28</f>
        <v/>
      </c>
      <c r="H96" s="116" t="inlineStr">
        <is>
          <t>How many can be poured at once.</t>
        </is>
      </c>
    </row>
    <row r="97" ht="24" customHeight="1" s="106">
      <c r="A97" s="113" t="inlineStr">
        <is>
          <t>Flavours that must rotate</t>
        </is>
      </c>
      <c r="B97" s="152">
        <f>MAX(0,$B$95-$B$96)</f>
        <v/>
      </c>
      <c r="H97" s="116" t="inlineStr">
        <is>
          <t>The ones waiting for a bowl. Rooibos and Blue Bubblegum should be permanent - the SA hero and the kids anchor - and the rest rotate.</t>
        </is>
      </c>
    </row>
    <row r="98" ht="24" customHeight="1" s="106">
      <c r="A98" s="134" t="inlineStr">
        <is>
          <t>Fuel Bar read</t>
        </is>
      </c>
      <c r="B98" s="212">
        <f>IF($B$97=0,"All specced flavours can be live at once.",$B$97&amp;" flavour(s) rotate. Keep Rooibos and Blue Bubblegum permanent; rotate the rest by season.")</f>
        <v/>
      </c>
      <c r="C98" s="110" t="n"/>
      <c r="D98" s="110" t="n"/>
      <c r="E98" s="110" t="n"/>
      <c r="F98" s="111" t="n"/>
      <c r="H98" s="116" t="inlineStr">
        <is>
          <t>More flavours than bowls is not a problem, it is a rotation. It only becomes a problem if the board advertises a flavour that is not live.</t>
        </is>
      </c>
    </row>
    <row r="101" ht="19.4" customHeight="1" s="106">
      <c r="A101" s="135" t="inlineStr">
        <is>
          <t>Every number on this tab is a formula off the yellow variables at the top. Change the wok count from 4 to 3 and watch the binding station move; change the extruder window from 4 hours to 6 and watch the pasta ceiling lift. Nothing here is measured yet - boil time, wok cycle, pack time, rack density and extruder rate are all engineering estimates. One timed lunch service and one witnessed 10 kg batch replace every one of them, and that is the single most valuable morning's work left on this project.</t>
        </is>
      </c>
    </row>
  </sheetData>
  <sheetProtection selectLockedCells="0" selectUnlockedCells="0" sheet="1" objects="0" insertRows="1" insertHyperlinks="1" autoFilter="0" scenarios="0" formatColumns="0" deleteColumns="1" insertColumns="1" pivotTables="1" deleteRows="1" formatCells="0" formatRows="0" sort="0"/>
  <mergeCells count="18">
    <mergeCell ref="A1:H1"/>
    <mergeCell ref="A4:H4"/>
    <mergeCell ref="D39:H39"/>
    <mergeCell ref="A30:H30"/>
    <mergeCell ref="B91:F91"/>
    <mergeCell ref="A101:H101"/>
    <mergeCell ref="A2:H2"/>
    <mergeCell ref="A42:H42"/>
    <mergeCell ref="B67:F67"/>
    <mergeCell ref="A41:H41"/>
    <mergeCell ref="B98:F98"/>
    <mergeCell ref="B85:F85"/>
    <mergeCell ref="B71:F71"/>
    <mergeCell ref="A94:H94"/>
    <mergeCell ref="A75:H75"/>
    <mergeCell ref="B35:C35"/>
    <mergeCell ref="B88:F88"/>
    <mergeCell ref="A74:H7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9.xml><?xml version="1.0" encoding="utf-8"?>
<worksheet xmlns="http://schemas.openxmlformats.org/spreadsheetml/2006/main">
  <sheetPr>
    <tabColor rgb="00FFEB9C"/>
    <outlinePr summaryBelow="1" summaryRight="1"/>
    <pageSetUpPr/>
  </sheetPr>
  <dimension ref="A1:N42"/>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4" customWidth="1" style="106" min="1" max="1"/>
    <col width="20" customWidth="1" style="106" min="2" max="2"/>
    <col width="30" customWidth="1" style="106" min="3" max="3"/>
    <col width="8" customWidth="1" style="106" min="4" max="4"/>
    <col width="10" customWidth="1" style="106" min="5" max="5"/>
    <col width="24" customWidth="1" style="106" min="6" max="6"/>
    <col width="40" customWidth="1" style="106" min="7" max="7"/>
    <col width="30" customWidth="1" style="106" min="8" max="8"/>
    <col width="24" customWidth="1" style="106" min="9" max="9"/>
    <col width="28" customWidth="1" style="106" min="10" max="10"/>
    <col width="32" customWidth="1" style="106" min="11" max="11"/>
    <col width="8" customWidth="1" style="106" min="12" max="12"/>
    <col width="60" customWidth="1" style="106" min="13" max="13"/>
    <col width="28" customWidth="1" style="106" min="14" max="14"/>
  </cols>
  <sheetData>
    <row r="1" ht="20" customHeight="1" s="106">
      <c r="A1" s="213" t="inlineStr">
        <is>
          <t>SEASONAL SOURCES &amp; SOURCING PLAN  -  the 3-year drop calendar with where every flavour comes from</t>
        </is>
      </c>
    </row>
    <row r="2">
      <c r="A2" s="214" t="inlineStr">
        <is>
          <t>Source: Superhuman Docs 'Papa Pasta Concept Build' pages 02.02.1 Seasonal Drops - 3-Year Rotation, Year 1-3 (pulled 6 Sep 2026). Sourcing notes are the doc's plan; costs land via tab 20 once quotes arrive.</t>
        </is>
      </c>
    </row>
    <row r="4" ht="28" customHeight="1" s="106">
      <c r="A4" s="215" t="inlineStr">
        <is>
          <t>#</t>
        </is>
      </c>
      <c r="B4" s="215" t="inlineStr">
        <is>
          <t>Menu SKU</t>
        </is>
      </c>
      <c r="C4" s="215" t="inlineStr">
        <is>
          <t>Dish</t>
        </is>
      </c>
      <c r="D4" s="215" t="inlineStr">
        <is>
          <t>Year</t>
        </is>
      </c>
      <c r="E4" s="215" t="inlineStr">
        <is>
          <t>Season</t>
        </is>
      </c>
      <c r="F4" s="215" t="inlineStr">
        <is>
          <t>Drop</t>
        </is>
      </c>
      <c r="G4" s="215" t="inlineStr">
        <is>
          <t>Flavour Source (from concept doc)</t>
        </is>
      </c>
      <c r="H4" s="215" t="inlineStr">
        <is>
          <t>Hero Ingredient</t>
        </is>
      </c>
      <c r="I4" s="215" t="inlineStr">
        <is>
          <t>Pasta Shape(s)</t>
        </is>
      </c>
      <c r="J4" s="215" t="inlineStr">
        <is>
          <t>Base Sauce</t>
        </is>
      </c>
      <c r="K4" s="215" t="inlineStr">
        <is>
          <t>Special SKUs this Drop</t>
        </is>
      </c>
      <c r="L4" s="215" t="inlineStr">
        <is>
          <t>BOM Lines</t>
        </is>
      </c>
      <c r="M4" s="215" t="inlineStr">
        <is>
          <t>Sourcing Plan (from concept doc)</t>
        </is>
      </c>
      <c r="N4" s="215" t="inlineStr">
        <is>
          <t>Campaign Hook</t>
        </is>
      </c>
    </row>
    <row r="5" ht="30" customHeight="1" s="106">
      <c r="A5" s="216" t="n">
        <v>1</v>
      </c>
      <c r="B5" s="217" t="inlineStr">
        <is>
          <t>PP-SEA-Y1S-BOER</t>
        </is>
      </c>
      <c r="C5" s="217" t="inlineStr">
        <is>
          <t>Boerewors Beef Ragu</t>
        </is>
      </c>
      <c r="D5" s="216" t="inlineStr">
        <is>
          <t>Year 1</t>
        </is>
      </c>
      <c r="E5" s="216" t="inlineStr">
        <is>
          <t>Summer</t>
        </is>
      </c>
      <c r="F5" s="217" t="inlineStr">
        <is>
          <t>Braai &amp; Basil</t>
        </is>
      </c>
      <c r="G5" s="217" t="inlineStr">
        <is>
          <t>SA braai culture — coriander-forward boerewors spice</t>
        </is>
      </c>
      <c r="H5" s="217" t="inlineStr">
        <is>
          <t>Boerewors-spiced beef</t>
        </is>
      </c>
      <c r="I5" s="217" t="inlineStr">
        <is>
          <t>Rigatoni</t>
        </is>
      </c>
      <c r="J5" s="217" t="inlineStr">
        <is>
          <t>Papa's Bolognese base (CK - core)</t>
        </is>
      </c>
      <c r="K5" s="218" t="inlineStr">
        <is>
          <t>PP-BEEF-MINCE - Boerewors-spiced beef, PP-SPICE-BOEREWORS - Boerewors spice</t>
        </is>
      </c>
      <c r="L5" s="216" t="n">
        <v>8</v>
      </c>
      <c r="M5" s="217" t="inlineStr">
        <is>
          <t>Boerewors / peri-peri spice from SA blenders; summer tomatoes &amp; basil at seasonal low; mozzarella on existing contract.</t>
        </is>
      </c>
      <c r="N5" s="217" t="inlineStr">
        <is>
          <t>Braai season, in a bowl. Launches first week of December.</t>
        </is>
      </c>
    </row>
    <row r="6" ht="30" customHeight="1" s="106">
      <c r="A6" s="219" t="n">
        <v>2</v>
      </c>
      <c r="B6" s="220" t="inlineStr">
        <is>
          <t>PP-SEA-Y1S-PERI</t>
        </is>
      </c>
      <c r="C6" s="220" t="inlineStr">
        <is>
          <t>Peri-Peri Chargrilled Beef</t>
        </is>
      </c>
      <c r="D6" s="219" t="inlineStr">
        <is>
          <t>Year 1</t>
        </is>
      </c>
      <c r="E6" s="219" t="inlineStr">
        <is>
          <t>Summer</t>
        </is>
      </c>
      <c r="F6" s="220" t="inlineStr">
        <is>
          <t>Braai &amp; Basil</t>
        </is>
      </c>
      <c r="G6" s="220" t="inlineStr">
        <is>
          <t>SA braai culture — peri-peri (bird's-eye chilli)</t>
        </is>
      </c>
      <c r="H6" s="220" t="inlineStr">
        <is>
          <t>Peri-peri spice</t>
        </is>
      </c>
      <c r="I6" s="220" t="inlineStr">
        <is>
          <t>Casarecce</t>
        </is>
      </c>
      <c r="J6" s="220" t="inlineStr">
        <is>
          <t>Aglio e Olio Kit base (CK - core)</t>
        </is>
      </c>
      <c r="K6" s="221" t="inlineStr">
        <is>
          <t>PP-BEEF-SEASONED - Chargrilled beef, PP-SPICE-PERIPERI - Peri-peri spice</t>
        </is>
      </c>
      <c r="L6" s="219" t="n">
        <v>8</v>
      </c>
      <c r="M6" s="220" t="inlineStr">
        <is>
          <t>Boerewors / peri-peri spice from SA blenders.</t>
        </is>
      </c>
      <c r="N6" s="220" t="inlineStr">
        <is>
          <t>Braai season, in a bowl. Launches first week of December.</t>
        </is>
      </c>
    </row>
    <row r="7" ht="30" customHeight="1" s="106">
      <c r="A7" s="219" t="n">
        <v>3</v>
      </c>
      <c r="B7" s="220" t="inlineStr">
        <is>
          <t>PP-SEA-Y1S-CAPR</t>
        </is>
      </c>
      <c r="C7" s="220" t="inlineStr">
        <is>
          <t>Chilled Caprese Pasta Salad</t>
        </is>
      </c>
      <c r="D7" s="219" t="inlineStr">
        <is>
          <t>Year 1</t>
        </is>
      </c>
      <c r="E7" s="219" t="inlineStr">
        <is>
          <t>Summer</t>
        </is>
      </c>
      <c r="F7" s="220" t="inlineStr">
        <is>
          <t>Braai &amp; Basil</t>
        </is>
      </c>
      <c r="G7" s="220" t="inlineStr">
        <is>
          <t>Peak summer tomatoes and basil</t>
        </is>
      </c>
      <c r="H7" s="220" t="inlineStr">
        <is>
          <t>Vine tomatoes &amp; basil</t>
        </is>
      </c>
      <c r="I7" s="220" t="inlineStr">
        <is>
          <t>Fusilli</t>
        </is>
      </c>
      <c r="J7" s="220" t="inlineStr"/>
      <c r="K7" s="221" t="inlineStr">
        <is>
          <t>PP-VEG-CHERRYTOM - Vine / cherry tomatoes, PP-MOZZ - Mozzarella, PP-HERB-BASIL-FRESH - Fresh basil, PP-EVOO - Extra-virgin olive oil</t>
        </is>
      </c>
      <c r="L7" s="219" t="n">
        <v>10</v>
      </c>
      <c r="M7" s="220" t="inlineStr">
        <is>
          <t>Summer tomatoes &amp; basil at seasonal low; mozzarella on existing contract.</t>
        </is>
      </c>
      <c r="N7" s="220" t="inlineStr">
        <is>
          <t>Braai season, in a bowl. Launches first week of December.</t>
        </is>
      </c>
    </row>
    <row r="8" ht="30" customHeight="1" s="106">
      <c r="A8" s="216" t="n">
        <v>4</v>
      </c>
      <c r="B8" s="217" t="inlineStr">
        <is>
          <t>PP-SEA-Y1A-MUSH</t>
        </is>
      </c>
      <c r="C8" s="217" t="inlineStr">
        <is>
          <t>Wild Mushroom &amp; Thyme</t>
        </is>
      </c>
      <c r="D8" s="216" t="inlineStr">
        <is>
          <t>Year 1</t>
        </is>
      </c>
      <c r="E8" s="216" t="inlineStr">
        <is>
          <t>Autumn</t>
        </is>
      </c>
      <c r="F8" s="217" t="inlineStr">
        <is>
          <t>Harvest</t>
        </is>
      </c>
      <c r="G8" s="217" t="inlineStr">
        <is>
          <t>SA autumn harvest — mushrooms</t>
        </is>
      </c>
      <c r="H8" s="217" t="inlineStr">
        <is>
          <t>Mixed SA mushrooms</t>
        </is>
      </c>
      <c r="I8" s="217" t="inlineStr">
        <is>
          <t>Farmhouse, Fusilli</t>
        </is>
      </c>
      <c r="J8" s="217" t="inlineStr">
        <is>
          <t>Boscaiola base (CK - core)</t>
        </is>
      </c>
      <c r="K8" s="218" t="inlineStr">
        <is>
          <t>PP-KO-MSH-002 - King oyster mushrooms, PP-HERB-THYME - Fresh thyme</t>
        </is>
      </c>
      <c r="L8" s="216" t="n">
        <v>8</v>
      </c>
      <c r="M8" s="217" t="inlineStr">
        <is>
          <t>Mushrooms &amp; butternut at autumn peak; brisket a cheaper slow cut; sage the only new herb SKU.</t>
        </is>
      </c>
      <c r="N8" s="217" t="inlineStr">
        <is>
          <t>Autumn comfort, harvest flavours.</t>
        </is>
      </c>
    </row>
    <row r="9" ht="30" customHeight="1" s="106">
      <c r="A9" s="219" t="n">
        <v>5</v>
      </c>
      <c r="B9" s="220" t="inlineStr">
        <is>
          <t>PP-SEA-Y1A-BUTT</t>
        </is>
      </c>
      <c r="C9" s="220" t="inlineStr">
        <is>
          <t>Roast Butternut &amp; Sage</t>
        </is>
      </c>
      <c r="D9" s="219" t="inlineStr">
        <is>
          <t>Year 1</t>
        </is>
      </c>
      <c r="E9" s="219" t="inlineStr">
        <is>
          <t>Autumn</t>
        </is>
      </c>
      <c r="F9" s="220" t="inlineStr">
        <is>
          <t>Harvest</t>
        </is>
      </c>
      <c r="G9" s="220" t="inlineStr">
        <is>
          <t>SA autumn harvest — butternut</t>
        </is>
      </c>
      <c r="H9" s="220" t="inlineStr">
        <is>
          <t>Butternut &amp; sage</t>
        </is>
      </c>
      <c r="I9" s="220" t="inlineStr">
        <is>
          <t>Casarecce</t>
        </is>
      </c>
      <c r="J9" s="220" t="inlineStr">
        <is>
          <t>Creamy Alfredo base (CK - core)</t>
        </is>
      </c>
      <c r="K9" s="221" t="inlineStr">
        <is>
          <t>PP-VEG-BUTTERNUT - Roast butternut, PP-HERB-SAGE - Fresh sage</t>
        </is>
      </c>
      <c r="L9" s="219" t="n">
        <v>8</v>
      </c>
      <c r="M9" s="220" t="inlineStr">
        <is>
          <t>Mushrooms &amp; butternut at autumn peak; brisket a cheaper slow cut; sage the only new herb SKU.</t>
        </is>
      </c>
      <c r="N9" s="220" t="inlineStr">
        <is>
          <t>Autumn comfort, harvest flavours.</t>
        </is>
      </c>
    </row>
    <row r="10" ht="30" customHeight="1" s="106">
      <c r="A10" s="219" t="n">
        <v>6</v>
      </c>
      <c r="B10" s="220" t="inlineStr">
        <is>
          <t>PP-SEA-Y1A-BRIS</t>
        </is>
      </c>
      <c r="C10" s="220" t="inlineStr">
        <is>
          <t>Smoky Brisket Ragu</t>
        </is>
      </c>
      <c r="D10" s="219" t="inlineStr">
        <is>
          <t>Year 1</t>
        </is>
      </c>
      <c r="E10" s="219" t="inlineStr">
        <is>
          <t>Autumn</t>
        </is>
      </c>
      <c r="F10" s="220" t="inlineStr">
        <is>
          <t>Harvest</t>
        </is>
      </c>
      <c r="G10" s="220" t="inlineStr">
        <is>
          <t>SA autumn harvest — slow beef</t>
        </is>
      </c>
      <c r="H10" s="220" t="inlineStr">
        <is>
          <t>SA beef brisket</t>
        </is>
      </c>
      <c r="I10" s="220" t="inlineStr">
        <is>
          <t>Rigatoni</t>
        </is>
      </c>
      <c r="J10" s="220" t="inlineStr">
        <is>
          <t>Papa's Bolognese base (CK - core)</t>
        </is>
      </c>
      <c r="K10" s="221" t="inlineStr">
        <is>
          <t>PP-BEEF-BRISKET - Slow-braised brisket</t>
        </is>
      </c>
      <c r="L10" s="219" t="n">
        <v>7</v>
      </c>
      <c r="M10" s="220" t="inlineStr">
        <is>
          <t>Mushrooms &amp; butternut at autumn peak; brisket a cheaper slow cut; sage the only new herb SKU.</t>
        </is>
      </c>
      <c r="N10" s="220" t="inlineStr">
        <is>
          <t>Autumn comfort, harvest flavours.</t>
        </is>
      </c>
    </row>
    <row r="11" ht="30" customHeight="1" s="106">
      <c r="A11" s="216" t="n">
        <v>7</v>
      </c>
      <c r="B11" s="217" t="inlineStr">
        <is>
          <t>PP-SEA-Y1W-CURR</t>
        </is>
      </c>
      <c r="C11" s="217" t="inlineStr">
        <is>
          <t>Durban-Curry Beef</t>
        </is>
      </c>
      <c r="D11" s="216" t="inlineStr">
        <is>
          <t>Year 1</t>
        </is>
      </c>
      <c r="E11" s="216" t="inlineStr">
        <is>
          <t>Winter</t>
        </is>
      </c>
      <c r="F11" s="217" t="inlineStr">
        <is>
          <t>Potjie</t>
        </is>
      </c>
      <c r="G11" s="217" t="inlineStr">
        <is>
          <t>SA winter comfort — Durban curry</t>
        </is>
      </c>
      <c r="H11" s="217" t="inlineStr">
        <is>
          <t>Durban 'mother-in-law' masala</t>
        </is>
      </c>
      <c r="I11" s="217" t="inlineStr">
        <is>
          <t>Rigatoni</t>
        </is>
      </c>
      <c r="J11" s="217" t="inlineStr">
        <is>
          <t>Durban Curry-Tomato Base (CK - SEASONAL base)</t>
        </is>
      </c>
      <c r="K11" s="218" t="inlineStr">
        <is>
          <t>PP-BEEF-CHUNK - Curry beef</t>
        </is>
      </c>
      <c r="L11" s="216" t="n">
        <v>7</v>
      </c>
      <c r="M11" s="217" t="inlineStr">
        <is>
          <t>Durban masala blend; halaal biltong from certified supplier; slow cuts keep cost down.</t>
        </is>
      </c>
      <c r="N11" s="217" t="inlineStr">
        <is>
          <t>Winter potjie, twirled on a fork.</t>
        </is>
      </c>
    </row>
    <row r="12" ht="30" customHeight="1" s="106">
      <c r="A12" s="219" t="n">
        <v>8</v>
      </c>
      <c r="B12" s="220" t="inlineStr">
        <is>
          <t>PP-SEA-Y1W-BILT</t>
        </is>
      </c>
      <c r="C12" s="220" t="inlineStr">
        <is>
          <t>Three-Cheese &amp; Biltong Bake</t>
        </is>
      </c>
      <c r="D12" s="219" t="inlineStr">
        <is>
          <t>Year 1</t>
        </is>
      </c>
      <c r="E12" s="219" t="inlineStr">
        <is>
          <t>Winter</t>
        </is>
      </c>
      <c r="F12" s="220" t="inlineStr">
        <is>
          <t>Potjie</t>
        </is>
      </c>
      <c r="G12" s="220" t="inlineStr">
        <is>
          <t>SA winter comfort — biltong</t>
        </is>
      </c>
      <c r="H12" s="220" t="inlineStr">
        <is>
          <t>Biltong (halaal-certified)</t>
        </is>
      </c>
      <c r="I12" s="220" t="inlineStr">
        <is>
          <t>Rigatoni</t>
        </is>
      </c>
      <c r="J12" s="220" t="inlineStr">
        <is>
          <t>Quattro Formaggi base (CK - core)</t>
        </is>
      </c>
      <c r="K12" s="221" t="inlineStr">
        <is>
          <t>PP-BILTONG - Shaved biltong, PP-MOZZ - Mozzarella crumb top</t>
        </is>
      </c>
      <c r="L12" s="219" t="n">
        <v>7</v>
      </c>
      <c r="M12" s="220" t="inlineStr">
        <is>
          <t>Durban masala blend; halaal biltong from certified supplier; slow cuts keep cost down.</t>
        </is>
      </c>
      <c r="N12" s="220" t="inlineStr">
        <is>
          <t>Winter potjie, twirled on a fork.</t>
        </is>
      </c>
    </row>
    <row r="13" ht="30" customHeight="1" s="106">
      <c r="A13" s="219" t="n">
        <v>9</v>
      </c>
      <c r="B13" s="220" t="inlineStr">
        <is>
          <t>PP-SEA-Y1W-OXTL</t>
        </is>
      </c>
      <c r="C13" s="220" t="inlineStr">
        <is>
          <t>Slow-Braised Beef (Oxtail-style) Ragu</t>
        </is>
      </c>
      <c r="D13" s="219" t="inlineStr">
        <is>
          <t>Year 1</t>
        </is>
      </c>
      <c r="E13" s="219" t="inlineStr">
        <is>
          <t>Winter</t>
        </is>
      </c>
      <c r="F13" s="220" t="inlineStr">
        <is>
          <t>Potjie</t>
        </is>
      </c>
      <c r="G13" s="220" t="inlineStr">
        <is>
          <t>SA winter comfort — slow braises</t>
        </is>
      </c>
      <c r="H13" s="220" t="inlineStr">
        <is>
          <t>Deep winter braise (oxtail-style)</t>
        </is>
      </c>
      <c r="I13" s="220" t="inlineStr">
        <is>
          <t>Spaghetti</t>
        </is>
      </c>
      <c r="J13" s="220" t="inlineStr">
        <is>
          <t>Slow-Braised Oxtail-Style Ragu (CK - SEASONAL base)</t>
        </is>
      </c>
      <c r="K13" s="220" t="inlineStr">
        <is>
          <t>(existing core SKUs only)</t>
        </is>
      </c>
      <c r="L13" s="219" t="n">
        <v>6</v>
      </c>
      <c r="M13" s="220" t="inlineStr">
        <is>
          <t>Durban masala blend; halaal biltong from certified supplier; slow cuts keep cost down.</t>
        </is>
      </c>
      <c r="N13" s="220" t="inlineStr">
        <is>
          <t>Winter potjie, twirled on a fork.</t>
        </is>
      </c>
    </row>
    <row r="14" ht="30" customHeight="1" s="106">
      <c r="A14" s="216" t="n">
        <v>10</v>
      </c>
      <c r="B14" s="217" t="inlineStr">
        <is>
          <t>PP-SEA-Y1P-PEA</t>
        </is>
      </c>
      <c r="C14" s="217" t="inlineStr">
        <is>
          <t>Lemon &amp; Pea Spring</t>
        </is>
      </c>
      <c r="D14" s="216" t="inlineStr">
        <is>
          <t>Year 1</t>
        </is>
      </c>
      <c r="E14" s="216" t="inlineStr">
        <is>
          <t>Spring</t>
        </is>
      </c>
      <c r="F14" s="217" t="inlineStr">
        <is>
          <t>Green &amp; Gold</t>
        </is>
      </c>
      <c r="G14" s="217" t="inlineStr">
        <is>
          <t>Spring greens</t>
        </is>
      </c>
      <c r="H14" s="217" t="inlineStr">
        <is>
          <t>Spring peas &amp; lemon</t>
        </is>
      </c>
      <c r="I14" s="217" t="inlineStr">
        <is>
          <t>Chickpea Power Pro, Fusilli</t>
        </is>
      </c>
      <c r="J14" s="217" t="inlineStr">
        <is>
          <t>Aglio e Olio Kit base (CK - core)</t>
        </is>
      </c>
      <c r="K14" s="218" t="inlineStr">
        <is>
          <t>PP-VEG-PEAS - Peas, PP-VEG-LEMON - Lemon</t>
        </is>
      </c>
      <c r="L14" s="216" t="n">
        <v>8</v>
      </c>
      <c r="M14" s="217" t="inlineStr">
        <is>
          <t>Peas &amp; basil at spring peak; chakalaka spice blend the one new SKU.</t>
        </is>
      </c>
      <c r="N14" s="217" t="inlineStr">
        <is>
          <t>Fresh start, local heat.</t>
        </is>
      </c>
    </row>
    <row r="15" ht="30" customHeight="1" s="106">
      <c r="A15" s="219" t="n">
        <v>11</v>
      </c>
      <c r="B15" s="220" t="inlineStr">
        <is>
          <t>PP-SEA-Y1P-PEST</t>
        </is>
      </c>
      <c r="C15" s="220" t="inlineStr">
        <is>
          <t>Pesto &amp; Grilled Beef</t>
        </is>
      </c>
      <c r="D15" s="219" t="inlineStr">
        <is>
          <t>Year 1</t>
        </is>
      </c>
      <c r="E15" s="219" t="inlineStr">
        <is>
          <t>Spring</t>
        </is>
      </c>
      <c r="F15" s="220" t="inlineStr">
        <is>
          <t>Green &amp; Gold</t>
        </is>
      </c>
      <c r="G15" s="220" t="inlineStr">
        <is>
          <t>Spring greens — new-season basil</t>
        </is>
      </c>
      <c r="H15" s="220" t="inlineStr">
        <is>
          <t>New-season basil</t>
        </is>
      </c>
      <c r="I15" s="220" t="inlineStr">
        <is>
          <t>Protein+ Pro, Casarecce</t>
        </is>
      </c>
      <c r="J15" s="220" t="inlineStr">
        <is>
          <t>Basil Pesto base (CK - core)</t>
        </is>
      </c>
      <c r="K15" s="221" t="inlineStr">
        <is>
          <t>PP-BEEF-SEASONED - Grilled beef</t>
        </is>
      </c>
      <c r="L15" s="219" t="n">
        <v>7</v>
      </c>
      <c r="M15" s="220" t="inlineStr">
        <is>
          <t>Peas &amp; basil at spring peak; chakalaka spice blend the one new SKU.</t>
        </is>
      </c>
      <c r="N15" s="220" t="inlineStr">
        <is>
          <t>Fresh start, local heat.</t>
        </is>
      </c>
    </row>
    <row r="16" ht="30" customHeight="1" s="106">
      <c r="A16" s="219" t="n">
        <v>12</v>
      </c>
      <c r="B16" s="220" t="inlineStr">
        <is>
          <t>PP-SEA-Y1P-CHAK</t>
        </is>
      </c>
      <c r="C16" s="220" t="inlineStr">
        <is>
          <t>Chakalaka Arrabbiata</t>
        </is>
      </c>
      <c r="D16" s="219" t="inlineStr">
        <is>
          <t>Year 1</t>
        </is>
      </c>
      <c r="E16" s="219" t="inlineStr">
        <is>
          <t>Spring</t>
        </is>
      </c>
      <c r="F16" s="220" t="inlineStr">
        <is>
          <t>Green &amp; Gold</t>
        </is>
      </c>
      <c r="G16" s="220" t="inlineStr">
        <is>
          <t>Chakalaka brightness</t>
        </is>
      </c>
      <c r="H16" s="220" t="inlineStr">
        <is>
          <t>Chakalaka</t>
        </is>
      </c>
      <c r="I16" s="220" t="inlineStr">
        <is>
          <t>Casarecce</t>
        </is>
      </c>
      <c r="J16" s="220" t="inlineStr">
        <is>
          <t>Arrabbiata base (CK - core)</t>
        </is>
      </c>
      <c r="K16" s="220" t="inlineStr">
        <is>
          <t>(existing core SKUs only)</t>
        </is>
      </c>
      <c r="L16" s="219" t="n">
        <v>7</v>
      </c>
      <c r="M16" s="220" t="inlineStr">
        <is>
          <t>Peas &amp; basil at spring peak; chakalaka spice blend the one new SKU.</t>
        </is>
      </c>
      <c r="N16" s="220" t="inlineStr">
        <is>
          <t>Fresh start, local heat.</t>
        </is>
      </c>
    </row>
    <row r="17" ht="30" customHeight="1" s="106">
      <c r="A17" s="216" t="n">
        <v>13</v>
      </c>
      <c r="B17" s="217" t="inlineStr">
        <is>
          <t>PP-SEA-Y2S-PRWN</t>
        </is>
      </c>
      <c r="C17" s="217" t="inlineStr">
        <is>
          <t>Mozambican Peri-Peri Prawn</t>
        </is>
      </c>
      <c r="D17" s="216" t="inlineStr">
        <is>
          <t>Year 2</t>
        </is>
      </c>
      <c r="E17" s="216" t="inlineStr">
        <is>
          <t>Summer</t>
        </is>
      </c>
      <c r="F17" s="217" t="inlineStr">
        <is>
          <t>The Coast</t>
        </is>
      </c>
      <c r="G17" s="217" t="inlineStr">
        <is>
          <t>Indian-Ocean coast — peri-peri prawns</t>
        </is>
      </c>
      <c r="H17" s="217" t="inlineStr">
        <is>
          <t>LM-style peri-peri prawns (halaal LTO seafood)</t>
        </is>
      </c>
      <c r="I17" s="217" t="inlineStr">
        <is>
          <t>Spaghetti</t>
        </is>
      </c>
      <c r="J17" s="217" t="inlineStr">
        <is>
          <t>Aglio e Olio Kit base (CK - core)</t>
        </is>
      </c>
      <c r="K17" s="218" t="inlineStr">
        <is>
          <t>PP-PRAWN - Prawns (halaal LTO), PP-SPICE-PERIPERI - LM-style peri-peri</t>
        </is>
      </c>
      <c r="L17" s="216" t="n">
        <v>8</v>
      </c>
      <c r="M17" s="217" t="inlineStr">
        <is>
          <t>Prawns via managed cold-chain (time-boxed only); coconut cream + peri-peri are the new SKUs.</t>
        </is>
      </c>
      <c r="N17" s="217" t="inlineStr">
        <is>
          <t>Summer on the Indian Ocean.</t>
        </is>
      </c>
    </row>
    <row r="18" ht="30" customHeight="1" s="106">
      <c r="A18" s="219" t="n">
        <v>14</v>
      </c>
      <c r="B18" s="220" t="inlineStr">
        <is>
          <t>PP-SEA-Y2S-COCO</t>
        </is>
      </c>
      <c r="C18" s="220" t="inlineStr">
        <is>
          <t>Coconut-Lime Beef</t>
        </is>
      </c>
      <c r="D18" s="219" t="inlineStr">
        <is>
          <t>Year 2</t>
        </is>
      </c>
      <c r="E18" s="219" t="inlineStr">
        <is>
          <t>Summer</t>
        </is>
      </c>
      <c r="F18" s="220" t="inlineStr">
        <is>
          <t>The Coast</t>
        </is>
      </c>
      <c r="G18" s="220" t="inlineStr">
        <is>
          <t>Indian-Ocean coast — coconut, lime</t>
        </is>
      </c>
      <c r="H18" s="220" t="inlineStr">
        <is>
          <t>Coconut &amp; lime</t>
        </is>
      </c>
      <c r="I18" s="220" t="inlineStr">
        <is>
          <t>Casarecce</t>
        </is>
      </c>
      <c r="J18" s="220" t="inlineStr">
        <is>
          <t>Coconut-Cream Base (CK - SEASONAL base)</t>
        </is>
      </c>
      <c r="K18" s="221" t="inlineStr">
        <is>
          <t>PP-BEEF-SEASONED - Seasoned beef, PP-VEG-LEMON - Fresh lime at the pass</t>
        </is>
      </c>
      <c r="L18" s="219" t="n">
        <v>8</v>
      </c>
      <c r="M18" s="220" t="inlineStr">
        <is>
          <t>Prawns via managed cold-chain (time-boxed only); coconut cream + peri-peri are the new SKUs.</t>
        </is>
      </c>
      <c r="N18" s="220" t="inlineStr">
        <is>
          <t>Summer on the Indian Ocean.</t>
        </is>
      </c>
    </row>
    <row r="19" ht="30" customHeight="1" s="106">
      <c r="A19" s="219" t="n">
        <v>15</v>
      </c>
      <c r="B19" s="220" t="inlineStr">
        <is>
          <t>PP-SEA-Y2S-CITR</t>
        </is>
      </c>
      <c r="C19" s="220" t="inlineStr">
        <is>
          <t>Chilled Citrus &amp; Herb Salad</t>
        </is>
      </c>
      <c r="D19" s="219" t="inlineStr">
        <is>
          <t>Year 2</t>
        </is>
      </c>
      <c r="E19" s="219" t="inlineStr">
        <is>
          <t>Summer</t>
        </is>
      </c>
      <c r="F19" s="220" t="inlineStr">
        <is>
          <t>The Coast</t>
        </is>
      </c>
      <c r="G19" s="220" t="inlineStr">
        <is>
          <t>Indian-Ocean coast — citrus</t>
        </is>
      </c>
      <c r="H19" s="220" t="inlineStr">
        <is>
          <t>Summer citrus</t>
        </is>
      </c>
      <c r="I19" s="220" t="inlineStr">
        <is>
          <t>Fusilli</t>
        </is>
      </c>
      <c r="J19" s="220" t="inlineStr"/>
      <c r="K19" s="221" t="inlineStr">
        <is>
          <t>PP-VEG-LEMON - Citrus, PP-BA-MIC-001 - Basil microgreens, PP-VEG-SPINACH - Leaves, PP-DRESSING-LEMHERB - Citrus dressing</t>
        </is>
      </c>
      <c r="L19" s="219" t="n">
        <v>10</v>
      </c>
      <c r="M19" s="220" t="inlineStr">
        <is>
          <t>Prawns via managed cold-chain (time-boxed only); coconut cream + peri-peri are the new SKUs.</t>
        </is>
      </c>
      <c r="N19" s="220" t="inlineStr">
        <is>
          <t>Summer on the Indian Ocean.</t>
        </is>
      </c>
    </row>
    <row r="20" ht="30" customHeight="1" s="106">
      <c r="A20" s="216" t="n">
        <v>16</v>
      </c>
      <c r="B20" s="217" t="inlineStr">
        <is>
          <t>PP-SEA-Y2A-CURR</t>
        </is>
      </c>
      <c r="C20" s="217" t="inlineStr">
        <is>
          <t>Cape Malay Curry Beef</t>
        </is>
      </c>
      <c r="D20" s="216" t="inlineStr">
        <is>
          <t>Year 2</t>
        </is>
      </c>
      <c r="E20" s="216" t="inlineStr">
        <is>
          <t>Autumn</t>
        </is>
      </c>
      <c r="F20" s="217" t="inlineStr">
        <is>
          <t>Cape Malay</t>
        </is>
      </c>
      <c r="G20" s="217" t="inlineStr">
        <is>
          <t>Cape Malay kitchen — gentle curry</t>
        </is>
      </c>
      <c r="H20" s="217" t="inlineStr">
        <is>
          <t>Cape Malay masala</t>
        </is>
      </c>
      <c r="I20" s="217" t="inlineStr">
        <is>
          <t>Fusilli</t>
        </is>
      </c>
      <c r="J20" s="217" t="inlineStr">
        <is>
          <t>Cape Malay Curry-Cream Base (CK - SEASONAL base)</t>
        </is>
      </c>
      <c r="K20" s="218" t="inlineStr">
        <is>
          <t>PP-BEEF-CHUNK - Curry beef</t>
        </is>
      </c>
      <c r="L20" s="216" t="n">
        <v>7</v>
      </c>
      <c r="M20" s="217" t="inlineStr">
        <is>
          <t>Cape Malay spice + dried apricot the new SKUs; veg seasonal.</t>
        </is>
      </c>
      <c r="N20" s="217" t="inlineStr">
        <is>
          <t>Bo-Kaap, on a fork.</t>
        </is>
      </c>
    </row>
    <row r="21" ht="30" customHeight="1" s="106">
      <c r="A21" s="219" t="n">
        <v>17</v>
      </c>
      <c r="B21" s="220" t="inlineStr">
        <is>
          <t>PP-SEA-Y2A-APRI</t>
        </is>
      </c>
      <c r="C21" s="220" t="inlineStr">
        <is>
          <t>Apricot &amp; Spiced Beef</t>
        </is>
      </c>
      <c r="D21" s="219" t="inlineStr">
        <is>
          <t>Year 2</t>
        </is>
      </c>
      <c r="E21" s="219" t="inlineStr">
        <is>
          <t>Autumn</t>
        </is>
      </c>
      <c r="F21" s="220" t="inlineStr">
        <is>
          <t>Cape Malay</t>
        </is>
      </c>
      <c r="G21" s="220" t="inlineStr">
        <is>
          <t>Cape Malay kitchen — dried fruit</t>
        </is>
      </c>
      <c r="H21" s="220" t="inlineStr">
        <is>
          <t>Dried apricot</t>
        </is>
      </c>
      <c r="I21" s="220" t="inlineStr">
        <is>
          <t>Rigatoni</t>
        </is>
      </c>
      <c r="J21" s="220" t="inlineStr">
        <is>
          <t>Papa's Bolognese base (CK - core)</t>
        </is>
      </c>
      <c r="K21" s="221" t="inlineStr">
        <is>
          <t>PP-APRICOT-DRY - Dried apricot, PP-SPICE-CAPEMALAY - Cinnamon-spice blend</t>
        </is>
      </c>
      <c r="L21" s="219" t="n">
        <v>8</v>
      </c>
      <c r="M21" s="220" t="inlineStr">
        <is>
          <t>Cape Malay spice + dried apricot the new SKUs; veg seasonal.</t>
        </is>
      </c>
      <c r="N21" s="220" t="inlineStr">
        <is>
          <t>Bo-Kaap, on a fork.</t>
        </is>
      </c>
    </row>
    <row r="22" ht="30" customHeight="1" s="106">
      <c r="A22" s="219" t="n">
        <v>18</v>
      </c>
      <c r="B22" s="220" t="inlineStr">
        <is>
          <t>PP-SEA-Y2A-TURM</t>
        </is>
      </c>
      <c r="C22" s="220" t="inlineStr">
        <is>
          <t>Turmeric Roast Veg</t>
        </is>
      </c>
      <c r="D22" s="219" t="inlineStr">
        <is>
          <t>Year 2</t>
        </is>
      </c>
      <c r="E22" s="219" t="inlineStr">
        <is>
          <t>Autumn</t>
        </is>
      </c>
      <c r="F22" s="220" t="inlineStr">
        <is>
          <t>Cape Malay</t>
        </is>
      </c>
      <c r="G22" s="220" t="inlineStr">
        <is>
          <t>Cape Malay kitchen — turmeric</t>
        </is>
      </c>
      <c r="H22" s="220" t="inlineStr">
        <is>
          <t>Turmeric</t>
        </is>
      </c>
      <c r="I22" s="220" t="inlineStr">
        <is>
          <t>Chickpea Power Pro, Casarecce</t>
        </is>
      </c>
      <c r="J22" s="220" t="inlineStr">
        <is>
          <t>Aglio e Olio Kit base (CK - core)</t>
        </is>
      </c>
      <c r="K22" s="221" t="inlineStr">
        <is>
          <t>PP-VEG-BUTTERNUT - Roast butternut, PP-VEG-ZUCCHINI - Baby marrow, PP-SPICE-TURMERIC - Turmeric</t>
        </is>
      </c>
      <c r="L22" s="219" t="n">
        <v>9</v>
      </c>
      <c r="M22" s="220" t="inlineStr">
        <is>
          <t>Cape Malay spice + dried apricot the new SKUs; veg seasonal.</t>
        </is>
      </c>
      <c r="N22" s="220" t="inlineStr">
        <is>
          <t>Bo-Kaap, on a fork.</t>
        </is>
      </c>
    </row>
    <row r="23" ht="30" customHeight="1" s="106">
      <c r="A23" s="216" t="n">
        <v>19</v>
      </c>
      <c r="B23" s="217" t="inlineStr">
        <is>
          <t>PP-SEA-Y2W-HARI</t>
        </is>
      </c>
      <c r="C23" s="217" t="inlineStr">
        <is>
          <t>Harissa Slow-Beef</t>
        </is>
      </c>
      <c r="D23" s="216" t="inlineStr">
        <is>
          <t>Year 2</t>
        </is>
      </c>
      <c r="E23" s="216" t="inlineStr">
        <is>
          <t>Winter</t>
        </is>
      </c>
      <c r="F23" s="217" t="inlineStr">
        <is>
          <t>North Africa</t>
        </is>
      </c>
      <c r="G23" s="217" t="inlineStr">
        <is>
          <t>Maghreb &amp; Horn — harissa</t>
        </is>
      </c>
      <c r="H23" s="217" t="inlineStr">
        <is>
          <t>Harissa</t>
        </is>
      </c>
      <c r="I23" s="217" t="inlineStr">
        <is>
          <t>Rigatoni</t>
        </is>
      </c>
      <c r="J23" s="217" t="inlineStr">
        <is>
          <t>Napoletana (Pomodoro) base (CK - core)</t>
        </is>
      </c>
      <c r="K23" s="218" t="inlineStr">
        <is>
          <t>PP-BEEF-SHRED - Slow beef, PP-SPICE-HARISSA - Harissa</t>
        </is>
      </c>
      <c r="L23" s="216" t="n">
        <v>8</v>
      </c>
      <c r="M23" s="217" t="inlineStr">
        <is>
          <t>Harissa / berbere / chermoula spice imports — one hero spice per dish, inside the ≤2-SKU guardrail.</t>
        </is>
      </c>
      <c r="N23" s="217" t="inlineStr">
        <is>
          <t>Warm up, North-African style.</t>
        </is>
      </c>
    </row>
    <row r="24" ht="30" customHeight="1" s="106">
      <c r="A24" s="219" t="n">
        <v>20</v>
      </c>
      <c r="B24" s="220" t="inlineStr">
        <is>
          <t>PP-SEA-Y2W-BERB</t>
        </is>
      </c>
      <c r="C24" s="220" t="inlineStr">
        <is>
          <t>Berbere Spiced Tomato</t>
        </is>
      </c>
      <c r="D24" s="219" t="inlineStr">
        <is>
          <t>Year 2</t>
        </is>
      </c>
      <c r="E24" s="219" t="inlineStr">
        <is>
          <t>Winter</t>
        </is>
      </c>
      <c r="F24" s="220" t="inlineStr">
        <is>
          <t>North Africa</t>
        </is>
      </c>
      <c r="G24" s="220" t="inlineStr">
        <is>
          <t>Maghreb &amp; Horn — berbere</t>
        </is>
      </c>
      <c r="H24" s="220" t="inlineStr">
        <is>
          <t>Ethiopian berbere</t>
        </is>
      </c>
      <c r="I24" s="220" t="inlineStr">
        <is>
          <t>Casarecce</t>
        </is>
      </c>
      <c r="J24" s="220" t="inlineStr">
        <is>
          <t>Arrabbiata base (CK - core)</t>
        </is>
      </c>
      <c r="K24" s="221" t="inlineStr">
        <is>
          <t>PP-SPICE-BERBERE - Berbere</t>
        </is>
      </c>
      <c r="L24" s="219" t="n">
        <v>7</v>
      </c>
      <c r="M24" s="220" t="inlineStr">
        <is>
          <t>Harissa / berbere / chermoula spice imports — one hero spice per dish, inside the ≤2-SKU guardrail.</t>
        </is>
      </c>
      <c r="N24" s="220" t="inlineStr">
        <is>
          <t>Warm up, North-African style.</t>
        </is>
      </c>
    </row>
    <row r="25" ht="30" customHeight="1" s="106">
      <c r="A25" s="219" t="n">
        <v>21</v>
      </c>
      <c r="B25" s="220" t="inlineStr">
        <is>
          <t>PP-SEA-Y2W-CHER</t>
        </is>
      </c>
      <c r="C25" s="220" t="inlineStr">
        <is>
          <t>Chermoula Beef</t>
        </is>
      </c>
      <c r="D25" s="219" t="inlineStr">
        <is>
          <t>Year 2</t>
        </is>
      </c>
      <c r="E25" s="219" t="inlineStr">
        <is>
          <t>Winter</t>
        </is>
      </c>
      <c r="F25" s="220" t="inlineStr">
        <is>
          <t>North Africa</t>
        </is>
      </c>
      <c r="G25" s="220" t="inlineStr">
        <is>
          <t>Maghreb &amp; Horn — chermoula</t>
        </is>
      </c>
      <c r="H25" s="220" t="inlineStr">
        <is>
          <t>Chermoula (coriander, cumin, lemon)</t>
        </is>
      </c>
      <c r="I25" s="220" t="inlineStr">
        <is>
          <t>Casarecce</t>
        </is>
      </c>
      <c r="J25" s="220" t="inlineStr">
        <is>
          <t>Aglio e Olio Kit base (CK - core)</t>
        </is>
      </c>
      <c r="K25" s="221" t="inlineStr">
        <is>
          <t>PP-BEEF-SEASONED - Seasoned beef</t>
        </is>
      </c>
      <c r="L25" s="219" t="n">
        <v>8</v>
      </c>
      <c r="M25" s="220" t="inlineStr">
        <is>
          <t>Harissa / berbere / chermoula spice imports — one hero spice per dish, inside the ≤2-SKU guardrail.</t>
        </is>
      </c>
      <c r="N25" s="220" t="inlineStr">
        <is>
          <t>Warm up, North-African style.</t>
        </is>
      </c>
    </row>
    <row r="26" ht="30" customHeight="1" s="106">
      <c r="A26" s="216" t="n">
        <v>22</v>
      </c>
      <c r="B26" s="217" t="inlineStr">
        <is>
          <t>PP-SEA-Y2P-JOLL</t>
        </is>
      </c>
      <c r="C26" s="217" t="inlineStr">
        <is>
          <t>Jollof-Spiced Tomato</t>
        </is>
      </c>
      <c r="D26" s="216" t="inlineStr">
        <is>
          <t>Year 2</t>
        </is>
      </c>
      <c r="E26" s="216" t="inlineStr">
        <is>
          <t>Spring</t>
        </is>
      </c>
      <c r="F26" s="217" t="inlineStr">
        <is>
          <t>West Africa</t>
        </is>
      </c>
      <c r="G26" s="217" t="inlineStr">
        <is>
          <t>West-African staples — jollof</t>
        </is>
      </c>
      <c r="H26" s="217" t="inlineStr">
        <is>
          <t>Jollof spice</t>
        </is>
      </c>
      <c r="I26" s="217" t="inlineStr">
        <is>
          <t>Rigatoni</t>
        </is>
      </c>
      <c r="J26" s="217" t="inlineStr">
        <is>
          <t>Napoletana (Pomodoro) base (CK - core)</t>
        </is>
      </c>
      <c r="K26" s="218" t="inlineStr">
        <is>
          <t>PP-BEEF-MINCE - Beef, PP-SPICE-JOLLOF - Jollof spice</t>
        </is>
      </c>
      <c r="L26" s="216" t="n">
        <v>8</v>
      </c>
      <c r="M26" s="217" t="inlineStr">
        <is>
          <t>Jollof / suya / groundnut the new SKUs; strict peanut-allergen control.</t>
        </is>
      </c>
      <c r="N26" s="217" t="inlineStr">
        <is>
          <t>West Africa's greatest hits.</t>
        </is>
      </c>
    </row>
    <row r="27" ht="30" customHeight="1" s="106">
      <c r="A27" s="219" t="n">
        <v>23</v>
      </c>
      <c r="B27" s="220" t="inlineStr">
        <is>
          <t>PP-SEA-Y2P-SUYA</t>
        </is>
      </c>
      <c r="C27" s="220" t="inlineStr">
        <is>
          <t>Suya Grilled Beef</t>
        </is>
      </c>
      <c r="D27" s="219" t="inlineStr">
        <is>
          <t>Year 2</t>
        </is>
      </c>
      <c r="E27" s="219" t="inlineStr">
        <is>
          <t>Spring</t>
        </is>
      </c>
      <c r="F27" s="220" t="inlineStr">
        <is>
          <t>West Africa</t>
        </is>
      </c>
      <c r="G27" s="220" t="inlineStr">
        <is>
          <t>West-African staples — suya</t>
        </is>
      </c>
      <c r="H27" s="220" t="inlineStr">
        <is>
          <t>Suya (yaji) spice</t>
        </is>
      </c>
      <c r="I27" s="220" t="inlineStr">
        <is>
          <t>Protein+ Pro, Spaghetti</t>
        </is>
      </c>
      <c r="J27" s="220" t="inlineStr">
        <is>
          <t>Aglio e Olio Kit base (CK - core)</t>
        </is>
      </c>
      <c r="K27" s="221" t="inlineStr">
        <is>
          <t>PP-BEEF-SEASONED - Suya-rubbed beef, PP-SPICE-SUYA - Suya (yaji) spice</t>
        </is>
      </c>
      <c r="L27" s="219" t="n">
        <v>8</v>
      </c>
      <c r="M27" s="220" t="inlineStr">
        <is>
          <t>Jollof / suya / groundnut the new SKUs; strict peanut-allergen control.</t>
        </is>
      </c>
      <c r="N27" s="220" t="inlineStr">
        <is>
          <t>West Africa's greatest hits.</t>
        </is>
      </c>
    </row>
    <row r="28" ht="30" customHeight="1" s="106">
      <c r="A28" s="219" t="n">
        <v>24</v>
      </c>
      <c r="B28" s="220" t="inlineStr">
        <is>
          <t>PP-SEA-Y2P-GNUT</t>
        </is>
      </c>
      <c r="C28" s="220" t="inlineStr">
        <is>
          <t>Groundnut Creamy Beef</t>
        </is>
      </c>
      <c r="D28" s="219" t="inlineStr">
        <is>
          <t>Year 2</t>
        </is>
      </c>
      <c r="E28" s="219" t="inlineStr">
        <is>
          <t>Spring</t>
        </is>
      </c>
      <c r="F28" s="220" t="inlineStr">
        <is>
          <t>West Africa</t>
        </is>
      </c>
      <c r="G28" s="220" t="inlineStr">
        <is>
          <t>West-African staples — groundnut</t>
        </is>
      </c>
      <c r="H28" s="220" t="inlineStr">
        <is>
          <t>Groundnut (peanut allergen — clearly flagged, see 02.05)</t>
        </is>
      </c>
      <c r="I28" s="220" t="inlineStr">
        <is>
          <t>Fusilli</t>
        </is>
      </c>
      <c r="J28" s="220" t="inlineStr">
        <is>
          <t>Groundnut Cream Base (CK - SEASONAL base)</t>
        </is>
      </c>
      <c r="K28" s="221" t="inlineStr">
        <is>
          <t>PP-BEEF-SEASONED - Seasoned beef</t>
        </is>
      </c>
      <c r="L28" s="219" t="n">
        <v>7</v>
      </c>
      <c r="M28" s="220" t="inlineStr">
        <is>
          <t>Jollof / suya / groundnut the new SKUs; strict peanut-allergen control.</t>
        </is>
      </c>
      <c r="N28" s="220" t="inlineStr">
        <is>
          <t>West Africa's greatest hits.</t>
        </is>
      </c>
    </row>
    <row r="29" ht="30" customHeight="1" s="106">
      <c r="A29" s="216" t="n">
        <v>25</v>
      </c>
      <c r="B29" s="217" t="inlineStr">
        <is>
          <t>PP-SEA-Y3S-PRWN</t>
        </is>
      </c>
      <c r="C29" s="217" t="inlineStr">
        <is>
          <t>Lemon-Garlic Prawn</t>
        </is>
      </c>
      <c r="D29" s="216" t="inlineStr">
        <is>
          <t>Year 3</t>
        </is>
      </c>
      <c r="E29" s="216" t="inlineStr">
        <is>
          <t>Summer</t>
        </is>
      </c>
      <c r="F29" s="217" t="inlineStr">
        <is>
          <t>Mediterranean</t>
        </is>
      </c>
      <c r="G29" s="217" t="inlineStr">
        <is>
          <t>Med summer pantry — seafood</t>
        </is>
      </c>
      <c r="H29" s="217" t="inlineStr">
        <is>
          <t>Lemon-garlic prawns (halaal LTO seafood)</t>
        </is>
      </c>
      <c r="I29" s="217" t="inlineStr">
        <is>
          <t>Spaghetti</t>
        </is>
      </c>
      <c r="J29" s="217" t="inlineStr">
        <is>
          <t>Aglio e Olio Kit base (CK - core)</t>
        </is>
      </c>
      <c r="K29" s="218" t="inlineStr">
        <is>
          <t>PP-PRAWN - Prawns (halaal LTO), PP-VEG-LEMON - Lemon</t>
        </is>
      </c>
      <c r="L29" s="216" t="n">
        <v>8</v>
      </c>
      <c r="M29" s="217" t="inlineStr">
        <is>
          <t>Olives &amp; sundried tomato are shelf-stable (low risk); prawns time-boxed via managed cold-chain.</t>
        </is>
      </c>
      <c r="N29" s="217" t="inlineStr">
        <is>
          <t>A Mediterranean summer.</t>
        </is>
      </c>
    </row>
    <row r="30" ht="30" customHeight="1" s="106">
      <c r="A30" s="219" t="n">
        <v>26</v>
      </c>
      <c r="B30" s="220" t="inlineStr">
        <is>
          <t>PP-SEA-Y3S-SUND</t>
        </is>
      </c>
      <c r="C30" s="220" t="inlineStr">
        <is>
          <t>Sundried Tomato &amp; Olive</t>
        </is>
      </c>
      <c r="D30" s="219" t="inlineStr">
        <is>
          <t>Year 3</t>
        </is>
      </c>
      <c r="E30" s="219" t="inlineStr">
        <is>
          <t>Summer</t>
        </is>
      </c>
      <c r="F30" s="220" t="inlineStr">
        <is>
          <t>Mediterranean</t>
        </is>
      </c>
      <c r="G30" s="220" t="inlineStr">
        <is>
          <t>Med summer pantry — olives, sundried tomato</t>
        </is>
      </c>
      <c r="H30" s="220" t="inlineStr">
        <is>
          <t>Sundried tomato &amp; olive</t>
        </is>
      </c>
      <c r="I30" s="220" t="inlineStr">
        <is>
          <t>Chickpea Power Pro, Casarecce</t>
        </is>
      </c>
      <c r="J30" s="220" t="inlineStr">
        <is>
          <t>Aglio e Olio Kit base (CK - core)</t>
        </is>
      </c>
      <c r="K30" s="221" t="inlineStr">
        <is>
          <t>PP-VEG-SUNDRIEDTOM - Sun-dried tomatoes, PP-VEG-OLIVE - Olives</t>
        </is>
      </c>
      <c r="L30" s="219" t="n">
        <v>8</v>
      </c>
      <c r="M30" s="220" t="inlineStr">
        <is>
          <t>Olives &amp; sundried tomato are shelf-stable (low risk); prawns time-boxed via managed cold-chain.</t>
        </is>
      </c>
      <c r="N30" s="220" t="inlineStr">
        <is>
          <t>A Mediterranean summer.</t>
        </is>
      </c>
    </row>
    <row r="31" ht="30" customHeight="1" s="106">
      <c r="A31" s="219" t="n">
        <v>27</v>
      </c>
      <c r="B31" s="220" t="inlineStr">
        <is>
          <t>PP-SEA-Y3S-CAPR</t>
        </is>
      </c>
      <c r="C31" s="220" t="inlineStr">
        <is>
          <t>Caprese 2.0 (chilled)</t>
        </is>
      </c>
      <c r="D31" s="219" t="inlineStr">
        <is>
          <t>Year 3</t>
        </is>
      </c>
      <c r="E31" s="219" t="inlineStr">
        <is>
          <t>Summer</t>
        </is>
      </c>
      <c r="F31" s="220" t="inlineStr">
        <is>
          <t>Mediterranean</t>
        </is>
      </c>
      <c r="G31" s="220" t="inlineStr">
        <is>
          <t>Med summer pantry — buffalo mozzarella</t>
        </is>
      </c>
      <c r="H31" s="220" t="inlineStr">
        <is>
          <t>Buffalo mozzarella</t>
        </is>
      </c>
      <c r="I31" s="220" t="inlineStr">
        <is>
          <t>Fusilli</t>
        </is>
      </c>
      <c r="J31" s="220" t="inlineStr"/>
      <c r="K31" s="221" t="inlineStr">
        <is>
          <t>PP-MOZZ - Buffalo mozzarella, PP-VEG-CHERRYTOM - Heirloom tomato, PP-HERB-BASIL-FRESH - Fresh basil, PP-EVOO - Extra-virgin olive oil</t>
        </is>
      </c>
      <c r="L31" s="219" t="n">
        <v>10</v>
      </c>
      <c r="M31" s="220" t="inlineStr">
        <is>
          <t>Olives &amp; sundried tomato are shelf-stable (low risk); prawns time-boxed via managed cold-chain.</t>
        </is>
      </c>
      <c r="N31" s="220" t="inlineStr">
        <is>
          <t>A Mediterranean summer.</t>
        </is>
      </c>
    </row>
    <row r="32" ht="30" customHeight="1" s="106">
      <c r="A32" s="216" t="n">
        <v>28</v>
      </c>
      <c r="B32" s="217" t="inlineStr">
        <is>
          <t>PP-SEA-Y3A-BBQ</t>
        </is>
      </c>
      <c r="C32" s="217" t="inlineStr">
        <is>
          <t>Smoky BBQ Pulled-Beef</t>
        </is>
      </c>
      <c r="D32" s="216" t="inlineStr">
        <is>
          <t>Year 3</t>
        </is>
      </c>
      <c r="E32" s="216" t="inlineStr">
        <is>
          <t>Autumn</t>
        </is>
      </c>
      <c r="F32" s="217" t="inlineStr">
        <is>
          <t>Americana</t>
        </is>
      </c>
      <c r="G32" s="217" t="inlineStr">
        <is>
          <t>US comfort food — BBQ</t>
        </is>
      </c>
      <c r="H32" s="217" t="inlineStr">
        <is>
          <t>Alcohol-free smoky BBQ sauce</t>
        </is>
      </c>
      <c r="I32" s="217" t="inlineStr">
        <is>
          <t>Rigatoni</t>
        </is>
      </c>
      <c r="J32" s="217" t="inlineStr">
        <is>
          <t>Napoletana (Pomodoro) base (CK - core)</t>
        </is>
      </c>
      <c r="K32" s="218" t="inlineStr">
        <is>
          <t>PP-BEEF-SHRED - Pulled beef, PP-BBQ-SAUCE - BBQ sauce (alcohol-free)</t>
        </is>
      </c>
      <c r="L32" s="216" t="n">
        <v>8</v>
      </c>
      <c r="M32" s="217" t="inlineStr">
        <is>
          <t>BBQ / buffalo / Cajun sauce SKUs (all alcohol-free); peppers seasonal.</t>
        </is>
      </c>
      <c r="N32" s="217" t="inlineStr">
        <is>
          <t>Big American comfort.</t>
        </is>
      </c>
    </row>
    <row r="33" ht="30" customHeight="1" s="106">
      <c r="A33" s="219" t="n">
        <v>29</v>
      </c>
      <c r="B33" s="220" t="inlineStr">
        <is>
          <t>PP-SEA-Y3A-BUFF</t>
        </is>
      </c>
      <c r="C33" s="220" t="inlineStr">
        <is>
          <t>Buffalo Beef Mac Bake</t>
        </is>
      </c>
      <c r="D33" s="219" t="inlineStr">
        <is>
          <t>Year 3</t>
        </is>
      </c>
      <c r="E33" s="219" t="inlineStr">
        <is>
          <t>Autumn</t>
        </is>
      </c>
      <c r="F33" s="220" t="inlineStr">
        <is>
          <t>Americana</t>
        </is>
      </c>
      <c r="G33" s="220" t="inlineStr">
        <is>
          <t>US comfort food — buffalo</t>
        </is>
      </c>
      <c r="H33" s="220" t="inlineStr">
        <is>
          <t>Buffalo sauce</t>
        </is>
      </c>
      <c r="I33" s="220" t="inlineStr">
        <is>
          <t>Rigatoni</t>
        </is>
      </c>
      <c r="J33" s="220" t="inlineStr">
        <is>
          <t>Quattro Formaggi base (CK - core)</t>
        </is>
      </c>
      <c r="K33" s="221" t="inlineStr">
        <is>
          <t>PP-BEEF-SEASONED - Buffalo beef, PP-BUFFALO-SAUCE - Buffalo sauce, PP-MOZZ - Mozzarella top</t>
        </is>
      </c>
      <c r="L33" s="219" t="n">
        <v>8</v>
      </c>
      <c r="M33" s="220" t="inlineStr">
        <is>
          <t>BBQ / buffalo / Cajun sauce SKUs (all alcohol-free); peppers seasonal.</t>
        </is>
      </c>
      <c r="N33" s="220" t="inlineStr">
        <is>
          <t>Big American comfort.</t>
        </is>
      </c>
    </row>
    <row r="34" ht="30" customHeight="1" s="106">
      <c r="A34" s="219" t="n">
        <v>30</v>
      </c>
      <c r="B34" s="220" t="inlineStr">
        <is>
          <t>PP-SEA-Y3A-CAJU</t>
        </is>
      </c>
      <c r="C34" s="220" t="inlineStr">
        <is>
          <t>Cajun Beef &amp; Pepper</t>
        </is>
      </c>
      <c r="D34" s="219" t="inlineStr">
        <is>
          <t>Year 3</t>
        </is>
      </c>
      <c r="E34" s="219" t="inlineStr">
        <is>
          <t>Autumn</t>
        </is>
      </c>
      <c r="F34" s="220" t="inlineStr">
        <is>
          <t>Americana</t>
        </is>
      </c>
      <c r="G34" s="220" t="inlineStr">
        <is>
          <t>US comfort food — Cajun</t>
        </is>
      </c>
      <c r="H34" s="220" t="inlineStr">
        <is>
          <t>Cajun spice</t>
        </is>
      </c>
      <c r="I34" s="220" t="inlineStr">
        <is>
          <t>Fusilli</t>
        </is>
      </c>
      <c r="J34" s="220" t="inlineStr">
        <is>
          <t>Creamy Alfredo base (CK - core)</t>
        </is>
      </c>
      <c r="K34" s="221" t="inlineStr">
        <is>
          <t>PP-BEEF-SEASONED - Cajun beef, PP-VEG-PEPPER - Peppers, PP-SPICE-CAJUN - Cajun spice</t>
        </is>
      </c>
      <c r="L34" s="219" t="n">
        <v>9</v>
      </c>
      <c r="M34" s="220" t="inlineStr">
        <is>
          <t>BBQ / buffalo / Cajun sauce SKUs (all alcohol-free); peppers seasonal.</t>
        </is>
      </c>
      <c r="N34" s="220" t="inlineStr">
        <is>
          <t>Big American comfort.</t>
        </is>
      </c>
    </row>
    <row r="35" ht="30" customHeight="1" s="106">
      <c r="A35" s="216" t="n">
        <v>31</v>
      </c>
      <c r="B35" s="217" t="inlineStr">
        <is>
          <t>PP-SEA-Y3W-CURR</t>
        </is>
      </c>
      <c r="C35" s="217" t="inlineStr">
        <is>
          <t>Durban-Curry Beef (return)</t>
        </is>
      </c>
      <c r="D35" s="216" t="inlineStr">
        <is>
          <t>Year 3</t>
        </is>
      </c>
      <c r="E35" s="216" t="inlineStr">
        <is>
          <t>Winter</t>
        </is>
      </c>
      <c r="F35" s="217" t="inlineStr">
        <is>
          <t>Fan Favourites</t>
        </is>
      </c>
      <c r="G35" s="217" t="inlineStr">
        <is>
          <t>The guests — top-voted past drops</t>
        </is>
      </c>
      <c r="H35" s="217" t="inlineStr">
        <is>
          <t>Return drop: Durban-Curry Beef, the most-requested bring-back</t>
        </is>
      </c>
      <c r="I35" s="217" t="inlineStr">
        <is>
          <t>Rigatoni</t>
        </is>
      </c>
      <c r="J35" s="217" t="inlineStr">
        <is>
          <t>Durban Curry-Tomato Base (CK - SEASONAL base)</t>
        </is>
      </c>
      <c r="K35" s="218" t="inlineStr">
        <is>
          <t>PP-BEEF-CHUNK - Curry beef</t>
        </is>
      </c>
      <c r="L35" s="216" t="n">
        <v>7</v>
      </c>
      <c r="M35" s="217" t="inlineStr">
        <is>
          <t>Bring-backs reuse proven SKUs (near-zero R&amp;D); truffle oil is the single premium add.</t>
        </is>
      </c>
      <c r="N35" s="217" t="inlineStr">
        <is>
          <t>You voted — they're back.</t>
        </is>
      </c>
    </row>
    <row r="36" ht="30" customHeight="1" s="106">
      <c r="A36" s="219" t="n">
        <v>32</v>
      </c>
      <c r="B36" s="220" t="inlineStr">
        <is>
          <t>PP-SEA-Y3W-BOER</t>
        </is>
      </c>
      <c r="C36" s="220" t="inlineStr">
        <is>
          <t>Boerewors Beef Ragu (return)</t>
        </is>
      </c>
      <c r="D36" s="219" t="inlineStr">
        <is>
          <t>Year 3</t>
        </is>
      </c>
      <c r="E36" s="219" t="inlineStr">
        <is>
          <t>Winter</t>
        </is>
      </c>
      <c r="F36" s="220" t="inlineStr">
        <is>
          <t>Fan Favourites</t>
        </is>
      </c>
      <c r="G36" s="220" t="inlineStr">
        <is>
          <t>The guests — top-voted past drops</t>
        </is>
      </c>
      <c r="H36" s="220" t="inlineStr">
        <is>
          <t>Return drop: Boerewors Beef Ragù, Year-1 favourite back by demand</t>
        </is>
      </c>
      <c r="I36" s="220" t="inlineStr">
        <is>
          <t>Rigatoni</t>
        </is>
      </c>
      <c r="J36" s="220" t="inlineStr">
        <is>
          <t>Papa's Bolognese base (CK - core)</t>
        </is>
      </c>
      <c r="K36" s="221" t="inlineStr">
        <is>
          <t>PP-BEEF-MINCE - Boerewors-spiced beef, PP-SPICE-BOEREWORS - Boerewors spice</t>
        </is>
      </c>
      <c r="L36" s="219" t="n">
        <v>8</v>
      </c>
      <c r="M36" s="220" t="inlineStr">
        <is>
          <t>Bring-backs reuse proven SKUs (near-zero R&amp;D); truffle oil is the single premium add.</t>
        </is>
      </c>
      <c r="N36" s="220" t="inlineStr">
        <is>
          <t>You voted — they're back.</t>
        </is>
      </c>
    </row>
    <row r="37" ht="30" customHeight="1" s="106">
      <c r="A37" s="219" t="n">
        <v>33</v>
      </c>
      <c r="B37" s="220" t="inlineStr">
        <is>
          <t>PP-SEA-Y3W-TRUF</t>
        </is>
      </c>
      <c r="C37" s="220" t="inlineStr">
        <is>
          <t>Truffle-Mushroom Boscaiola</t>
        </is>
      </c>
      <c r="D37" s="219" t="inlineStr">
        <is>
          <t>Year 3</t>
        </is>
      </c>
      <c r="E37" s="219" t="inlineStr">
        <is>
          <t>Winter</t>
        </is>
      </c>
      <c r="F37" s="220" t="inlineStr">
        <is>
          <t>Fan Favourites</t>
        </is>
      </c>
      <c r="G37" s="220" t="inlineStr">
        <is>
          <t>Premium new — truffle</t>
        </is>
      </c>
      <c r="H37" s="220" t="inlineStr">
        <is>
          <t>Truffle-Mushroom Boscaiola</t>
        </is>
      </c>
      <c r="I37" s="220" t="inlineStr">
        <is>
          <t>Farmhouse, Fusilli</t>
        </is>
      </c>
      <c r="J37" s="220" t="inlineStr">
        <is>
          <t>Boscaiola base (CK - core)</t>
        </is>
      </c>
      <c r="K37" s="221" t="inlineStr">
        <is>
          <t>PP-KO-MSH-002 - King oyster mushrooms, PP-TRUFFLE-OIL - Truffle oil</t>
        </is>
      </c>
      <c r="L37" s="219" t="n">
        <v>8</v>
      </c>
      <c r="M37" s="220" t="inlineStr">
        <is>
          <t>Bring-backs reuse proven SKUs (near-zero R&amp;D); truffle oil is the single premium add.</t>
        </is>
      </c>
      <c r="N37" s="220" t="inlineStr">
        <is>
          <t>You voted — they're back.</t>
        </is>
      </c>
    </row>
    <row r="38" ht="30" customHeight="1" s="106">
      <c r="A38" s="216" t="n">
        <v>34</v>
      </c>
      <c r="B38" s="217" t="inlineStr">
        <is>
          <t>PP-SEA-Y3P-PEA</t>
        </is>
      </c>
      <c r="C38" s="217" t="inlineStr">
        <is>
          <t>Pea, Mint &amp; Ricotta</t>
        </is>
      </c>
      <c r="D38" s="216" t="inlineStr">
        <is>
          <t>Year 3</t>
        </is>
      </c>
      <c r="E38" s="216" t="inlineStr">
        <is>
          <t>Spring</t>
        </is>
      </c>
      <c r="F38" s="217" t="inlineStr">
        <is>
          <t>The Garden</t>
        </is>
      </c>
      <c r="G38" s="217" t="inlineStr">
        <is>
          <t>Spring vegetables — peas, mint, ricotta</t>
        </is>
      </c>
      <c r="H38" s="217" t="inlineStr">
        <is>
          <t>Peas &amp; mint with ricotta</t>
        </is>
      </c>
      <c r="I38" s="217" t="inlineStr">
        <is>
          <t>Fusilli</t>
        </is>
      </c>
      <c r="J38" s="217" t="inlineStr">
        <is>
          <t>Creamy Alfredo base (CK - core)</t>
        </is>
      </c>
      <c r="K38" s="218" t="inlineStr">
        <is>
          <t>PP-VEG-PEAS - Peas, PP-RICOTTA - Ricotta, PP-HERB-MINT - Fresh mint</t>
        </is>
      </c>
      <c r="L38" s="216" t="n">
        <v>9</v>
      </c>
      <c r="M38" s="217" t="inlineStr">
        <is>
          <t>Spring veg at seasonal peak; ricotta the one new SKU.</t>
        </is>
      </c>
      <c r="N38" s="217" t="inlineStr">
        <is>
          <t>The garden, on a plate.</t>
        </is>
      </c>
    </row>
    <row r="39" ht="30" customHeight="1" s="106">
      <c r="A39" s="219" t="n">
        <v>35</v>
      </c>
      <c r="B39" s="220" t="inlineStr">
        <is>
          <t>PP-SEA-Y3P-PRIM</t>
        </is>
      </c>
      <c r="C39" s="220" t="inlineStr">
        <is>
          <t>Roast Veg Primavera</t>
        </is>
      </c>
      <c r="D39" s="219" t="inlineStr">
        <is>
          <t>Year 3</t>
        </is>
      </c>
      <c r="E39" s="219" t="inlineStr">
        <is>
          <t>Spring</t>
        </is>
      </c>
      <c r="F39" s="220" t="inlineStr">
        <is>
          <t>The Garden</t>
        </is>
      </c>
      <c r="G39" s="220" t="inlineStr">
        <is>
          <t>Spring vegetables</t>
        </is>
      </c>
      <c r="H39" s="220" t="inlineStr">
        <is>
          <t>Spring veg</t>
        </is>
      </c>
      <c r="I39" s="220" t="inlineStr">
        <is>
          <t>Chickpea Power Pro, Casarecce</t>
        </is>
      </c>
      <c r="J39" s="220" t="inlineStr">
        <is>
          <t>Aglio e Olio Kit base (CK - core)</t>
        </is>
      </c>
      <c r="K39" s="221" t="inlineStr">
        <is>
          <t>PP-VEG-ZUCCHINI - Baby marrow, PP-VEG-PEPPER - Peppers, PP-VEG-GREENBEAN - Green beans</t>
        </is>
      </c>
      <c r="L39" s="219" t="n">
        <v>9</v>
      </c>
      <c r="M39" s="220" t="inlineStr">
        <is>
          <t>Spring veg at seasonal peak; ricotta the one new SKU.</t>
        </is>
      </c>
      <c r="N39" s="220" t="inlineStr">
        <is>
          <t>The garden, on a plate.</t>
        </is>
      </c>
    </row>
    <row r="40" ht="30" customHeight="1" s="106">
      <c r="A40" s="219" t="n">
        <v>36</v>
      </c>
      <c r="B40" s="220" t="inlineStr">
        <is>
          <t>PP-SEA-Y3P-ASPA</t>
        </is>
      </c>
      <c r="C40" s="220" t="inlineStr">
        <is>
          <t>Pesto &amp; Asparagus</t>
        </is>
      </c>
      <c r="D40" s="219" t="inlineStr">
        <is>
          <t>Year 3</t>
        </is>
      </c>
      <c r="E40" s="219" t="inlineStr">
        <is>
          <t>Spring</t>
        </is>
      </c>
      <c r="F40" s="220" t="inlineStr">
        <is>
          <t>The Garden</t>
        </is>
      </c>
      <c r="G40" s="220" t="inlineStr">
        <is>
          <t>Spring vegetables — asparagus</t>
        </is>
      </c>
      <c r="H40" s="220" t="inlineStr">
        <is>
          <t>Asparagus</t>
        </is>
      </c>
      <c r="I40" s="220" t="inlineStr">
        <is>
          <t>Protein+ Pro, Casarecce</t>
        </is>
      </c>
      <c r="J40" s="220" t="inlineStr">
        <is>
          <t>Basil Pesto base (CK - core)</t>
        </is>
      </c>
      <c r="K40" s="221" t="inlineStr">
        <is>
          <t>PP-VEG-ASPARAGUS - Asparagus</t>
        </is>
      </c>
      <c r="L40" s="219" t="n">
        <v>7</v>
      </c>
      <c r="M40" s="220" t="inlineStr">
        <is>
          <t>Spring veg at seasonal peak; ricotta the one new SKU.</t>
        </is>
      </c>
      <c r="N40" s="220" t="inlineStr">
        <is>
          <t>The garden, on a plate.</t>
        </is>
      </c>
    </row>
    <row r="42">
      <c r="A42" s="121" t="inlineStr">
        <is>
          <t>Legend:</t>
        </is>
      </c>
      <c r="C42" s="222" t="inlineStr">
        <is>
          <t>Amber = special SKUs this drop needs (procure ahead via 15 RFQ Tracker). All other SKUs are existing core items.</t>
        </is>
      </c>
    </row>
  </sheetData>
  <pageMargins left="0.75" right="0.75" top="1" bottom="1" header="0.5" footer="0.5"/>
</worksheet>
</file>

<file path=xl/worksheets/sheet20.xml><?xml version="1.0" encoding="utf-8"?>
<worksheet xmlns="http://schemas.openxmlformats.org/spreadsheetml/2006/main">
  <sheetPr>
    <tabColor rgb="00FFEB9C"/>
    <outlinePr summaryBelow="1" summaryRight="1"/>
    <pageSetUpPr/>
  </sheetPr>
  <dimension ref="A1:L141"/>
  <sheetViews>
    <sheetView showGridLines="0" workbookViewId="0">
      <pane ySplit="4" topLeftCell="A5" activePane="bottomLeft" state="frozen"/>
      <selection pane="bottomLeft" activeCell="A1" sqref="A1"/>
    </sheetView>
  </sheetViews>
  <sheetFormatPr baseColWidth="8" defaultRowHeight="15"/>
  <cols>
    <col width="5" customWidth="1" style="106" min="1" max="1"/>
    <col width="20" customWidth="1" style="106" min="2" max="2"/>
    <col width="16" customWidth="1" style="106" min="3" max="3"/>
    <col width="22" customWidth="1" style="106" min="4" max="4"/>
    <col width="34" customWidth="1" style="106" min="5" max="5"/>
    <col width="10" customWidth="1" style="106" min="6" max="6"/>
    <col width="13" customWidth="1" style="106" min="7" max="7"/>
    <col width="16" customWidth="1" style="106" min="8" max="8"/>
    <col width="18" customWidth="1" style="106" min="9" max="9"/>
  </cols>
  <sheetData>
    <row r="1" ht="20" customHeight="1" s="106">
      <c r="A1" s="213" t="inlineStr">
        <is>
          <t>QUOTE COVERAGE  -  which SKUs still need a supplier quote</t>
        </is>
      </c>
      <c r="K1" s="121" t="inlineStr">
        <is>
          <t>SKUs priced:</t>
        </is>
      </c>
      <c r="L1">
        <f>COUNTIF(G5:G141,"PRICED")</f>
        <v/>
      </c>
    </row>
    <row r="2">
      <c r="A2" s="214" t="inlineStr">
        <is>
          <t>Live view over 04 SKU Master and 05 Packaging Master. Priced = USABLE Cost per Base Unit is a number. Enter quotes on 04/05 (or 17 Quote Log) - this tab updates itself.</t>
        </is>
      </c>
      <c r="K2" s="121" t="inlineStr">
        <is>
          <t>SKUs needing quotes:</t>
        </is>
      </c>
      <c r="L2">
        <f>COUNTIF(G5:G141,"NEEDS QUOTE")</f>
        <v/>
      </c>
    </row>
    <row r="3">
      <c r="K3" s="121" t="inlineStr">
        <is>
          <t>Coverage %:</t>
        </is>
      </c>
      <c r="L3" s="223">
        <f>IFERROR(L1/(L1+L2),0)</f>
        <v/>
      </c>
    </row>
    <row r="4" ht="28" customHeight="1" s="106">
      <c r="A4" s="215" t="inlineStr">
        <is>
          <t>#</t>
        </is>
      </c>
      <c r="B4" s="215" t="inlineStr">
        <is>
          <t>Master Tab</t>
        </is>
      </c>
      <c r="C4" s="215" t="inlineStr">
        <is>
          <t>Category</t>
        </is>
      </c>
      <c r="D4" s="215" t="inlineStr">
        <is>
          <t>SKU</t>
        </is>
      </c>
      <c r="E4" s="215" t="inlineStr">
        <is>
          <t>Description</t>
        </is>
      </c>
      <c r="F4" s="215" t="inlineStr">
        <is>
          <t>Base Unit</t>
        </is>
      </c>
      <c r="G4" s="215" t="inlineStr">
        <is>
          <t>Priced?</t>
        </is>
      </c>
      <c r="H4" s="215" t="inlineStr">
        <is>
          <t>USABLE Cost per Base Unit</t>
        </is>
      </c>
      <c r="I4" s="215" t="inlineStr">
        <is>
          <t>Cheapest Supplier</t>
        </is>
      </c>
    </row>
    <row r="5">
      <c r="A5" s="224" t="n">
        <v>1</v>
      </c>
      <c r="B5" s="225" t="inlineStr">
        <is>
          <t>04 SKU Master</t>
        </is>
      </c>
      <c r="C5" s="225" t="inlineStr">
        <is>
          <t>Flour / Dough</t>
        </is>
      </c>
      <c r="D5" s="225" t="inlineStr">
        <is>
          <t>PP-WHEAT-SA</t>
        </is>
      </c>
      <c r="E5" s="225" t="inlineStr">
        <is>
          <t>SA stone-milled whole wheat flour</t>
        </is>
      </c>
      <c r="F5" s="225" t="inlineStr">
        <is>
          <t>g</t>
        </is>
      </c>
      <c r="G5" s="226">
        <f>IF(ISNUMBER(INDEX('04 SKU Master'!$AM$5:$AM$165,MATCH($D5,'04 SKU Master'!$A$5:$A$165,0))),"PRICED","NEEDS QUOTE")</f>
        <v/>
      </c>
      <c r="H5" s="225">
        <f>IF($G5="PRICED",INDEX('04 SKU Master'!$AM$5:$AM$165,MATCH($D5,'04 SKU Master'!$A$5:$A$165,0)),"")</f>
        <v/>
      </c>
      <c r="I5" s="225">
        <f>IF($G5="PRICED",INDEX('04 SKU Master'!$AN$5:$AN$165,MATCH($D5,'04 SKU Master'!$A$5:$A$165,0)),"")</f>
        <v/>
      </c>
    </row>
    <row r="6">
      <c r="A6" s="224" t="n">
        <v>2</v>
      </c>
      <c r="B6" s="225" t="inlineStr">
        <is>
          <t>04 SKU Master</t>
        </is>
      </c>
      <c r="C6" s="225" t="inlineStr">
        <is>
          <t>Flour / Dough</t>
        </is>
      </c>
      <c r="D6" s="225" t="inlineStr">
        <is>
          <t>PP-DURUM-WHOLE</t>
        </is>
      </c>
      <c r="E6" s="225" t="inlineStr">
        <is>
          <t>Whole durum wheat flour</t>
        </is>
      </c>
      <c r="F6" s="225" t="inlineStr">
        <is>
          <t>g</t>
        </is>
      </c>
      <c r="G6" s="226">
        <f>IF(ISNUMBER(INDEX('04 SKU Master'!$AM$5:$AM$165,MATCH($D6,'04 SKU Master'!$A$5:$A$165,0))),"PRICED","NEEDS QUOTE")</f>
        <v/>
      </c>
      <c r="H6" s="225">
        <f>IF($G6="PRICED",INDEX('04 SKU Master'!$AM$5:$AM$165,MATCH($D6,'04 SKU Master'!$A$5:$A$165,0)),"")</f>
        <v/>
      </c>
      <c r="I6" s="225">
        <f>IF($G6="PRICED",INDEX('04 SKU Master'!$AN$5:$AN$165,MATCH($D6,'04 SKU Master'!$A$5:$A$165,0)),"")</f>
        <v/>
      </c>
    </row>
    <row r="7">
      <c r="A7" s="224" t="n">
        <v>3</v>
      </c>
      <c r="B7" s="225" t="inlineStr">
        <is>
          <t>04 SKU Master</t>
        </is>
      </c>
      <c r="C7" s="225" t="inlineStr">
        <is>
          <t>Flour / Dough</t>
        </is>
      </c>
      <c r="D7" s="225" t="inlineStr">
        <is>
          <t>PP-SORGHUM-WHITE</t>
        </is>
      </c>
      <c r="E7" s="225" t="inlineStr">
        <is>
          <t>SA white sorghum flour</t>
        </is>
      </c>
      <c r="F7" s="225" t="inlineStr">
        <is>
          <t>g</t>
        </is>
      </c>
      <c r="G7" s="226">
        <f>IF(ISNUMBER(INDEX('04 SKU Master'!$AM$5:$AM$165,MATCH($D7,'04 SKU Master'!$A$5:$A$165,0))),"PRICED","NEEDS QUOTE")</f>
        <v/>
      </c>
      <c r="H7" s="225">
        <f>IF($G7="PRICED",INDEX('04 SKU Master'!$AM$5:$AM$165,MATCH($D7,'04 SKU Master'!$A$5:$A$165,0)),"")</f>
        <v/>
      </c>
      <c r="I7" s="225">
        <f>IF($G7="PRICED",INDEX('04 SKU Master'!$AN$5:$AN$165,MATCH($D7,'04 SKU Master'!$A$5:$A$165,0)),"")</f>
        <v/>
      </c>
    </row>
    <row r="8">
      <c r="A8" s="224" t="n">
        <v>4</v>
      </c>
      <c r="B8" s="225" t="inlineStr">
        <is>
          <t>04 SKU Master</t>
        </is>
      </c>
      <c r="C8" s="225" t="inlineStr">
        <is>
          <t>Flour / Dough</t>
        </is>
      </c>
      <c r="D8" s="225" t="inlineStr">
        <is>
          <t>PP-BAOBAB</t>
        </is>
      </c>
      <c r="E8" s="225" t="inlineStr">
        <is>
          <t>SA baobab fruit powder</t>
        </is>
      </c>
      <c r="F8" s="225" t="inlineStr">
        <is>
          <t>g</t>
        </is>
      </c>
      <c r="G8" s="226">
        <f>IF(ISNUMBER(INDEX('04 SKU Master'!$AM$5:$AM$165,MATCH($D8,'04 SKU Master'!$A$5:$A$165,0))),"PRICED","NEEDS QUOTE")</f>
        <v/>
      </c>
      <c r="H8" s="225">
        <f>IF($G8="PRICED",INDEX('04 SKU Master'!$AM$5:$AM$165,MATCH($D8,'04 SKU Master'!$A$5:$A$165,0)),"")</f>
        <v/>
      </c>
      <c r="I8" s="225">
        <f>IF($G8="PRICED",INDEX('04 SKU Master'!$AN$5:$AN$165,MATCH($D8,'04 SKU Master'!$A$5:$A$165,0)),"")</f>
        <v/>
      </c>
    </row>
    <row r="9">
      <c r="A9" s="224" t="n">
        <v>5</v>
      </c>
      <c r="B9" s="225" t="inlineStr">
        <is>
          <t>04 SKU Master</t>
        </is>
      </c>
      <c r="C9" s="225" t="inlineStr">
        <is>
          <t>Flour / Dough</t>
        </is>
      </c>
      <c r="D9" s="225" t="inlineStr">
        <is>
          <t>PP-FLAX-GOLDEN</t>
        </is>
      </c>
      <c r="E9" s="225" t="inlineStr">
        <is>
          <t>Golden flaxseed, cold-milled</t>
        </is>
      </c>
      <c r="F9" s="225" t="inlineStr">
        <is>
          <t>g</t>
        </is>
      </c>
      <c r="G9" s="226">
        <f>IF(ISNUMBER(INDEX('04 SKU Master'!$AM$5:$AM$165,MATCH($D9,'04 SKU Master'!$A$5:$A$165,0))),"PRICED","NEEDS QUOTE")</f>
        <v/>
      </c>
      <c r="H9" s="225">
        <f>IF($G9="PRICED",INDEX('04 SKU Master'!$AM$5:$AM$165,MATCH($D9,'04 SKU Master'!$A$5:$A$165,0)),"")</f>
        <v/>
      </c>
      <c r="I9" s="225">
        <f>IF($G9="PRICED",INDEX('04 SKU Master'!$AN$5:$AN$165,MATCH($D9,'04 SKU Master'!$A$5:$A$165,0)),"")</f>
        <v/>
      </c>
    </row>
    <row r="10">
      <c r="A10" s="224" t="n">
        <v>6</v>
      </c>
      <c r="B10" s="225" t="inlineStr">
        <is>
          <t>04 SKU Master</t>
        </is>
      </c>
      <c r="C10" s="225" t="inlineStr">
        <is>
          <t>Flour / Dough</t>
        </is>
      </c>
      <c r="D10" s="225" t="inlineStr">
        <is>
          <t>PP-LUPIN-SWEET</t>
        </is>
      </c>
      <c r="E10" s="225" t="inlineStr">
        <is>
          <t>SA sweet lupin flour, fermented</t>
        </is>
      </c>
      <c r="F10" s="225" t="inlineStr">
        <is>
          <t>g</t>
        </is>
      </c>
      <c r="G10" s="226">
        <f>IF(ISNUMBER(INDEX('04 SKU Master'!$AM$5:$AM$165,MATCH($D10,'04 SKU Master'!$A$5:$A$165,0))),"PRICED","NEEDS QUOTE")</f>
        <v/>
      </c>
      <c r="H10" s="225">
        <f>IF($G10="PRICED",INDEX('04 SKU Master'!$AM$5:$AM$165,MATCH($D10,'04 SKU Master'!$A$5:$A$165,0)),"")</f>
        <v/>
      </c>
      <c r="I10" s="225">
        <f>IF($G10="PRICED",INDEX('04 SKU Master'!$AN$5:$AN$165,MATCH($D10,'04 SKU Master'!$A$5:$A$165,0)),"")</f>
        <v/>
      </c>
    </row>
    <row r="11">
      <c r="A11" s="224" t="n">
        <v>7</v>
      </c>
      <c r="B11" s="225" t="inlineStr">
        <is>
          <t>04 SKU Master</t>
        </is>
      </c>
      <c r="C11" s="225" t="inlineStr">
        <is>
          <t>Flour / Dough</t>
        </is>
      </c>
      <c r="D11" s="225" t="inlineStr">
        <is>
          <t>PP-INULIN-HP</t>
        </is>
      </c>
      <c r="E11" s="225" t="inlineStr">
        <is>
          <t>Inulin HP (DP &gt;=23)</t>
        </is>
      </c>
      <c r="F11" s="225" t="inlineStr">
        <is>
          <t>g</t>
        </is>
      </c>
      <c r="G11" s="226">
        <f>IF(ISNUMBER(INDEX('04 SKU Master'!$AM$5:$AM$165,MATCH($D11,'04 SKU Master'!$A$5:$A$165,0))),"PRICED","NEEDS QUOTE")</f>
        <v/>
      </c>
      <c r="H11" s="225">
        <f>IF($G11="PRICED",INDEX('04 SKU Master'!$AM$5:$AM$165,MATCH($D11,'04 SKU Master'!$A$5:$A$165,0)),"")</f>
        <v/>
      </c>
      <c r="I11" s="225">
        <f>IF($G11="PRICED",INDEX('04 SKU Master'!$AN$5:$AN$165,MATCH($D11,'04 SKU Master'!$A$5:$A$165,0)),"")</f>
        <v/>
      </c>
    </row>
    <row r="12">
      <c r="A12" s="224" t="n">
        <v>8</v>
      </c>
      <c r="B12" s="225" t="inlineStr">
        <is>
          <t>04 SKU Master</t>
        </is>
      </c>
      <c r="C12" s="225" t="inlineStr">
        <is>
          <t>Flour / Dough</t>
        </is>
      </c>
      <c r="D12" s="225" t="inlineStr">
        <is>
          <t>PP-CHICKPEA-KABULI</t>
        </is>
      </c>
      <c r="E12" s="225" t="inlineStr">
        <is>
          <t>Kabuli chickpea flour, roasted + fermented</t>
        </is>
      </c>
      <c r="F12" s="225" t="inlineStr">
        <is>
          <t>g</t>
        </is>
      </c>
      <c r="G12" s="226">
        <f>IF(ISNUMBER(INDEX('04 SKU Master'!$AM$5:$AM$165,MATCH($D12,'04 SKU Master'!$A$5:$A$165,0))),"PRICED","NEEDS QUOTE")</f>
        <v/>
      </c>
      <c r="H12" s="225">
        <f>IF($G12="PRICED",INDEX('04 SKU Master'!$AM$5:$AM$165,MATCH($D12,'04 SKU Master'!$A$5:$A$165,0)),"")</f>
        <v/>
      </c>
      <c r="I12" s="225">
        <f>IF($G12="PRICED",INDEX('04 SKU Master'!$AN$5:$AN$165,MATCH($D12,'04 SKU Master'!$A$5:$A$165,0)),"")</f>
        <v/>
      </c>
    </row>
    <row r="13">
      <c r="A13" s="224" t="n">
        <v>9</v>
      </c>
      <c r="B13" s="225" t="inlineStr">
        <is>
          <t>04 SKU Master</t>
        </is>
      </c>
      <c r="C13" s="225" t="inlineStr">
        <is>
          <t>Flour / Dough</t>
        </is>
      </c>
      <c r="D13" s="225" t="inlineStr">
        <is>
          <t>PP-MUSHROOM-LIGHT</t>
        </is>
      </c>
      <c r="E13" s="225" t="inlineStr">
        <is>
          <t>Light mushroom powder (umami layer)</t>
        </is>
      </c>
      <c r="F13" s="225" t="inlineStr">
        <is>
          <t>g</t>
        </is>
      </c>
      <c r="G13" s="226">
        <f>IF(ISNUMBER(INDEX('04 SKU Master'!$AM$5:$AM$165,MATCH($D13,'04 SKU Master'!$A$5:$A$165,0))),"PRICED","NEEDS QUOTE")</f>
        <v/>
      </c>
      <c r="H13" s="225">
        <f>IF($G13="PRICED",INDEX('04 SKU Master'!$AM$5:$AM$165,MATCH($D13,'04 SKU Master'!$A$5:$A$165,0)),"")</f>
        <v/>
      </c>
      <c r="I13" s="225">
        <f>IF($G13="PRICED",INDEX('04 SKU Master'!$AN$5:$AN$165,MATCH($D13,'04 SKU Master'!$A$5:$A$165,0)),"")</f>
        <v/>
      </c>
    </row>
    <row r="14">
      <c r="A14" s="224" t="n">
        <v>10</v>
      </c>
      <c r="B14" s="225" t="inlineStr">
        <is>
          <t>04 SKU Master</t>
        </is>
      </c>
      <c r="C14" s="225" t="inlineStr">
        <is>
          <t>Flour / Dough</t>
        </is>
      </c>
      <c r="D14" s="225" t="inlineStr">
        <is>
          <t>PP-OYSTER-POWDER</t>
        </is>
      </c>
      <c r="E14" s="225" t="inlineStr">
        <is>
          <t>Oyster mushroom powder (The Local Farmer)</t>
        </is>
      </c>
      <c r="F14" s="225" t="inlineStr">
        <is>
          <t>g</t>
        </is>
      </c>
      <c r="G14" s="226">
        <f>IF(ISNUMBER(INDEX('04 SKU Master'!$AM$5:$AM$165,MATCH($D14,'04 SKU Master'!$A$5:$A$165,0))),"PRICED","NEEDS QUOTE")</f>
        <v/>
      </c>
      <c r="H14" s="225">
        <f>IF($G14="PRICED",INDEX('04 SKU Master'!$AM$5:$AM$165,MATCH($D14,'04 SKU Master'!$A$5:$A$165,0)),"")</f>
        <v/>
      </c>
      <c r="I14" s="225">
        <f>IF($G14="PRICED",INDEX('04 SKU Master'!$AN$5:$AN$165,MATCH($D14,'04 SKU Master'!$A$5:$A$165,0)),"")</f>
        <v/>
      </c>
    </row>
    <row r="15">
      <c r="A15" s="224" t="n">
        <v>11</v>
      </c>
      <c r="B15" s="225" t="inlineStr">
        <is>
          <t>04 SKU Master</t>
        </is>
      </c>
      <c r="C15" s="225" t="inlineStr">
        <is>
          <t>Flour / Dough</t>
        </is>
      </c>
      <c r="D15" s="225" t="inlineStr">
        <is>
          <t>PP-LIONSMANE-POWDER</t>
        </is>
      </c>
      <c r="E15" s="225" t="inlineStr">
        <is>
          <t>Lion's mane powder (The Local Farmer)</t>
        </is>
      </c>
      <c r="F15" s="225" t="inlineStr">
        <is>
          <t>g</t>
        </is>
      </c>
      <c r="G15" s="226">
        <f>IF(ISNUMBER(INDEX('04 SKU Master'!$AM$5:$AM$165,MATCH($D15,'04 SKU Master'!$A$5:$A$165,0))),"PRICED","NEEDS QUOTE")</f>
        <v/>
      </c>
      <c r="H15" s="225">
        <f>IF($G15="PRICED",INDEX('04 SKU Master'!$AM$5:$AM$165,MATCH($D15,'04 SKU Master'!$A$5:$A$165,0)),"")</f>
        <v/>
      </c>
      <c r="I15" s="225">
        <f>IF($G15="PRICED",INDEX('04 SKU Master'!$AN$5:$AN$165,MATCH($D15,'04 SKU Master'!$A$5:$A$165,0)),"")</f>
        <v/>
      </c>
    </row>
    <row r="16">
      <c r="A16" s="224" t="n">
        <v>12</v>
      </c>
      <c r="B16" s="225" t="inlineStr">
        <is>
          <t>04 SKU Master</t>
        </is>
      </c>
      <c r="C16" s="225" t="inlineStr">
        <is>
          <t>Flour / Dough</t>
        </is>
      </c>
      <c r="D16" s="225" t="inlineStr">
        <is>
          <t>PP-MICROGREEN-POWDER</t>
        </is>
      </c>
      <c r="E16" s="225" t="inlineStr">
        <is>
          <t>Microgreen powder (The Local Farmer)</t>
        </is>
      </c>
      <c r="F16" s="225" t="inlineStr">
        <is>
          <t>g</t>
        </is>
      </c>
      <c r="G16" s="226">
        <f>IF(ISNUMBER(INDEX('04 SKU Master'!$AM$5:$AM$165,MATCH($D16,'04 SKU Master'!$A$5:$A$165,0))),"PRICED","NEEDS QUOTE")</f>
        <v/>
      </c>
      <c r="H16" s="225">
        <f>IF($G16="PRICED",INDEX('04 SKU Master'!$AM$5:$AM$165,MATCH($D16,'04 SKU Master'!$A$5:$A$165,0)),"")</f>
        <v/>
      </c>
      <c r="I16" s="225">
        <f>IF($G16="PRICED",INDEX('04 SKU Master'!$AN$5:$AN$165,MATCH($D16,'04 SKU Master'!$A$5:$A$165,0)),"")</f>
        <v/>
      </c>
    </row>
    <row r="17">
      <c r="A17" s="224" t="n">
        <v>13</v>
      </c>
      <c r="B17" s="225" t="inlineStr">
        <is>
          <t>04 SKU Master</t>
        </is>
      </c>
      <c r="C17" s="225" t="inlineStr">
        <is>
          <t>Utilities</t>
        </is>
      </c>
      <c r="D17" s="225" t="inlineStr">
        <is>
          <t>PP-WATER-PURIFIED</t>
        </is>
      </c>
      <c r="E17" s="225" t="inlineStr">
        <is>
          <t>Purified water (38-40 C)</t>
        </is>
      </c>
      <c r="F17" s="225" t="inlineStr">
        <is>
          <t>ml</t>
        </is>
      </c>
      <c r="G17" s="226">
        <f>IF(ISNUMBER(INDEX('04 SKU Master'!$AM$5:$AM$165,MATCH($D17,'04 SKU Master'!$A$5:$A$165,0))),"PRICED","NEEDS QUOTE")</f>
        <v/>
      </c>
      <c r="H17" s="225">
        <f>IF($G17="PRICED",INDEX('04 SKU Master'!$AM$5:$AM$165,MATCH($D17,'04 SKU Master'!$A$5:$A$165,0)),"")</f>
        <v/>
      </c>
      <c r="I17" s="225">
        <f>IF($G17="PRICED",INDEX('04 SKU Master'!$AN$5:$AN$165,MATCH($D17,'04 SKU Master'!$A$5:$A$165,0)),"")</f>
        <v/>
      </c>
    </row>
    <row r="18">
      <c r="A18" s="224" t="n">
        <v>14</v>
      </c>
      <c r="B18" s="225" t="inlineStr">
        <is>
          <t>04 SKU Master</t>
        </is>
      </c>
      <c r="C18" s="225" t="inlineStr">
        <is>
          <t>Dry Goods</t>
        </is>
      </c>
      <c r="D18" s="225" t="inlineStr">
        <is>
          <t>PP-SALT</t>
        </is>
      </c>
      <c r="E18" s="225" t="inlineStr">
        <is>
          <t>Salt</t>
        </is>
      </c>
      <c r="F18" s="225" t="inlineStr">
        <is>
          <t>g</t>
        </is>
      </c>
      <c r="G18" s="226">
        <f>IF(ISNUMBER(INDEX('04 SKU Master'!$AM$5:$AM$165,MATCH($D18,'04 SKU Master'!$A$5:$A$165,0))),"PRICED","NEEDS QUOTE")</f>
        <v/>
      </c>
      <c r="H18" s="225">
        <f>IF($G18="PRICED",INDEX('04 SKU Master'!$AM$5:$AM$165,MATCH($D18,'04 SKU Master'!$A$5:$A$165,0)),"")</f>
        <v/>
      </c>
      <c r="I18" s="225">
        <f>IF($G18="PRICED",INDEX('04 SKU Master'!$AN$5:$AN$165,MATCH($D18,'04 SKU Master'!$A$5:$A$165,0)),"")</f>
        <v/>
      </c>
    </row>
    <row r="19">
      <c r="A19" s="224" t="n">
        <v>15</v>
      </c>
      <c r="B19" s="225" t="inlineStr">
        <is>
          <t>04 SKU Master</t>
        </is>
      </c>
      <c r="C19" s="225" t="inlineStr">
        <is>
          <t>Oil / Fat</t>
        </is>
      </c>
      <c r="D19" s="225" t="inlineStr">
        <is>
          <t>PP-EVOO</t>
        </is>
      </c>
      <c r="E19" s="225" t="inlineStr">
        <is>
          <t>Extra-virgin olive oil</t>
        </is>
      </c>
      <c r="F19" s="225" t="inlineStr">
        <is>
          <t>ml</t>
        </is>
      </c>
      <c r="G19" s="226">
        <f>IF(ISNUMBER(INDEX('04 SKU Master'!$AM$5:$AM$165,MATCH($D19,'04 SKU Master'!$A$5:$A$165,0))),"PRICED","NEEDS QUOTE")</f>
        <v/>
      </c>
      <c r="H19" s="225">
        <f>IF($G19="PRICED",INDEX('04 SKU Master'!$AM$5:$AM$165,MATCH($D19,'04 SKU Master'!$A$5:$A$165,0)),"")</f>
        <v/>
      </c>
      <c r="I19" s="225">
        <f>IF($G19="PRICED",INDEX('04 SKU Master'!$AN$5:$AN$165,MATCH($D19,'04 SKU Master'!$A$5:$A$165,0)),"")</f>
        <v/>
      </c>
    </row>
    <row r="20">
      <c r="A20" s="224" t="n">
        <v>16</v>
      </c>
      <c r="B20" s="225" t="inlineStr">
        <is>
          <t>04 SKU Master</t>
        </is>
      </c>
      <c r="C20" s="225" t="inlineStr">
        <is>
          <t>Oil / Fat</t>
        </is>
      </c>
      <c r="D20" s="225" t="inlineStr">
        <is>
          <t>PP-OIL</t>
        </is>
      </c>
      <c r="E20" s="225" t="inlineStr">
        <is>
          <t>Cooking oil (sunflower / canola)</t>
        </is>
      </c>
      <c r="F20" s="225" t="inlineStr">
        <is>
          <t>ml</t>
        </is>
      </c>
      <c r="G20" s="226">
        <f>IF(ISNUMBER(INDEX('04 SKU Master'!$AM$5:$AM$165,MATCH($D20,'04 SKU Master'!$A$5:$A$165,0))),"PRICED","NEEDS QUOTE")</f>
        <v/>
      </c>
      <c r="H20" s="225">
        <f>IF($G20="PRICED",INDEX('04 SKU Master'!$AM$5:$AM$165,MATCH($D20,'04 SKU Master'!$A$5:$A$165,0)),"")</f>
        <v/>
      </c>
      <c r="I20" s="225">
        <f>IF($G20="PRICED",INDEX('04 SKU Master'!$AN$5:$AN$165,MATCH($D20,'04 SKU Master'!$A$5:$A$165,0)),"")</f>
        <v/>
      </c>
    </row>
    <row r="21">
      <c r="A21" s="224" t="n">
        <v>17</v>
      </c>
      <c r="B21" s="225" t="inlineStr">
        <is>
          <t>04 SKU Master</t>
        </is>
      </c>
      <c r="C21" s="225" t="inlineStr">
        <is>
          <t>Dairy</t>
        </is>
      </c>
      <c r="D21" s="225" t="inlineStr">
        <is>
          <t>PP-BUTTER</t>
        </is>
      </c>
      <c r="E21" s="225" t="inlineStr">
        <is>
          <t>Butter, salted</t>
        </is>
      </c>
      <c r="F21" s="225" t="inlineStr">
        <is>
          <t>g</t>
        </is>
      </c>
      <c r="G21" s="226">
        <f>IF(ISNUMBER(INDEX('04 SKU Master'!$AM$5:$AM$165,MATCH($D21,'04 SKU Master'!$A$5:$A$165,0))),"PRICED","NEEDS QUOTE")</f>
        <v/>
      </c>
      <c r="H21" s="225">
        <f>IF($G21="PRICED",INDEX('04 SKU Master'!$AM$5:$AM$165,MATCH($D21,'04 SKU Master'!$A$5:$A$165,0)),"")</f>
        <v/>
      </c>
      <c r="I21" s="225">
        <f>IF($G21="PRICED",INDEX('04 SKU Master'!$AN$5:$AN$165,MATCH($D21,'04 SKU Master'!$A$5:$A$165,0)),"")</f>
        <v/>
      </c>
    </row>
    <row r="22">
      <c r="A22" s="224" t="n">
        <v>18</v>
      </c>
      <c r="B22" s="225" t="inlineStr">
        <is>
          <t>04 SKU Master</t>
        </is>
      </c>
      <c r="C22" s="225" t="inlineStr">
        <is>
          <t>Oil / Fat</t>
        </is>
      </c>
      <c r="D22" s="225" t="inlineStr">
        <is>
          <t>PP-CHILLI-OIL</t>
        </is>
      </c>
      <c r="E22" s="225" t="inlineStr">
        <is>
          <t>Chilli oil (finishing, dial-a-heat)</t>
        </is>
      </c>
      <c r="F22" s="225" t="inlineStr">
        <is>
          <t>ml</t>
        </is>
      </c>
      <c r="G22" s="226">
        <f>IF(ISNUMBER(INDEX('04 SKU Master'!$AM$5:$AM$165,MATCH($D22,'04 SKU Master'!$A$5:$A$165,0))),"PRICED","NEEDS QUOTE")</f>
        <v/>
      </c>
      <c r="H22" s="225">
        <f>IF($G22="PRICED",INDEX('04 SKU Master'!$AM$5:$AM$165,MATCH($D22,'04 SKU Master'!$A$5:$A$165,0)),"")</f>
        <v/>
      </c>
      <c r="I22" s="225">
        <f>IF($G22="PRICED",INDEX('04 SKU Master'!$AN$5:$AN$165,MATCH($D22,'04 SKU Master'!$A$5:$A$165,0)),"")</f>
        <v/>
      </c>
    </row>
    <row r="23">
      <c r="A23" s="224" t="n">
        <v>19</v>
      </c>
      <c r="B23" s="225" t="inlineStr">
        <is>
          <t>04 SKU Master</t>
        </is>
      </c>
      <c r="C23" s="225" t="inlineStr">
        <is>
          <t>Tomato</t>
        </is>
      </c>
      <c r="D23" s="225" t="inlineStr">
        <is>
          <t>PP-TOM-PLUM</t>
        </is>
      </c>
      <c r="E23" s="225" t="inlineStr">
        <is>
          <t>San Marzano-style plum tomatoes, tinned</t>
        </is>
      </c>
      <c r="F23" s="225" t="inlineStr">
        <is>
          <t>g</t>
        </is>
      </c>
      <c r="G23" s="226">
        <f>IF(ISNUMBER(INDEX('04 SKU Master'!$AM$5:$AM$165,MATCH($D23,'04 SKU Master'!$A$5:$A$165,0))),"PRICED","NEEDS QUOTE")</f>
        <v/>
      </c>
      <c r="H23" s="225">
        <f>IF($G23="PRICED",INDEX('04 SKU Master'!$AM$5:$AM$165,MATCH($D23,'04 SKU Master'!$A$5:$A$165,0)),"")</f>
        <v/>
      </c>
      <c r="I23" s="225">
        <f>IF($G23="PRICED",INDEX('04 SKU Master'!$AN$5:$AN$165,MATCH($D23,'04 SKU Master'!$A$5:$A$165,0)),"")</f>
        <v/>
      </c>
    </row>
    <row r="24">
      <c r="A24" s="224" t="n">
        <v>20</v>
      </c>
      <c r="B24" s="225" t="inlineStr">
        <is>
          <t>04 SKU Master</t>
        </is>
      </c>
      <c r="C24" s="225" t="inlineStr">
        <is>
          <t>Tomato</t>
        </is>
      </c>
      <c r="D24" s="225" t="inlineStr">
        <is>
          <t>PP-TOM-PASTE</t>
        </is>
      </c>
      <c r="E24" s="225" t="inlineStr">
        <is>
          <t>Tomato paste / concentrate</t>
        </is>
      </c>
      <c r="F24" s="225" t="inlineStr">
        <is>
          <t>g</t>
        </is>
      </c>
      <c r="G24" s="226">
        <f>IF(ISNUMBER(INDEX('04 SKU Master'!$AM$5:$AM$165,MATCH($D24,'04 SKU Master'!$A$5:$A$165,0))),"PRICED","NEEDS QUOTE")</f>
        <v/>
      </c>
      <c r="H24" s="225">
        <f>IF($G24="PRICED",INDEX('04 SKU Master'!$AM$5:$AM$165,MATCH($D24,'04 SKU Master'!$A$5:$A$165,0)),"")</f>
        <v/>
      </c>
      <c r="I24" s="225">
        <f>IF($G24="PRICED",INDEX('04 SKU Master'!$AN$5:$AN$165,MATCH($D24,'04 SKU Master'!$A$5:$A$165,0)),"")</f>
        <v/>
      </c>
    </row>
    <row r="25">
      <c r="A25" s="224" t="n">
        <v>21</v>
      </c>
      <c r="B25" s="225" t="inlineStr">
        <is>
          <t>04 SKU Master</t>
        </is>
      </c>
      <c r="C25" s="225" t="inlineStr">
        <is>
          <t>Dry Goods</t>
        </is>
      </c>
      <c r="D25" s="225" t="inlineStr">
        <is>
          <t>PP-SUGAR</t>
        </is>
      </c>
      <c r="E25" s="225" t="inlineStr">
        <is>
          <t>Sugar (acidity balance)</t>
        </is>
      </c>
      <c r="F25" s="225" t="inlineStr">
        <is>
          <t>g</t>
        </is>
      </c>
      <c r="G25" s="226">
        <f>IF(ISNUMBER(INDEX('04 SKU Master'!$AM$5:$AM$165,MATCH($D25,'04 SKU Master'!$A$5:$A$165,0))),"PRICED","NEEDS QUOTE")</f>
        <v/>
      </c>
      <c r="H25" s="225">
        <f>IF($G25="PRICED",INDEX('04 SKU Master'!$AM$5:$AM$165,MATCH($D25,'04 SKU Master'!$A$5:$A$165,0)),"")</f>
        <v/>
      </c>
      <c r="I25" s="225">
        <f>IF($G25="PRICED",INDEX('04 SKU Master'!$AN$5:$AN$165,MATCH($D25,'04 SKU Master'!$A$5:$A$165,0)),"")</f>
        <v/>
      </c>
    </row>
    <row r="26">
      <c r="A26" s="224" t="n">
        <v>22</v>
      </c>
      <c r="B26" s="225" t="inlineStr">
        <is>
          <t>04 SKU Master</t>
        </is>
      </c>
      <c r="C26" s="225" t="inlineStr">
        <is>
          <t>Dry Goods</t>
        </is>
      </c>
      <c r="D26" s="225" t="inlineStr">
        <is>
          <t>PP-STOCK-BEEF</t>
        </is>
      </c>
      <c r="E26" s="225" t="inlineStr">
        <is>
          <t>Beef stock / bouillon (halaal)</t>
        </is>
      </c>
      <c r="F26" s="225" t="inlineStr">
        <is>
          <t>ml</t>
        </is>
      </c>
      <c r="G26" s="226">
        <f>IF(ISNUMBER(INDEX('04 SKU Master'!$AM$5:$AM$165,MATCH($D26,'04 SKU Master'!$A$5:$A$165,0))),"PRICED","NEEDS QUOTE")</f>
        <v/>
      </c>
      <c r="H26" s="225">
        <f>IF($G26="PRICED",INDEX('04 SKU Master'!$AM$5:$AM$165,MATCH($D26,'04 SKU Master'!$A$5:$A$165,0)),"")</f>
        <v/>
      </c>
      <c r="I26" s="225">
        <f>IF($G26="PRICED",INDEX('04 SKU Master'!$AN$5:$AN$165,MATCH($D26,'04 SKU Master'!$A$5:$A$165,0)),"")</f>
        <v/>
      </c>
    </row>
    <row r="27">
      <c r="A27" s="224" t="n">
        <v>23</v>
      </c>
      <c r="B27" s="225" t="inlineStr">
        <is>
          <t>04 SKU Master</t>
        </is>
      </c>
      <c r="C27" s="225" t="inlineStr">
        <is>
          <t>Dry Goods</t>
        </is>
      </c>
      <c r="D27" s="225" t="inlineStr">
        <is>
          <t>PP-STOCK-VEG</t>
        </is>
      </c>
      <c r="E27" s="225" t="inlineStr">
        <is>
          <t>Vegetable stock</t>
        </is>
      </c>
      <c r="F27" s="225" t="inlineStr">
        <is>
          <t>ml</t>
        </is>
      </c>
      <c r="G27" s="226">
        <f>IF(ISNUMBER(INDEX('04 SKU Master'!$AM$5:$AM$165,MATCH($D27,'04 SKU Master'!$A$5:$A$165,0))),"PRICED","NEEDS QUOTE")</f>
        <v/>
      </c>
      <c r="H27" s="225">
        <f>IF($G27="PRICED",INDEX('04 SKU Master'!$AM$5:$AM$165,MATCH($D27,'04 SKU Master'!$A$5:$A$165,0)),"")</f>
        <v/>
      </c>
      <c r="I27" s="225">
        <f>IF($G27="PRICED",INDEX('04 SKU Master'!$AN$5:$AN$165,MATCH($D27,'04 SKU Master'!$A$5:$A$165,0)),"")</f>
        <v/>
      </c>
    </row>
    <row r="28">
      <c r="A28" s="224" t="n">
        <v>24</v>
      </c>
      <c r="B28" s="225" t="inlineStr">
        <is>
          <t>04 SKU Master</t>
        </is>
      </c>
      <c r="C28" s="225" t="inlineStr">
        <is>
          <t>Spice</t>
        </is>
      </c>
      <c r="D28" s="225" t="inlineStr">
        <is>
          <t>PP-PEPPER-BLACK</t>
        </is>
      </c>
      <c r="E28" s="225" t="inlineStr">
        <is>
          <t>Black pepper, cracked</t>
        </is>
      </c>
      <c r="F28" s="225" t="inlineStr">
        <is>
          <t>g</t>
        </is>
      </c>
      <c r="G28" s="226">
        <f>IF(ISNUMBER(INDEX('04 SKU Master'!$AM$5:$AM$165,MATCH($D28,'04 SKU Master'!$A$5:$A$165,0))),"PRICED","NEEDS QUOTE")</f>
        <v/>
      </c>
      <c r="H28" s="225">
        <f>IF($G28="PRICED",INDEX('04 SKU Master'!$AM$5:$AM$165,MATCH($D28,'04 SKU Master'!$A$5:$A$165,0)),"")</f>
        <v/>
      </c>
      <c r="I28" s="225">
        <f>IF($G28="PRICED",INDEX('04 SKU Master'!$AN$5:$AN$165,MATCH($D28,'04 SKU Master'!$A$5:$A$165,0)),"")</f>
        <v/>
      </c>
    </row>
    <row r="29">
      <c r="A29" s="224" t="n">
        <v>25</v>
      </c>
      <c r="B29" s="225" t="inlineStr">
        <is>
          <t>04 SKU Master</t>
        </is>
      </c>
      <c r="C29" s="225" t="inlineStr">
        <is>
          <t>Spice</t>
        </is>
      </c>
      <c r="D29" s="225" t="inlineStr">
        <is>
          <t>PP-CHILLI-FLAKE</t>
        </is>
      </c>
      <c r="E29" s="225" t="inlineStr">
        <is>
          <t>Dried chilli flakes</t>
        </is>
      </c>
      <c r="F29" s="225" t="inlineStr">
        <is>
          <t>g</t>
        </is>
      </c>
      <c r="G29" s="226">
        <f>IF(ISNUMBER(INDEX('04 SKU Master'!$AM$5:$AM$165,MATCH($D29,'04 SKU Master'!$A$5:$A$165,0))),"PRICED","NEEDS QUOTE")</f>
        <v/>
      </c>
      <c r="H29" s="225">
        <f>IF($G29="PRICED",INDEX('04 SKU Master'!$AM$5:$AM$165,MATCH($D29,'04 SKU Master'!$A$5:$A$165,0)),"")</f>
        <v/>
      </c>
      <c r="I29" s="225">
        <f>IF($G29="PRICED",INDEX('04 SKU Master'!$AN$5:$AN$165,MATCH($D29,'04 SKU Master'!$A$5:$A$165,0)),"")</f>
        <v/>
      </c>
    </row>
    <row r="30">
      <c r="A30" s="224" t="n">
        <v>26</v>
      </c>
      <c r="B30" s="225" t="inlineStr">
        <is>
          <t>04 SKU Master</t>
        </is>
      </c>
      <c r="C30" s="225" t="inlineStr">
        <is>
          <t>Spice</t>
        </is>
      </c>
      <c r="D30" s="225" t="inlineStr">
        <is>
          <t>PP-HERB-BASIL-DRY</t>
        </is>
      </c>
      <c r="E30" s="225" t="inlineStr">
        <is>
          <t>Dried basil / oregano blend</t>
        </is>
      </c>
      <c r="F30" s="225" t="inlineStr">
        <is>
          <t>g</t>
        </is>
      </c>
      <c r="G30" s="226">
        <f>IF(ISNUMBER(INDEX('04 SKU Master'!$AM$5:$AM$165,MATCH($D30,'04 SKU Master'!$A$5:$A$165,0))),"PRICED","NEEDS QUOTE")</f>
        <v/>
      </c>
      <c r="H30" s="225">
        <f>IF($G30="PRICED",INDEX('04 SKU Master'!$AM$5:$AM$165,MATCH($D30,'04 SKU Master'!$A$5:$A$165,0)),"")</f>
        <v/>
      </c>
      <c r="I30" s="225">
        <f>IF($G30="PRICED",INDEX('04 SKU Master'!$AN$5:$AN$165,MATCH($D30,'04 SKU Master'!$A$5:$A$165,0)),"")</f>
        <v/>
      </c>
    </row>
    <row r="31">
      <c r="A31" s="224" t="n">
        <v>27</v>
      </c>
      <c r="B31" s="225" t="inlineStr">
        <is>
          <t>04 SKU Master</t>
        </is>
      </c>
      <c r="C31" s="225" t="inlineStr">
        <is>
          <t>Fresh Herb</t>
        </is>
      </c>
      <c r="D31" s="225" t="inlineStr">
        <is>
          <t>PP-HERB-BASIL-FRESH</t>
        </is>
      </c>
      <c r="E31" s="225" t="inlineStr">
        <is>
          <t>Fresh basil</t>
        </is>
      </c>
      <c r="F31" s="225" t="inlineStr">
        <is>
          <t>g</t>
        </is>
      </c>
      <c r="G31" s="226">
        <f>IF(ISNUMBER(INDEX('04 SKU Master'!$AM$5:$AM$165,MATCH($D31,'04 SKU Master'!$A$5:$A$165,0))),"PRICED","NEEDS QUOTE")</f>
        <v/>
      </c>
      <c r="H31" s="225">
        <f>IF($G31="PRICED",INDEX('04 SKU Master'!$AM$5:$AM$165,MATCH($D31,'04 SKU Master'!$A$5:$A$165,0)),"")</f>
        <v/>
      </c>
      <c r="I31" s="225">
        <f>IF($G31="PRICED",INDEX('04 SKU Master'!$AN$5:$AN$165,MATCH($D31,'04 SKU Master'!$A$5:$A$165,0)),"")</f>
        <v/>
      </c>
    </row>
    <row r="32">
      <c r="A32" s="224" t="n">
        <v>28</v>
      </c>
      <c r="B32" s="225" t="inlineStr">
        <is>
          <t>04 SKU Master</t>
        </is>
      </c>
      <c r="C32" s="225" t="inlineStr">
        <is>
          <t>Fresh Herb</t>
        </is>
      </c>
      <c r="D32" s="225" t="inlineStr">
        <is>
          <t>PP-HERB-PARSLEY</t>
        </is>
      </c>
      <c r="E32" s="225" t="inlineStr">
        <is>
          <t>Fresh parsley</t>
        </is>
      </c>
      <c r="F32" s="225" t="inlineStr">
        <is>
          <t>g</t>
        </is>
      </c>
      <c r="G32" s="226">
        <f>IF(ISNUMBER(INDEX('04 SKU Master'!$AM$5:$AM$165,MATCH($D32,'04 SKU Master'!$A$5:$A$165,0))),"PRICED","NEEDS QUOTE")</f>
        <v/>
      </c>
      <c r="H32" s="225">
        <f>IF($G32="PRICED",INDEX('04 SKU Master'!$AM$5:$AM$165,MATCH($D32,'04 SKU Master'!$A$5:$A$165,0)),"")</f>
        <v/>
      </c>
      <c r="I32" s="225">
        <f>IF($G32="PRICED",INDEX('04 SKU Master'!$AN$5:$AN$165,MATCH($D32,'04 SKU Master'!$A$5:$A$165,0)),"")</f>
        <v/>
      </c>
    </row>
    <row r="33">
      <c r="A33" s="224" t="n">
        <v>29</v>
      </c>
      <c r="B33" s="225" t="inlineStr">
        <is>
          <t>04 SKU Master</t>
        </is>
      </c>
      <c r="C33" s="225" t="inlineStr">
        <is>
          <t>Fresh Herb</t>
        </is>
      </c>
      <c r="D33" s="225" t="inlineStr">
        <is>
          <t>PP-HERB-THYME</t>
        </is>
      </c>
      <c r="E33" s="225" t="inlineStr">
        <is>
          <t>Fresh thyme</t>
        </is>
      </c>
      <c r="F33" s="225" t="inlineStr">
        <is>
          <t>g</t>
        </is>
      </c>
      <c r="G33" s="226">
        <f>IF(ISNUMBER(INDEX('04 SKU Master'!$AM$5:$AM$165,MATCH($D33,'04 SKU Master'!$A$5:$A$165,0))),"PRICED","NEEDS QUOTE")</f>
        <v/>
      </c>
      <c r="H33" s="225">
        <f>IF($G33="PRICED",INDEX('04 SKU Master'!$AM$5:$AM$165,MATCH($D33,'04 SKU Master'!$A$5:$A$165,0)),"")</f>
        <v/>
      </c>
      <c r="I33" s="225">
        <f>IF($G33="PRICED",INDEX('04 SKU Master'!$AN$5:$AN$165,MATCH($D33,'04 SKU Master'!$A$5:$A$165,0)),"")</f>
        <v/>
      </c>
    </row>
    <row r="34">
      <c r="A34" s="224" t="n">
        <v>30</v>
      </c>
      <c r="B34" s="225" t="inlineStr">
        <is>
          <t>04 SKU Master</t>
        </is>
      </c>
      <c r="C34" s="225" t="inlineStr">
        <is>
          <t>Fresh Herb</t>
        </is>
      </c>
      <c r="D34" s="225" t="inlineStr">
        <is>
          <t>PP-HERB-SAGE</t>
        </is>
      </c>
      <c r="E34" s="225" t="inlineStr">
        <is>
          <t>Fresh sage</t>
        </is>
      </c>
      <c r="F34" s="225" t="inlineStr">
        <is>
          <t>g</t>
        </is>
      </c>
      <c r="G34" s="226">
        <f>IF(ISNUMBER(INDEX('04 SKU Master'!$AM$5:$AM$165,MATCH($D34,'04 SKU Master'!$A$5:$A$165,0))),"PRICED","NEEDS QUOTE")</f>
        <v/>
      </c>
      <c r="H34" s="225">
        <f>IF($G34="PRICED",INDEX('04 SKU Master'!$AM$5:$AM$165,MATCH($D34,'04 SKU Master'!$A$5:$A$165,0)),"")</f>
        <v/>
      </c>
      <c r="I34" s="225">
        <f>IF($G34="PRICED",INDEX('04 SKU Master'!$AN$5:$AN$165,MATCH($D34,'04 SKU Master'!$A$5:$A$165,0)),"")</f>
        <v/>
      </c>
    </row>
    <row r="35">
      <c r="A35" s="224" t="n">
        <v>31</v>
      </c>
      <c r="B35" s="225" t="inlineStr">
        <is>
          <t>04 SKU Master</t>
        </is>
      </c>
      <c r="C35" s="225" t="inlineStr">
        <is>
          <t>Fresh Herb</t>
        </is>
      </c>
      <c r="D35" s="225" t="inlineStr">
        <is>
          <t>PP-HERB-MINT</t>
        </is>
      </c>
      <c r="E35" s="225" t="inlineStr">
        <is>
          <t>Fresh mint</t>
        </is>
      </c>
      <c r="F35" s="225" t="inlineStr">
        <is>
          <t>g</t>
        </is>
      </c>
      <c r="G35" s="226">
        <f>IF(ISNUMBER(INDEX('04 SKU Master'!$AM$5:$AM$165,MATCH($D35,'04 SKU Master'!$A$5:$A$165,0))),"PRICED","NEEDS QUOTE")</f>
        <v/>
      </c>
      <c r="H35" s="225">
        <f>IF($G35="PRICED",INDEX('04 SKU Master'!$AM$5:$AM$165,MATCH($D35,'04 SKU Master'!$A$5:$A$165,0)),"")</f>
        <v/>
      </c>
      <c r="I35" s="225">
        <f>IF($G35="PRICED",INDEX('04 SKU Master'!$AN$5:$AN$165,MATCH($D35,'04 SKU Master'!$A$5:$A$165,0)),"")</f>
        <v/>
      </c>
    </row>
    <row r="36">
      <c r="A36" s="224" t="n">
        <v>32</v>
      </c>
      <c r="B36" s="225" t="inlineStr">
        <is>
          <t>04 SKU Master</t>
        </is>
      </c>
      <c r="C36" s="225" t="inlineStr">
        <is>
          <t>Dairy</t>
        </is>
      </c>
      <c r="D36" s="225" t="inlineStr">
        <is>
          <t>PP-CREAM</t>
        </is>
      </c>
      <c r="E36" s="225" t="inlineStr">
        <is>
          <t>Fresh cream</t>
        </is>
      </c>
      <c r="F36" s="225" t="inlineStr">
        <is>
          <t>ml</t>
        </is>
      </c>
      <c r="G36" s="226">
        <f>IF(ISNUMBER(INDEX('04 SKU Master'!$AM$5:$AM$165,MATCH($D36,'04 SKU Master'!$A$5:$A$165,0))),"PRICED","NEEDS QUOTE")</f>
        <v/>
      </c>
      <c r="H36" s="225">
        <f>IF($G36="PRICED",INDEX('04 SKU Master'!$AM$5:$AM$165,MATCH($D36,'04 SKU Master'!$A$5:$A$165,0)),"")</f>
        <v/>
      </c>
      <c r="I36" s="225">
        <f>IF($G36="PRICED",INDEX('04 SKU Master'!$AN$5:$AN$165,MATCH($D36,'04 SKU Master'!$A$5:$A$165,0)),"")</f>
        <v/>
      </c>
    </row>
    <row r="37">
      <c r="A37" s="224" t="n">
        <v>33</v>
      </c>
      <c r="B37" s="225" t="inlineStr">
        <is>
          <t>04 SKU Master</t>
        </is>
      </c>
      <c r="C37" s="225" t="inlineStr">
        <is>
          <t>Cheese</t>
        </is>
      </c>
      <c r="D37" s="225" t="inlineStr">
        <is>
          <t>PP-PARM</t>
        </is>
      </c>
      <c r="E37" s="225" t="inlineStr">
        <is>
          <t>Parmesan / hard cheese (microbial rennet)</t>
        </is>
      </c>
      <c r="F37" s="225" t="inlineStr">
        <is>
          <t>g</t>
        </is>
      </c>
      <c r="G37" s="226">
        <f>IF(ISNUMBER(INDEX('04 SKU Master'!$AM$5:$AM$165,MATCH($D37,'04 SKU Master'!$A$5:$A$165,0))),"PRICED","NEEDS QUOTE")</f>
        <v/>
      </c>
      <c r="H37" s="225">
        <f>IF($G37="PRICED",INDEX('04 SKU Master'!$AM$5:$AM$165,MATCH($D37,'04 SKU Master'!$A$5:$A$165,0)),"")</f>
        <v/>
      </c>
      <c r="I37" s="225">
        <f>IF($G37="PRICED",INDEX('04 SKU Master'!$AN$5:$AN$165,MATCH($D37,'04 SKU Master'!$A$5:$A$165,0)),"")</f>
        <v/>
      </c>
    </row>
    <row r="38">
      <c r="A38" s="224" t="n">
        <v>34</v>
      </c>
      <c r="B38" s="225" t="inlineStr">
        <is>
          <t>04 SKU Master</t>
        </is>
      </c>
      <c r="C38" s="225" t="inlineStr">
        <is>
          <t>Cheese</t>
        </is>
      </c>
      <c r="D38" s="225" t="inlineStr">
        <is>
          <t>PP-PECORINO</t>
        </is>
      </c>
      <c r="E38" s="225" t="inlineStr">
        <is>
          <t>Pecorino-style hard cheese (microbial rennet)</t>
        </is>
      </c>
      <c r="F38" s="225" t="inlineStr">
        <is>
          <t>g</t>
        </is>
      </c>
      <c r="G38" s="226">
        <f>IF(ISNUMBER(INDEX('04 SKU Master'!$AM$5:$AM$165,MATCH($D38,'04 SKU Master'!$A$5:$A$165,0))),"PRICED","NEEDS QUOTE")</f>
        <v/>
      </c>
      <c r="H38" s="225">
        <f>IF($G38="PRICED",INDEX('04 SKU Master'!$AM$5:$AM$165,MATCH($D38,'04 SKU Master'!$A$5:$A$165,0)),"")</f>
        <v/>
      </c>
      <c r="I38" s="225">
        <f>IF($G38="PRICED",INDEX('04 SKU Master'!$AN$5:$AN$165,MATCH($D38,'04 SKU Master'!$A$5:$A$165,0)),"")</f>
        <v/>
      </c>
    </row>
    <row r="39">
      <c r="A39" s="224" t="n">
        <v>35</v>
      </c>
      <c r="B39" s="225" t="inlineStr">
        <is>
          <t>04 SKU Master</t>
        </is>
      </c>
      <c r="C39" s="225" t="inlineStr">
        <is>
          <t>Cheese</t>
        </is>
      </c>
      <c r="D39" s="225" t="inlineStr">
        <is>
          <t>PP-MOZZ</t>
        </is>
      </c>
      <c r="E39" s="225" t="inlineStr">
        <is>
          <t>Mozzarella</t>
        </is>
      </c>
      <c r="F39" s="225" t="inlineStr">
        <is>
          <t>g</t>
        </is>
      </c>
      <c r="G39" s="226">
        <f>IF(ISNUMBER(INDEX('04 SKU Master'!$AM$5:$AM$165,MATCH($D39,'04 SKU Master'!$A$5:$A$165,0))),"PRICED","NEEDS QUOTE")</f>
        <v/>
      </c>
      <c r="H39" s="225">
        <f>IF($G39="PRICED",INDEX('04 SKU Master'!$AM$5:$AM$165,MATCH($D39,'04 SKU Master'!$A$5:$A$165,0)),"")</f>
        <v/>
      </c>
      <c r="I39" s="225">
        <f>IF($G39="PRICED",INDEX('04 SKU Master'!$AN$5:$AN$165,MATCH($D39,'04 SKU Master'!$A$5:$A$165,0)),"")</f>
        <v/>
      </c>
    </row>
    <row r="40">
      <c r="A40" s="224" t="n">
        <v>36</v>
      </c>
      <c r="B40" s="225" t="inlineStr">
        <is>
          <t>04 SKU Master</t>
        </is>
      </c>
      <c r="C40" s="225" t="inlineStr">
        <is>
          <t>Cheese</t>
        </is>
      </c>
      <c r="D40" s="225" t="inlineStr">
        <is>
          <t>PP-CHEDDAR-MAT</t>
        </is>
      </c>
      <c r="E40" s="225" t="inlineStr">
        <is>
          <t>Mature cheddar</t>
        </is>
      </c>
      <c r="F40" s="225" t="inlineStr">
        <is>
          <t>g</t>
        </is>
      </c>
      <c r="G40" s="226">
        <f>IF(ISNUMBER(INDEX('04 SKU Master'!$AM$5:$AM$165,MATCH($D40,'04 SKU Master'!$A$5:$A$165,0))),"PRICED","NEEDS QUOTE")</f>
        <v/>
      </c>
      <c r="H40" s="225">
        <f>IF($G40="PRICED",INDEX('04 SKU Master'!$AM$5:$AM$165,MATCH($D40,'04 SKU Master'!$A$5:$A$165,0)),"")</f>
        <v/>
      </c>
      <c r="I40" s="225">
        <f>IF($G40="PRICED",INDEX('04 SKU Master'!$AN$5:$AN$165,MATCH($D40,'04 SKU Master'!$A$5:$A$165,0)),"")</f>
        <v/>
      </c>
    </row>
    <row r="41">
      <c r="A41" s="224" t="n">
        <v>37</v>
      </c>
      <c r="B41" s="225" t="inlineStr">
        <is>
          <t>04 SKU Master</t>
        </is>
      </c>
      <c r="C41" s="225" t="inlineStr">
        <is>
          <t>Cheese</t>
        </is>
      </c>
      <c r="D41" s="225" t="inlineStr">
        <is>
          <t>PP-BLUE</t>
        </is>
      </c>
      <c r="E41" s="225" t="inlineStr">
        <is>
          <t>Gorgonzola / blue cheese</t>
        </is>
      </c>
      <c r="F41" s="225" t="inlineStr">
        <is>
          <t>g</t>
        </is>
      </c>
      <c r="G41" s="226">
        <f>IF(ISNUMBER(INDEX('04 SKU Master'!$AM$5:$AM$165,MATCH($D41,'04 SKU Master'!$A$5:$A$165,0))),"PRICED","NEEDS QUOTE")</f>
        <v/>
      </c>
      <c r="H41" s="225">
        <f>IF($G41="PRICED",INDEX('04 SKU Master'!$AM$5:$AM$165,MATCH($D41,'04 SKU Master'!$A$5:$A$165,0)),"")</f>
        <v/>
      </c>
      <c r="I41" s="225">
        <f>IF($G41="PRICED",INDEX('04 SKU Master'!$AN$5:$AN$165,MATCH($D41,'04 SKU Master'!$A$5:$A$165,0)),"")</f>
        <v/>
      </c>
    </row>
    <row r="42">
      <c r="A42" s="224" t="n">
        <v>38</v>
      </c>
      <c r="B42" s="225" t="inlineStr">
        <is>
          <t>04 SKU Master</t>
        </is>
      </c>
      <c r="C42" s="225" t="inlineStr">
        <is>
          <t>Cheese</t>
        </is>
      </c>
      <c r="D42" s="225" t="inlineStr">
        <is>
          <t>PP-RICOTTA</t>
        </is>
      </c>
      <c r="E42" s="225" t="inlineStr">
        <is>
          <t>Ricotta</t>
        </is>
      </c>
      <c r="F42" s="225" t="inlineStr">
        <is>
          <t>g</t>
        </is>
      </c>
      <c r="G42" s="226">
        <f>IF(ISNUMBER(INDEX('04 SKU Master'!$AM$5:$AM$165,MATCH($D42,'04 SKU Master'!$A$5:$A$165,0))),"PRICED","NEEDS QUOTE")</f>
        <v/>
      </c>
      <c r="H42" s="225">
        <f>IF($G42="PRICED",INDEX('04 SKU Master'!$AM$5:$AM$165,MATCH($D42,'04 SKU Master'!$A$5:$A$165,0)),"")</f>
        <v/>
      </c>
      <c r="I42" s="225">
        <f>IF($G42="PRICED",INDEX('04 SKU Master'!$AN$5:$AN$165,MATCH($D42,'04 SKU Master'!$A$5:$A$165,0)),"")</f>
        <v/>
      </c>
    </row>
    <row r="43">
      <c r="A43" s="224" t="n">
        <v>39</v>
      </c>
      <c r="B43" s="225" t="inlineStr">
        <is>
          <t>04 SKU Master</t>
        </is>
      </c>
      <c r="C43" s="225" t="inlineStr">
        <is>
          <t>Dairy</t>
        </is>
      </c>
      <c r="D43" s="225" t="inlineStr">
        <is>
          <t>PP-EGG-YOLK-PAST</t>
        </is>
      </c>
      <c r="E43" s="225" t="inlineStr">
        <is>
          <t>Pasteurised egg yolk</t>
        </is>
      </c>
      <c r="F43" s="225" t="inlineStr">
        <is>
          <t>g</t>
        </is>
      </c>
      <c r="G43" s="226">
        <f>IF(ISNUMBER(INDEX('04 SKU Master'!$AM$5:$AM$165,MATCH($D43,'04 SKU Master'!$A$5:$A$165,0))),"PRICED","NEEDS QUOTE")</f>
        <v/>
      </c>
      <c r="H43" s="225">
        <f>IF($G43="PRICED",INDEX('04 SKU Master'!$AM$5:$AM$165,MATCH($D43,'04 SKU Master'!$A$5:$A$165,0)),"")</f>
        <v/>
      </c>
      <c r="I43" s="225">
        <f>IF($G43="PRICED",INDEX('04 SKU Master'!$AN$5:$AN$165,MATCH($D43,'04 SKU Master'!$A$5:$A$165,0)),"")</f>
        <v/>
      </c>
    </row>
    <row r="44">
      <c r="A44" s="224" t="n">
        <v>40</v>
      </c>
      <c r="B44" s="225" t="inlineStr">
        <is>
          <t>04 SKU Master</t>
        </is>
      </c>
      <c r="C44" s="225" t="inlineStr">
        <is>
          <t>Beef</t>
        </is>
      </c>
      <c r="D44" s="225" t="inlineStr">
        <is>
          <t>PP-BEEF-MINCE</t>
        </is>
      </c>
      <c r="E44" s="225" t="inlineStr">
        <is>
          <t>Beef mince (halaal)</t>
        </is>
      </c>
      <c r="F44" s="225" t="inlineStr">
        <is>
          <t>g</t>
        </is>
      </c>
      <c r="G44" s="226">
        <f>IF(ISNUMBER(INDEX('04 SKU Master'!$AM$5:$AM$165,MATCH($D44,'04 SKU Master'!$A$5:$A$165,0))),"PRICED","NEEDS QUOTE")</f>
        <v/>
      </c>
      <c r="H44" s="225">
        <f>IF($G44="PRICED",INDEX('04 SKU Master'!$AM$5:$AM$165,MATCH($D44,'04 SKU Master'!$A$5:$A$165,0)),"")</f>
        <v/>
      </c>
      <c r="I44" s="225">
        <f>IF($G44="PRICED",INDEX('04 SKU Master'!$AN$5:$AN$165,MATCH($D44,'04 SKU Master'!$A$5:$A$165,0)),"")</f>
        <v/>
      </c>
    </row>
    <row r="45">
      <c r="A45" s="224" t="n">
        <v>41</v>
      </c>
      <c r="B45" s="225" t="inlineStr">
        <is>
          <t>04 SKU Master</t>
        </is>
      </c>
      <c r="C45" s="225" t="inlineStr">
        <is>
          <t>Beef</t>
        </is>
      </c>
      <c r="D45" s="225" t="inlineStr">
        <is>
          <t>PP-BEEF-CHUNK</t>
        </is>
      </c>
      <c r="E45" s="225" t="inlineStr">
        <is>
          <t>Beef chunks / cubes (halaal)</t>
        </is>
      </c>
      <c r="F45" s="225" t="inlineStr">
        <is>
          <t>g</t>
        </is>
      </c>
      <c r="G45" s="226">
        <f>IF(ISNUMBER(INDEX('04 SKU Master'!$AM$5:$AM$165,MATCH($D45,'04 SKU Master'!$A$5:$A$165,0))),"PRICED","NEEDS QUOTE")</f>
        <v/>
      </c>
      <c r="H45" s="225">
        <f>IF($G45="PRICED",INDEX('04 SKU Master'!$AM$5:$AM$165,MATCH($D45,'04 SKU Master'!$A$5:$A$165,0)),"")</f>
        <v/>
      </c>
      <c r="I45" s="225">
        <f>IF($G45="PRICED",INDEX('04 SKU Master'!$AN$5:$AN$165,MATCH($D45,'04 SKU Master'!$A$5:$A$165,0)),"")</f>
        <v/>
      </c>
    </row>
    <row r="46">
      <c r="A46" s="224" t="n">
        <v>42</v>
      </c>
      <c r="B46" s="225" t="inlineStr">
        <is>
          <t>04 SKU Master</t>
        </is>
      </c>
      <c r="C46" s="225" t="inlineStr">
        <is>
          <t>Beef</t>
        </is>
      </c>
      <c r="D46" s="225" t="inlineStr">
        <is>
          <t>PP-BEEF-SHRED</t>
        </is>
      </c>
      <c r="E46" s="225" t="inlineStr">
        <is>
          <t>Shredded / pulled beef (halaal)</t>
        </is>
      </c>
      <c r="F46" s="225" t="inlineStr">
        <is>
          <t>g</t>
        </is>
      </c>
      <c r="G46" s="226">
        <f>IF(ISNUMBER(INDEX('04 SKU Master'!$AM$5:$AM$165,MATCH($D46,'04 SKU Master'!$A$5:$A$165,0))),"PRICED","NEEDS QUOTE")</f>
        <v/>
      </c>
      <c r="H46" s="225">
        <f>IF($G46="PRICED",INDEX('04 SKU Master'!$AM$5:$AM$165,MATCH($D46,'04 SKU Master'!$A$5:$A$165,0)),"")</f>
        <v/>
      </c>
      <c r="I46" s="225">
        <f>IF($G46="PRICED",INDEX('04 SKU Master'!$AN$5:$AN$165,MATCH($D46,'04 SKU Master'!$A$5:$A$165,0)),"")</f>
        <v/>
      </c>
    </row>
    <row r="47">
      <c r="A47" s="224" t="n">
        <v>43</v>
      </c>
      <c r="B47" s="225" t="inlineStr">
        <is>
          <t>04 SKU Master</t>
        </is>
      </c>
      <c r="C47" s="225" t="inlineStr">
        <is>
          <t>Beef</t>
        </is>
      </c>
      <c r="D47" s="225" t="inlineStr">
        <is>
          <t>PP-BEEF-BRISKET</t>
        </is>
      </c>
      <c r="E47" s="225" t="inlineStr">
        <is>
          <t>Beef brisket (halaal)</t>
        </is>
      </c>
      <c r="F47" s="225" t="inlineStr">
        <is>
          <t>g</t>
        </is>
      </c>
      <c r="G47" s="226">
        <f>IF(ISNUMBER(INDEX('04 SKU Master'!$AM$5:$AM$165,MATCH($D47,'04 SKU Master'!$A$5:$A$165,0))),"PRICED","NEEDS QUOTE")</f>
        <v/>
      </c>
      <c r="H47" s="225">
        <f>IF($G47="PRICED",INDEX('04 SKU Master'!$AM$5:$AM$165,MATCH($D47,'04 SKU Master'!$A$5:$A$165,0)),"")</f>
        <v/>
      </c>
      <c r="I47" s="225">
        <f>IF($G47="PRICED",INDEX('04 SKU Master'!$AN$5:$AN$165,MATCH($D47,'04 SKU Master'!$A$5:$A$165,0)),"")</f>
        <v/>
      </c>
    </row>
    <row r="48">
      <c r="A48" s="224" t="n">
        <v>44</v>
      </c>
      <c r="B48" s="225" t="inlineStr">
        <is>
          <t>04 SKU Master</t>
        </is>
      </c>
      <c r="C48" s="225" t="inlineStr">
        <is>
          <t>Beef</t>
        </is>
      </c>
      <c r="D48" s="225" t="inlineStr">
        <is>
          <t>PP-BEEF-BACON</t>
        </is>
      </c>
      <c r="E48" s="225" t="inlineStr">
        <is>
          <t>Beef bacon, smoked (halaal)</t>
        </is>
      </c>
      <c r="F48" s="225" t="inlineStr">
        <is>
          <t>g</t>
        </is>
      </c>
      <c r="G48" s="226">
        <f>IF(ISNUMBER(INDEX('04 SKU Master'!$AM$5:$AM$165,MATCH($D48,'04 SKU Master'!$A$5:$A$165,0))),"PRICED","NEEDS QUOTE")</f>
        <v/>
      </c>
      <c r="H48" s="225">
        <f>IF($G48="PRICED",INDEX('04 SKU Master'!$AM$5:$AM$165,MATCH($D48,'04 SKU Master'!$A$5:$A$165,0)),"")</f>
        <v/>
      </c>
      <c r="I48" s="225">
        <f>IF($G48="PRICED",INDEX('04 SKU Master'!$AN$5:$AN$165,MATCH($D48,'04 SKU Master'!$A$5:$A$165,0)),"")</f>
        <v/>
      </c>
    </row>
    <row r="49">
      <c r="A49" s="224" t="n">
        <v>45</v>
      </c>
      <c r="B49" s="225" t="inlineStr">
        <is>
          <t>04 SKU Master</t>
        </is>
      </c>
      <c r="C49" s="225" t="inlineStr">
        <is>
          <t>Beef</t>
        </is>
      </c>
      <c r="D49" s="225" t="inlineStr">
        <is>
          <t>PP-BEEF-MEATBALL</t>
        </is>
      </c>
      <c r="E49" s="225" t="inlineStr">
        <is>
          <t>Beef meatballs (halaal)</t>
        </is>
      </c>
      <c r="F49" s="225" t="inlineStr">
        <is>
          <t>g</t>
        </is>
      </c>
      <c r="G49" s="226">
        <f>IF(ISNUMBER(INDEX('04 SKU Master'!$AM$5:$AM$165,MATCH($D49,'04 SKU Master'!$A$5:$A$165,0))),"PRICED","NEEDS QUOTE")</f>
        <v/>
      </c>
      <c r="H49" s="225">
        <f>IF($G49="PRICED",INDEX('04 SKU Master'!$AM$5:$AM$165,MATCH($D49,'04 SKU Master'!$A$5:$A$165,0)),"")</f>
        <v/>
      </c>
      <c r="I49" s="225">
        <f>IF($G49="PRICED",INDEX('04 SKU Master'!$AN$5:$AN$165,MATCH($D49,'04 SKU Master'!$A$5:$A$165,0)),"")</f>
        <v/>
      </c>
    </row>
    <row r="50">
      <c r="A50" s="224" t="n">
        <v>46</v>
      </c>
      <c r="B50" s="225" t="inlineStr">
        <is>
          <t>04 SKU Master</t>
        </is>
      </c>
      <c r="C50" s="225" t="inlineStr">
        <is>
          <t>Beef</t>
        </is>
      </c>
      <c r="D50" s="225" t="inlineStr">
        <is>
          <t>PP-BEEF-SEASONED</t>
        </is>
      </c>
      <c r="E50" s="225" t="inlineStr">
        <is>
          <t>Seasoned beef strips (halaal)</t>
        </is>
      </c>
      <c r="F50" s="225" t="inlineStr">
        <is>
          <t>g</t>
        </is>
      </c>
      <c r="G50" s="226">
        <f>IF(ISNUMBER(INDEX('04 SKU Master'!$AM$5:$AM$165,MATCH($D50,'04 SKU Master'!$A$5:$A$165,0))),"PRICED","NEEDS QUOTE")</f>
        <v/>
      </c>
      <c r="H50" s="225">
        <f>IF($G50="PRICED",INDEX('04 SKU Master'!$AM$5:$AM$165,MATCH($D50,'04 SKU Master'!$A$5:$A$165,0)),"")</f>
        <v/>
      </c>
      <c r="I50" s="225">
        <f>IF($G50="PRICED",INDEX('04 SKU Master'!$AN$5:$AN$165,MATCH($D50,'04 SKU Master'!$A$5:$A$165,0)),"")</f>
        <v/>
      </c>
    </row>
    <row r="51">
      <c r="A51" s="224" t="n">
        <v>47</v>
      </c>
      <c r="B51" s="225" t="inlineStr">
        <is>
          <t>04 SKU Master</t>
        </is>
      </c>
      <c r="C51" s="225" t="inlineStr">
        <is>
          <t>Beef</t>
        </is>
      </c>
      <c r="D51" s="225" t="inlineStr">
        <is>
          <t>PP-BOEREWORS</t>
        </is>
      </c>
      <c r="E51" s="225" t="inlineStr">
        <is>
          <t>Boerewors, halaal-certified</t>
        </is>
      </c>
      <c r="F51" s="225" t="inlineStr">
        <is>
          <t>g</t>
        </is>
      </c>
      <c r="G51" s="226">
        <f>IF(ISNUMBER(INDEX('04 SKU Master'!$AM$5:$AM$165,MATCH($D51,'04 SKU Master'!$A$5:$A$165,0))),"PRICED","NEEDS QUOTE")</f>
        <v/>
      </c>
      <c r="H51" s="225">
        <f>IF($G51="PRICED",INDEX('04 SKU Master'!$AM$5:$AM$165,MATCH($D51,'04 SKU Master'!$A$5:$A$165,0)),"")</f>
        <v/>
      </c>
      <c r="I51" s="225">
        <f>IF($G51="PRICED",INDEX('04 SKU Master'!$AN$5:$AN$165,MATCH($D51,'04 SKU Master'!$A$5:$A$165,0)),"")</f>
        <v/>
      </c>
    </row>
    <row r="52">
      <c r="A52" s="224" t="n">
        <v>48</v>
      </c>
      <c r="B52" s="225" t="inlineStr">
        <is>
          <t>04 SKU Master</t>
        </is>
      </c>
      <c r="C52" s="225" t="inlineStr">
        <is>
          <t>Beef</t>
        </is>
      </c>
      <c r="D52" s="225" t="inlineStr">
        <is>
          <t>PP-BILTONG</t>
        </is>
      </c>
      <c r="E52" s="225" t="inlineStr">
        <is>
          <t>Biltong, shaved (halaal)</t>
        </is>
      </c>
      <c r="F52" s="225" t="inlineStr">
        <is>
          <t>g</t>
        </is>
      </c>
      <c r="G52" s="226">
        <f>IF(ISNUMBER(INDEX('04 SKU Master'!$AM$5:$AM$165,MATCH($D52,'04 SKU Master'!$A$5:$A$165,0))),"PRICED","NEEDS QUOTE")</f>
        <v/>
      </c>
      <c r="H52" s="225">
        <f>IF($G52="PRICED",INDEX('04 SKU Master'!$AM$5:$AM$165,MATCH($D52,'04 SKU Master'!$A$5:$A$165,0)),"")</f>
        <v/>
      </c>
      <c r="I52" s="225">
        <f>IF($G52="PRICED",INDEX('04 SKU Master'!$AN$5:$AN$165,MATCH($D52,'04 SKU Master'!$A$5:$A$165,0)),"")</f>
        <v/>
      </c>
    </row>
    <row r="53">
      <c r="A53" s="224" t="n">
        <v>49</v>
      </c>
      <c r="B53" s="225" t="inlineStr">
        <is>
          <t>04 SKU Master</t>
        </is>
      </c>
      <c r="C53" s="225" t="inlineStr">
        <is>
          <t>Seafood</t>
        </is>
      </c>
      <c r="D53" s="225" t="inlineStr">
        <is>
          <t>PP-PRAWN</t>
        </is>
      </c>
      <c r="E53" s="225" t="inlineStr">
        <is>
          <t>Prawns (halaal, LTO only)</t>
        </is>
      </c>
      <c r="F53" s="225" t="inlineStr">
        <is>
          <t>g</t>
        </is>
      </c>
      <c r="G53" s="226">
        <f>IF(ISNUMBER(INDEX('04 SKU Master'!$AM$5:$AM$165,MATCH($D53,'04 SKU Master'!$A$5:$A$165,0))),"PRICED","NEEDS QUOTE")</f>
        <v/>
      </c>
      <c r="H53" s="225">
        <f>IF($G53="PRICED",INDEX('04 SKU Master'!$AM$5:$AM$165,MATCH($D53,'04 SKU Master'!$A$5:$A$165,0)),"")</f>
        <v/>
      </c>
      <c r="I53" s="225">
        <f>IF($G53="PRICED",INDEX('04 SKU Master'!$AN$5:$AN$165,MATCH($D53,'04 SKU Master'!$A$5:$A$165,0)),"")</f>
        <v/>
      </c>
    </row>
    <row r="54">
      <c r="A54" s="224" t="n">
        <v>50</v>
      </c>
      <c r="B54" s="225" t="inlineStr">
        <is>
          <t>04 SKU Master</t>
        </is>
      </c>
      <c r="C54" s="225" t="inlineStr">
        <is>
          <t>Vegetables</t>
        </is>
      </c>
      <c r="D54" s="225" t="inlineStr">
        <is>
          <t>PP-ONION</t>
        </is>
      </c>
      <c r="E54" s="225" t="inlineStr">
        <is>
          <t>Onion</t>
        </is>
      </c>
      <c r="F54" s="225" t="inlineStr">
        <is>
          <t>g</t>
        </is>
      </c>
      <c r="G54" s="226">
        <f>IF(ISNUMBER(INDEX('04 SKU Master'!$AM$5:$AM$165,MATCH($D54,'04 SKU Master'!$A$5:$A$165,0))),"PRICED","NEEDS QUOTE")</f>
        <v/>
      </c>
      <c r="H54" s="225">
        <f>IF($G54="PRICED",INDEX('04 SKU Master'!$AM$5:$AM$165,MATCH($D54,'04 SKU Master'!$A$5:$A$165,0)),"")</f>
        <v/>
      </c>
      <c r="I54" s="225">
        <f>IF($G54="PRICED",INDEX('04 SKU Master'!$AN$5:$AN$165,MATCH($D54,'04 SKU Master'!$A$5:$A$165,0)),"")</f>
        <v/>
      </c>
    </row>
    <row r="55">
      <c r="A55" s="224" t="n">
        <v>51</v>
      </c>
      <c r="B55" s="225" t="inlineStr">
        <is>
          <t>04 SKU Master</t>
        </is>
      </c>
      <c r="C55" s="225" t="inlineStr">
        <is>
          <t>Vegetables</t>
        </is>
      </c>
      <c r="D55" s="225" t="inlineStr">
        <is>
          <t>PP-VEG-REDONION</t>
        </is>
      </c>
      <c r="E55" s="225" t="inlineStr">
        <is>
          <t>Red onion</t>
        </is>
      </c>
      <c r="F55" s="225" t="inlineStr">
        <is>
          <t>g</t>
        </is>
      </c>
      <c r="G55" s="227">
        <f>IF(ISNUMBER(INDEX('04 SKU Master'!$AM$5:$AM$165,MATCH($D55,'04 SKU Master'!$A$5:$A$165,0))),"PRICED","NEEDS QUOTE")</f>
        <v/>
      </c>
      <c r="H55" s="225">
        <f>IF($G55="PRICED",INDEX('04 SKU Master'!$AM$5:$AM$165,MATCH($D55,'04 SKU Master'!$A$5:$A$165,0)),"")</f>
        <v/>
      </c>
      <c r="I55" s="225">
        <f>IF($G55="PRICED",INDEX('04 SKU Master'!$AN$5:$AN$165,MATCH($D55,'04 SKU Master'!$A$5:$A$165,0)),"")</f>
        <v/>
      </c>
    </row>
    <row r="56">
      <c r="A56" s="224" t="n">
        <v>52</v>
      </c>
      <c r="B56" s="225" t="inlineStr">
        <is>
          <t>04 SKU Master</t>
        </is>
      </c>
      <c r="C56" s="225" t="inlineStr">
        <is>
          <t>Vegetables</t>
        </is>
      </c>
      <c r="D56" s="225" t="inlineStr">
        <is>
          <t>PP-GARLIC</t>
        </is>
      </c>
      <c r="E56" s="225" t="inlineStr">
        <is>
          <t>Garlic</t>
        </is>
      </c>
      <c r="F56" s="225" t="inlineStr">
        <is>
          <t>g</t>
        </is>
      </c>
      <c r="G56" s="226">
        <f>IF(ISNUMBER(INDEX('04 SKU Master'!$AM$5:$AM$165,MATCH($D56,'04 SKU Master'!$A$5:$A$165,0))),"PRICED","NEEDS QUOTE")</f>
        <v/>
      </c>
      <c r="H56" s="225">
        <f>IF($G56="PRICED",INDEX('04 SKU Master'!$AM$5:$AM$165,MATCH($D56,'04 SKU Master'!$A$5:$A$165,0)),"")</f>
        <v/>
      </c>
      <c r="I56" s="225">
        <f>IF($G56="PRICED",INDEX('04 SKU Master'!$AN$5:$AN$165,MATCH($D56,'04 SKU Master'!$A$5:$A$165,0)),"")</f>
        <v/>
      </c>
    </row>
    <row r="57">
      <c r="A57" s="224" t="n">
        <v>53</v>
      </c>
      <c r="B57" s="225" t="inlineStr">
        <is>
          <t>04 SKU Master</t>
        </is>
      </c>
      <c r="C57" s="225" t="inlineStr">
        <is>
          <t>Vegetables</t>
        </is>
      </c>
      <c r="D57" s="225" t="inlineStr">
        <is>
          <t>PP-CELERY</t>
        </is>
      </c>
      <c r="E57" s="225" t="inlineStr">
        <is>
          <t>Celery</t>
        </is>
      </c>
      <c r="F57" s="225" t="inlineStr">
        <is>
          <t>g</t>
        </is>
      </c>
      <c r="G57" s="226">
        <f>IF(ISNUMBER(INDEX('04 SKU Master'!$AM$5:$AM$165,MATCH($D57,'04 SKU Master'!$A$5:$A$165,0))),"PRICED","NEEDS QUOTE")</f>
        <v/>
      </c>
      <c r="H57" s="225">
        <f>IF($G57="PRICED",INDEX('04 SKU Master'!$AM$5:$AM$165,MATCH($D57,'04 SKU Master'!$A$5:$A$165,0)),"")</f>
        <v/>
      </c>
      <c r="I57" s="225">
        <f>IF($G57="PRICED",INDEX('04 SKU Master'!$AN$5:$AN$165,MATCH($D57,'04 SKU Master'!$A$5:$A$165,0)),"")</f>
        <v/>
      </c>
    </row>
    <row r="58">
      <c r="A58" s="224" t="n">
        <v>54</v>
      </c>
      <c r="B58" s="225" t="inlineStr">
        <is>
          <t>04 SKU Master</t>
        </is>
      </c>
      <c r="C58" s="225" t="inlineStr">
        <is>
          <t>Vegetables</t>
        </is>
      </c>
      <c r="D58" s="225" t="inlineStr">
        <is>
          <t>PP-VEG-CARROT</t>
        </is>
      </c>
      <c r="E58" s="225" t="inlineStr">
        <is>
          <t>Carrots</t>
        </is>
      </c>
      <c r="F58" s="225" t="inlineStr">
        <is>
          <t>g</t>
        </is>
      </c>
      <c r="G58" s="227">
        <f>IF(ISNUMBER(INDEX('04 SKU Master'!$AM$5:$AM$165,MATCH($D58,'04 SKU Master'!$A$5:$A$165,0))),"PRICED","NEEDS QUOTE")</f>
        <v/>
      </c>
      <c r="H58" s="225">
        <f>IF($G58="PRICED",INDEX('04 SKU Master'!$AM$5:$AM$165,MATCH($D58,'04 SKU Master'!$A$5:$A$165,0)),"")</f>
        <v/>
      </c>
      <c r="I58" s="225">
        <f>IF($G58="PRICED",INDEX('04 SKU Master'!$AN$5:$AN$165,MATCH($D58,'04 SKU Master'!$A$5:$A$165,0)),"")</f>
        <v/>
      </c>
    </row>
    <row r="59">
      <c r="A59" s="224" t="n">
        <v>55</v>
      </c>
      <c r="B59" s="225" t="inlineStr">
        <is>
          <t>04 SKU Master</t>
        </is>
      </c>
      <c r="C59" s="225" t="inlineStr">
        <is>
          <t>Vegetables</t>
        </is>
      </c>
      <c r="D59" s="225" t="inlineStr">
        <is>
          <t>PP-VEG-MUSH</t>
        </is>
      </c>
      <c r="E59" s="225" t="inlineStr">
        <is>
          <t>Mushrooms (brown / button)</t>
        </is>
      </c>
      <c r="F59" s="225" t="inlineStr">
        <is>
          <t>g</t>
        </is>
      </c>
      <c r="G59" s="226">
        <f>IF(ISNUMBER(INDEX('04 SKU Master'!$AM$5:$AM$165,MATCH($D59,'04 SKU Master'!$A$5:$A$165,0))),"PRICED","NEEDS QUOTE")</f>
        <v/>
      </c>
      <c r="H59" s="225">
        <f>IF($G59="PRICED",INDEX('04 SKU Master'!$AM$5:$AM$165,MATCH($D59,'04 SKU Master'!$A$5:$A$165,0)),"")</f>
        <v/>
      </c>
      <c r="I59" s="225">
        <f>IF($G59="PRICED",INDEX('04 SKU Master'!$AN$5:$AN$165,MATCH($D59,'04 SKU Master'!$A$5:$A$165,0)),"")</f>
        <v/>
      </c>
    </row>
    <row r="60">
      <c r="A60" s="224" t="n">
        <v>56</v>
      </c>
      <c r="B60" s="225" t="inlineStr">
        <is>
          <t>04 SKU Master</t>
        </is>
      </c>
      <c r="C60" s="225" t="inlineStr">
        <is>
          <t>Vegetables</t>
        </is>
      </c>
      <c r="D60" s="225" t="inlineStr">
        <is>
          <t>PP-VEG-SPINACH</t>
        </is>
      </c>
      <c r="E60" s="225" t="inlineStr">
        <is>
          <t>Baby spinach</t>
        </is>
      </c>
      <c r="F60" s="225" t="inlineStr">
        <is>
          <t>g</t>
        </is>
      </c>
      <c r="G60" s="227">
        <f>IF(ISNUMBER(INDEX('04 SKU Master'!$AM$5:$AM$165,MATCH($D60,'04 SKU Master'!$A$5:$A$165,0))),"PRICED","NEEDS QUOTE")</f>
        <v/>
      </c>
      <c r="H60" s="225">
        <f>IF($G60="PRICED",INDEX('04 SKU Master'!$AM$5:$AM$165,MATCH($D60,'04 SKU Master'!$A$5:$A$165,0)),"")</f>
        <v/>
      </c>
      <c r="I60" s="225">
        <f>IF($G60="PRICED",INDEX('04 SKU Master'!$AN$5:$AN$165,MATCH($D60,'04 SKU Master'!$A$5:$A$165,0)),"")</f>
        <v/>
      </c>
    </row>
    <row r="61">
      <c r="A61" s="224" t="n">
        <v>57</v>
      </c>
      <c r="B61" s="225" t="inlineStr">
        <is>
          <t>04 SKU Master</t>
        </is>
      </c>
      <c r="C61" s="225" t="inlineStr">
        <is>
          <t>Vegetables</t>
        </is>
      </c>
      <c r="D61" s="225" t="inlineStr">
        <is>
          <t>PP-VEG-BROCC</t>
        </is>
      </c>
      <c r="E61" s="225" t="inlineStr">
        <is>
          <t>Broccoli</t>
        </is>
      </c>
      <c r="F61" s="225" t="inlineStr">
        <is>
          <t>g</t>
        </is>
      </c>
      <c r="G61" s="227">
        <f>IF(ISNUMBER(INDEX('04 SKU Master'!$AM$5:$AM$165,MATCH($D61,'04 SKU Master'!$A$5:$A$165,0))),"PRICED","NEEDS QUOTE")</f>
        <v/>
      </c>
      <c r="H61" s="225">
        <f>IF($G61="PRICED",INDEX('04 SKU Master'!$AM$5:$AM$165,MATCH($D61,'04 SKU Master'!$A$5:$A$165,0)),"")</f>
        <v/>
      </c>
      <c r="I61" s="225">
        <f>IF($G61="PRICED",INDEX('04 SKU Master'!$AN$5:$AN$165,MATCH($D61,'04 SKU Master'!$A$5:$A$165,0)),"")</f>
        <v/>
      </c>
    </row>
    <row r="62">
      <c r="A62" s="224" t="n">
        <v>58</v>
      </c>
      <c r="B62" s="225" t="inlineStr">
        <is>
          <t>04 SKU Master</t>
        </is>
      </c>
      <c r="C62" s="225" t="inlineStr">
        <is>
          <t>Vegetables</t>
        </is>
      </c>
      <c r="D62" s="225" t="inlineStr">
        <is>
          <t>PP-VEG-PEPPER</t>
        </is>
      </c>
      <c r="E62" s="225" t="inlineStr">
        <is>
          <t>Bell peppers / mixed peppers</t>
        </is>
      </c>
      <c r="F62" s="225" t="inlineStr">
        <is>
          <t>g</t>
        </is>
      </c>
      <c r="G62" s="227">
        <f>IF(ISNUMBER(INDEX('04 SKU Master'!$AM$5:$AM$165,MATCH($D62,'04 SKU Master'!$A$5:$A$165,0))),"PRICED","NEEDS QUOTE")</f>
        <v/>
      </c>
      <c r="H62" s="225">
        <f>IF($G62="PRICED",INDEX('04 SKU Master'!$AM$5:$AM$165,MATCH($D62,'04 SKU Master'!$A$5:$A$165,0)),"")</f>
        <v/>
      </c>
      <c r="I62" s="225">
        <f>IF($G62="PRICED",INDEX('04 SKU Master'!$AN$5:$AN$165,MATCH($D62,'04 SKU Master'!$A$5:$A$165,0)),"")</f>
        <v/>
      </c>
    </row>
    <row r="63">
      <c r="A63" s="224" t="n">
        <v>59</v>
      </c>
      <c r="B63" s="225" t="inlineStr">
        <is>
          <t>04 SKU Master</t>
        </is>
      </c>
      <c r="C63" s="225" t="inlineStr">
        <is>
          <t>Vegetables</t>
        </is>
      </c>
      <c r="D63" s="225" t="inlineStr">
        <is>
          <t>PP-VEG-ZUCCHINI</t>
        </is>
      </c>
      <c r="E63" s="225" t="inlineStr">
        <is>
          <t>Baby marrow / zucchini</t>
        </is>
      </c>
      <c r="F63" s="225" t="inlineStr">
        <is>
          <t>g</t>
        </is>
      </c>
      <c r="G63" s="227">
        <f>IF(ISNUMBER(INDEX('04 SKU Master'!$AM$5:$AM$165,MATCH($D63,'04 SKU Master'!$A$5:$A$165,0))),"PRICED","NEEDS QUOTE")</f>
        <v/>
      </c>
      <c r="H63" s="225">
        <f>IF($G63="PRICED",INDEX('04 SKU Master'!$AM$5:$AM$165,MATCH($D63,'04 SKU Master'!$A$5:$A$165,0)),"")</f>
        <v/>
      </c>
      <c r="I63" s="225">
        <f>IF($G63="PRICED",INDEX('04 SKU Master'!$AN$5:$AN$165,MATCH($D63,'04 SKU Master'!$A$5:$A$165,0)),"")</f>
        <v/>
      </c>
    </row>
    <row r="64">
      <c r="A64" s="224" t="n">
        <v>60</v>
      </c>
      <c r="B64" s="225" t="inlineStr">
        <is>
          <t>04 SKU Master</t>
        </is>
      </c>
      <c r="C64" s="225" t="inlineStr">
        <is>
          <t>Vegetables</t>
        </is>
      </c>
      <c r="D64" s="225" t="inlineStr">
        <is>
          <t>PP-VEG-CHERRYTOM</t>
        </is>
      </c>
      <c r="E64" s="225" t="inlineStr">
        <is>
          <t>Cherry tomatoes</t>
        </is>
      </c>
      <c r="F64" s="225" t="inlineStr">
        <is>
          <t>g</t>
        </is>
      </c>
      <c r="G64" s="226">
        <f>IF(ISNUMBER(INDEX('04 SKU Master'!$AM$5:$AM$165,MATCH($D64,'04 SKU Master'!$A$5:$A$165,0))),"PRICED","NEEDS QUOTE")</f>
        <v/>
      </c>
      <c r="H64" s="225">
        <f>IF($G64="PRICED",INDEX('04 SKU Master'!$AM$5:$AM$165,MATCH($D64,'04 SKU Master'!$A$5:$A$165,0)),"")</f>
        <v/>
      </c>
      <c r="I64" s="225">
        <f>IF($G64="PRICED",INDEX('04 SKU Master'!$AN$5:$AN$165,MATCH($D64,'04 SKU Master'!$A$5:$A$165,0)),"")</f>
        <v/>
      </c>
    </row>
    <row r="65">
      <c r="A65" s="224" t="n">
        <v>61</v>
      </c>
      <c r="B65" s="225" t="inlineStr">
        <is>
          <t>04 SKU Master</t>
        </is>
      </c>
      <c r="C65" s="225" t="inlineStr">
        <is>
          <t>Vegetables</t>
        </is>
      </c>
      <c r="D65" s="225" t="inlineStr">
        <is>
          <t>PP-VEG-SUNDRIEDTOM</t>
        </is>
      </c>
      <c r="E65" s="225" t="inlineStr">
        <is>
          <t>Sun-dried tomatoes</t>
        </is>
      </c>
      <c r="F65" s="225" t="inlineStr">
        <is>
          <t>g</t>
        </is>
      </c>
      <c r="G65" s="227">
        <f>IF(ISNUMBER(INDEX('04 SKU Master'!$AM$5:$AM$165,MATCH($D65,'04 SKU Master'!$A$5:$A$165,0))),"PRICED","NEEDS QUOTE")</f>
        <v/>
      </c>
      <c r="H65" s="225">
        <f>IF($G65="PRICED",INDEX('04 SKU Master'!$AM$5:$AM$165,MATCH($D65,'04 SKU Master'!$A$5:$A$165,0)),"")</f>
        <v/>
      </c>
      <c r="I65" s="225">
        <f>IF($G65="PRICED",INDEX('04 SKU Master'!$AN$5:$AN$165,MATCH($D65,'04 SKU Master'!$A$5:$A$165,0)),"")</f>
        <v/>
      </c>
    </row>
    <row r="66">
      <c r="A66" s="224" t="n">
        <v>62</v>
      </c>
      <c r="B66" s="225" t="inlineStr">
        <is>
          <t>04 SKU Master</t>
        </is>
      </c>
      <c r="C66" s="225" t="inlineStr">
        <is>
          <t>Vegetables</t>
        </is>
      </c>
      <c r="D66" s="225" t="inlineStr">
        <is>
          <t>PP-VEG-SWEETCORN</t>
        </is>
      </c>
      <c r="E66" s="225" t="inlineStr">
        <is>
          <t>Sweetcorn</t>
        </is>
      </c>
      <c r="F66" s="225" t="inlineStr">
        <is>
          <t>g</t>
        </is>
      </c>
      <c r="G66" s="227">
        <f>IF(ISNUMBER(INDEX('04 SKU Master'!$AM$5:$AM$165,MATCH($D66,'04 SKU Master'!$A$5:$A$165,0))),"PRICED","NEEDS QUOTE")</f>
        <v/>
      </c>
      <c r="H66" s="225">
        <f>IF($G66="PRICED",INDEX('04 SKU Master'!$AM$5:$AM$165,MATCH($D66,'04 SKU Master'!$A$5:$A$165,0)),"")</f>
        <v/>
      </c>
      <c r="I66" s="225">
        <f>IF($G66="PRICED",INDEX('04 SKU Master'!$AN$5:$AN$165,MATCH($D66,'04 SKU Master'!$A$5:$A$165,0)),"")</f>
        <v/>
      </c>
    </row>
    <row r="67">
      <c r="A67" s="224" t="n">
        <v>63</v>
      </c>
      <c r="B67" s="225" t="inlineStr">
        <is>
          <t>04 SKU Master</t>
        </is>
      </c>
      <c r="C67" s="225" t="inlineStr">
        <is>
          <t>Vegetables</t>
        </is>
      </c>
      <c r="D67" s="225" t="inlineStr">
        <is>
          <t>PP-VEG-PEAS</t>
        </is>
      </c>
      <c r="E67" s="225" t="inlineStr">
        <is>
          <t>Peas</t>
        </is>
      </c>
      <c r="F67" s="225" t="inlineStr">
        <is>
          <t>g</t>
        </is>
      </c>
      <c r="G67" s="227">
        <f>IF(ISNUMBER(INDEX('04 SKU Master'!$AM$5:$AM$165,MATCH($D67,'04 SKU Master'!$A$5:$A$165,0))),"PRICED","NEEDS QUOTE")</f>
        <v/>
      </c>
      <c r="H67" s="225">
        <f>IF($G67="PRICED",INDEX('04 SKU Master'!$AM$5:$AM$165,MATCH($D67,'04 SKU Master'!$A$5:$A$165,0)),"")</f>
        <v/>
      </c>
      <c r="I67" s="225">
        <f>IF($G67="PRICED",INDEX('04 SKU Master'!$AN$5:$AN$165,MATCH($D67,'04 SKU Master'!$A$5:$A$165,0)),"")</f>
        <v/>
      </c>
    </row>
    <row r="68">
      <c r="A68" s="224" t="n">
        <v>64</v>
      </c>
      <c r="B68" s="225" t="inlineStr">
        <is>
          <t>04 SKU Master</t>
        </is>
      </c>
      <c r="C68" s="225" t="inlineStr">
        <is>
          <t>Vegetables</t>
        </is>
      </c>
      <c r="D68" s="225" t="inlineStr">
        <is>
          <t>PP-VEG-BUTTERNUT</t>
        </is>
      </c>
      <c r="E68" s="225" t="inlineStr">
        <is>
          <t>Butternut</t>
        </is>
      </c>
      <c r="F68" s="225" t="inlineStr">
        <is>
          <t>g</t>
        </is>
      </c>
      <c r="G68" s="227">
        <f>IF(ISNUMBER(INDEX('04 SKU Master'!$AM$5:$AM$165,MATCH($D68,'04 SKU Master'!$A$5:$A$165,0))),"PRICED","NEEDS QUOTE")</f>
        <v/>
      </c>
      <c r="H68" s="225">
        <f>IF($G68="PRICED",INDEX('04 SKU Master'!$AM$5:$AM$165,MATCH($D68,'04 SKU Master'!$A$5:$A$165,0)),"")</f>
        <v/>
      </c>
      <c r="I68" s="225">
        <f>IF($G68="PRICED",INDEX('04 SKU Master'!$AN$5:$AN$165,MATCH($D68,'04 SKU Master'!$A$5:$A$165,0)),"")</f>
        <v/>
      </c>
    </row>
    <row r="69">
      <c r="A69" s="224" t="n">
        <v>65</v>
      </c>
      <c r="B69" s="225" t="inlineStr">
        <is>
          <t>04 SKU Master</t>
        </is>
      </c>
      <c r="C69" s="225" t="inlineStr">
        <is>
          <t>Vegetables</t>
        </is>
      </c>
      <c r="D69" s="225" t="inlineStr">
        <is>
          <t>PP-VEG-AUBERGINE</t>
        </is>
      </c>
      <c r="E69" s="225" t="inlineStr">
        <is>
          <t>Aubergine / eggplant</t>
        </is>
      </c>
      <c r="F69" s="225" t="inlineStr">
        <is>
          <t>g</t>
        </is>
      </c>
      <c r="G69" s="226">
        <f>IF(ISNUMBER(INDEX('04 SKU Master'!$AM$5:$AM$165,MATCH($D69,'04 SKU Master'!$A$5:$A$165,0))),"PRICED","NEEDS QUOTE")</f>
        <v/>
      </c>
      <c r="H69" s="225">
        <f>IF($G69="PRICED",INDEX('04 SKU Master'!$AM$5:$AM$165,MATCH($D69,'04 SKU Master'!$A$5:$A$165,0)),"")</f>
        <v/>
      </c>
      <c r="I69" s="225">
        <f>IF($G69="PRICED",INDEX('04 SKU Master'!$AN$5:$AN$165,MATCH($D69,'04 SKU Master'!$A$5:$A$165,0)),"")</f>
        <v/>
      </c>
    </row>
    <row r="70">
      <c r="A70" s="224" t="n">
        <v>66</v>
      </c>
      <c r="B70" s="225" t="inlineStr">
        <is>
          <t>04 SKU Master</t>
        </is>
      </c>
      <c r="C70" s="225" t="inlineStr">
        <is>
          <t>Vegetables</t>
        </is>
      </c>
      <c r="D70" s="225" t="inlineStr">
        <is>
          <t>PP-VEG-GREENBEAN</t>
        </is>
      </c>
      <c r="E70" s="225" t="inlineStr">
        <is>
          <t>Green beans</t>
        </is>
      </c>
      <c r="F70" s="225" t="inlineStr">
        <is>
          <t>g</t>
        </is>
      </c>
      <c r="G70" s="227">
        <f>IF(ISNUMBER(INDEX('04 SKU Master'!$AM$5:$AM$165,MATCH($D70,'04 SKU Master'!$A$5:$A$165,0))),"PRICED","NEEDS QUOTE")</f>
        <v/>
      </c>
      <c r="H70" s="225">
        <f>IF($G70="PRICED",INDEX('04 SKU Master'!$AM$5:$AM$165,MATCH($D70,'04 SKU Master'!$A$5:$A$165,0)),"")</f>
        <v/>
      </c>
      <c r="I70" s="225">
        <f>IF($G70="PRICED",INDEX('04 SKU Master'!$AN$5:$AN$165,MATCH($D70,'04 SKU Master'!$A$5:$A$165,0)),"")</f>
        <v/>
      </c>
    </row>
    <row r="71">
      <c r="A71" s="224" t="n">
        <v>67</v>
      </c>
      <c r="B71" s="225" t="inlineStr">
        <is>
          <t>04 SKU Master</t>
        </is>
      </c>
      <c r="C71" s="225" t="inlineStr">
        <is>
          <t>Vegetables</t>
        </is>
      </c>
      <c r="D71" s="225" t="inlineStr">
        <is>
          <t>PP-VEG-ASPARAGUS</t>
        </is>
      </c>
      <c r="E71" s="225" t="inlineStr">
        <is>
          <t>Asparagus</t>
        </is>
      </c>
      <c r="F71" s="225" t="inlineStr">
        <is>
          <t>g</t>
        </is>
      </c>
      <c r="G71" s="227">
        <f>IF(ISNUMBER(INDEX('04 SKU Master'!$AM$5:$AM$165,MATCH($D71,'04 SKU Master'!$A$5:$A$165,0))),"PRICED","NEEDS QUOTE")</f>
        <v/>
      </c>
      <c r="H71" s="225">
        <f>IF($G71="PRICED",INDEX('04 SKU Master'!$AM$5:$AM$165,MATCH($D71,'04 SKU Master'!$A$5:$A$165,0)),"")</f>
        <v/>
      </c>
      <c r="I71" s="225">
        <f>IF($G71="PRICED",INDEX('04 SKU Master'!$AN$5:$AN$165,MATCH($D71,'04 SKU Master'!$A$5:$A$165,0)),"")</f>
        <v/>
      </c>
    </row>
    <row r="72">
      <c r="A72" s="224" t="n">
        <v>68</v>
      </c>
      <c r="B72" s="225" t="inlineStr">
        <is>
          <t>04 SKU Master</t>
        </is>
      </c>
      <c r="C72" s="225" t="inlineStr">
        <is>
          <t>Vegetables</t>
        </is>
      </c>
      <c r="D72" s="225" t="inlineStr">
        <is>
          <t>PP-VEG-ARTICHOKE</t>
        </is>
      </c>
      <c r="E72" s="225" t="inlineStr">
        <is>
          <t>Artichokes</t>
        </is>
      </c>
      <c r="F72" s="225" t="inlineStr">
        <is>
          <t>g</t>
        </is>
      </c>
      <c r="G72" s="226">
        <f>IF(ISNUMBER(INDEX('04 SKU Master'!$AM$5:$AM$165,MATCH($D72,'04 SKU Master'!$A$5:$A$165,0))),"PRICED","NEEDS QUOTE")</f>
        <v/>
      </c>
      <c r="H72" s="225">
        <f>IF($G72="PRICED",INDEX('04 SKU Master'!$AM$5:$AM$165,MATCH($D72,'04 SKU Master'!$A$5:$A$165,0)),"")</f>
        <v/>
      </c>
      <c r="I72" s="225">
        <f>IF($G72="PRICED",INDEX('04 SKU Master'!$AN$5:$AN$165,MATCH($D72,'04 SKU Master'!$A$5:$A$165,0)),"")</f>
        <v/>
      </c>
    </row>
    <row r="73">
      <c r="A73" s="224" t="n">
        <v>69</v>
      </c>
      <c r="B73" s="225" t="inlineStr">
        <is>
          <t>04 SKU Master</t>
        </is>
      </c>
      <c r="C73" s="225" t="inlineStr">
        <is>
          <t>Vegetables</t>
        </is>
      </c>
      <c r="D73" s="225" t="inlineStr">
        <is>
          <t>PP-VEG-OLIVE</t>
        </is>
      </c>
      <c r="E73" s="225" t="inlineStr">
        <is>
          <t>Olives</t>
        </is>
      </c>
      <c r="F73" s="225" t="inlineStr">
        <is>
          <t>g</t>
        </is>
      </c>
      <c r="G73" s="226">
        <f>IF(ISNUMBER(INDEX('04 SKU Master'!$AM$5:$AM$165,MATCH($D73,'04 SKU Master'!$A$5:$A$165,0))),"PRICED","NEEDS QUOTE")</f>
        <v/>
      </c>
      <c r="H73" s="225">
        <f>IF($G73="PRICED",INDEX('04 SKU Master'!$AM$5:$AM$165,MATCH($D73,'04 SKU Master'!$A$5:$A$165,0)),"")</f>
        <v/>
      </c>
      <c r="I73" s="225">
        <f>IF($G73="PRICED",INDEX('04 SKU Master'!$AN$5:$AN$165,MATCH($D73,'04 SKU Master'!$A$5:$A$165,0)),"")</f>
        <v/>
      </c>
    </row>
    <row r="74">
      <c r="A74" s="224" t="n">
        <v>70</v>
      </c>
      <c r="B74" s="225" t="inlineStr">
        <is>
          <t>04 SKU Master</t>
        </is>
      </c>
      <c r="C74" s="225" t="inlineStr">
        <is>
          <t>Vegetables</t>
        </is>
      </c>
      <c r="D74" s="225" t="inlineStr">
        <is>
          <t>PP-VEG-CUCUMBER</t>
        </is>
      </c>
      <c r="E74" s="225" t="inlineStr">
        <is>
          <t>Cucumber</t>
        </is>
      </c>
      <c r="F74" s="225" t="inlineStr">
        <is>
          <t>g</t>
        </is>
      </c>
      <c r="G74" s="226">
        <f>IF(ISNUMBER(INDEX('04 SKU Master'!$AM$5:$AM$165,MATCH($D74,'04 SKU Master'!$A$5:$A$165,0))),"PRICED","NEEDS QUOTE")</f>
        <v/>
      </c>
      <c r="H74" s="225">
        <f>IF($G74="PRICED",INDEX('04 SKU Master'!$AM$5:$AM$165,MATCH($D74,'04 SKU Master'!$A$5:$A$165,0)),"")</f>
        <v/>
      </c>
      <c r="I74" s="225">
        <f>IF($G74="PRICED",INDEX('04 SKU Master'!$AN$5:$AN$165,MATCH($D74,'04 SKU Master'!$A$5:$A$165,0)),"")</f>
        <v/>
      </c>
    </row>
    <row r="75">
      <c r="A75" s="224" t="n">
        <v>71</v>
      </c>
      <c r="B75" s="225" t="inlineStr">
        <is>
          <t>04 SKU Master</t>
        </is>
      </c>
      <c r="C75" s="225" t="inlineStr">
        <is>
          <t>Vegetables</t>
        </is>
      </c>
      <c r="D75" s="225" t="inlineStr">
        <is>
          <t>PP-VEG-LEMON</t>
        </is>
      </c>
      <c r="E75" s="225" t="inlineStr">
        <is>
          <t>Lemons</t>
        </is>
      </c>
      <c r="F75" s="225" t="inlineStr">
        <is>
          <t>g</t>
        </is>
      </c>
      <c r="G75" s="226">
        <f>IF(ISNUMBER(INDEX('04 SKU Master'!$AM$5:$AM$165,MATCH($D75,'04 SKU Master'!$A$5:$A$165,0))),"PRICED","NEEDS QUOTE")</f>
        <v/>
      </c>
      <c r="H75" s="225">
        <f>IF($G75="PRICED",INDEX('04 SKU Master'!$AM$5:$AM$165,MATCH($D75,'04 SKU Master'!$A$5:$A$165,0)),"")</f>
        <v/>
      </c>
      <c r="I75" s="225">
        <f>IF($G75="PRICED",INDEX('04 SKU Master'!$AN$5:$AN$165,MATCH($D75,'04 SKU Master'!$A$5:$A$165,0)),"")</f>
        <v/>
      </c>
    </row>
    <row r="76">
      <c r="A76" s="224" t="n">
        <v>72</v>
      </c>
      <c r="B76" s="225" t="inlineStr">
        <is>
          <t>04 SKU Master</t>
        </is>
      </c>
      <c r="C76" s="225" t="inlineStr">
        <is>
          <t>Vegetables</t>
        </is>
      </c>
      <c r="D76" s="225" t="inlineStr">
        <is>
          <t>PP-VEG-ROCKET</t>
        </is>
      </c>
      <c r="E76" s="225" t="inlineStr">
        <is>
          <t>Rocket leaves</t>
        </is>
      </c>
      <c r="F76" s="225" t="inlineStr">
        <is>
          <t>g</t>
        </is>
      </c>
      <c r="G76" s="226">
        <f>IF(ISNUMBER(INDEX('04 SKU Master'!$AM$5:$AM$165,MATCH($D76,'04 SKU Master'!$A$5:$A$165,0))),"PRICED","NEEDS QUOTE")</f>
        <v/>
      </c>
      <c r="H76" s="225">
        <f>IF($G76="PRICED",INDEX('04 SKU Master'!$AM$5:$AM$165,MATCH($D76,'04 SKU Master'!$A$5:$A$165,0)),"")</f>
        <v/>
      </c>
      <c r="I76" s="225">
        <f>IF($G76="PRICED",INDEX('04 SKU Master'!$AN$5:$AN$165,MATCH($D76,'04 SKU Master'!$A$5:$A$165,0)),"")</f>
        <v/>
      </c>
    </row>
    <row r="77">
      <c r="A77" s="224" t="n">
        <v>73</v>
      </c>
      <c r="B77" s="225" t="inlineStr">
        <is>
          <t>04 SKU Master</t>
        </is>
      </c>
      <c r="C77" s="225" t="inlineStr">
        <is>
          <t>Mushroom (TLF)</t>
        </is>
      </c>
      <c r="D77" s="225" t="inlineStr">
        <is>
          <t>PP-GRO-MSH-001</t>
        </is>
      </c>
      <c r="E77" s="225" t="inlineStr">
        <is>
          <t>Grey oyster mushrooms</t>
        </is>
      </c>
      <c r="F77" s="225" t="inlineStr">
        <is>
          <t>g</t>
        </is>
      </c>
      <c r="G77" s="227">
        <f>IF(ISNUMBER(INDEX('04 SKU Master'!$AM$5:$AM$165,MATCH($D77,'04 SKU Master'!$A$5:$A$165,0))),"PRICED","NEEDS QUOTE")</f>
        <v/>
      </c>
      <c r="H77" s="225">
        <f>IF($G77="PRICED",INDEX('04 SKU Master'!$AM$5:$AM$165,MATCH($D77,'04 SKU Master'!$A$5:$A$165,0)),"")</f>
        <v/>
      </c>
      <c r="I77" s="225">
        <f>IF($G77="PRICED",INDEX('04 SKU Master'!$AN$5:$AN$165,MATCH($D77,'04 SKU Master'!$A$5:$A$165,0)),"")</f>
        <v/>
      </c>
    </row>
    <row r="78">
      <c r="A78" s="224" t="n">
        <v>74</v>
      </c>
      <c r="B78" s="225" t="inlineStr">
        <is>
          <t>04 SKU Master</t>
        </is>
      </c>
      <c r="C78" s="225" t="inlineStr">
        <is>
          <t>Mushroom (TLF)</t>
        </is>
      </c>
      <c r="D78" s="225" t="inlineStr">
        <is>
          <t>PP-KO-MSH-002</t>
        </is>
      </c>
      <c r="E78" s="225" t="inlineStr">
        <is>
          <t>King oyster mushrooms</t>
        </is>
      </c>
      <c r="F78" s="225" t="inlineStr">
        <is>
          <t>g</t>
        </is>
      </c>
      <c r="G78" s="227">
        <f>IF(ISNUMBER(INDEX('04 SKU Master'!$AM$5:$AM$165,MATCH($D78,'04 SKU Master'!$A$5:$A$165,0))),"PRICED","NEEDS QUOTE")</f>
        <v/>
      </c>
      <c r="H78" s="225">
        <f>IF($G78="PRICED",INDEX('04 SKU Master'!$AM$5:$AM$165,MATCH($D78,'04 SKU Master'!$A$5:$A$165,0)),"")</f>
        <v/>
      </c>
      <c r="I78" s="225">
        <f>IF($G78="PRICED",INDEX('04 SKU Master'!$AN$5:$AN$165,MATCH($D78,'04 SKU Master'!$A$5:$A$165,0)),"")</f>
        <v/>
      </c>
    </row>
    <row r="79">
      <c r="A79" s="224" t="n">
        <v>75</v>
      </c>
      <c r="B79" s="225" t="inlineStr">
        <is>
          <t>04 SKU Master</t>
        </is>
      </c>
      <c r="C79" s="225" t="inlineStr">
        <is>
          <t>Microgreen</t>
        </is>
      </c>
      <c r="D79" s="225" t="inlineStr">
        <is>
          <t>PP-BA-MIC-001</t>
        </is>
      </c>
      <c r="E79" s="225" t="inlineStr">
        <is>
          <t>Basil microgreens</t>
        </is>
      </c>
      <c r="F79" s="225" t="inlineStr">
        <is>
          <t>g</t>
        </is>
      </c>
      <c r="G79" s="227">
        <f>IF(ISNUMBER(INDEX('04 SKU Master'!$AM$5:$AM$165,MATCH($D79,'04 SKU Master'!$A$5:$A$165,0))),"PRICED","NEEDS QUOTE")</f>
        <v/>
      </c>
      <c r="H79" s="225">
        <f>IF($G79="PRICED",INDEX('04 SKU Master'!$AM$5:$AM$165,MATCH($D79,'04 SKU Master'!$A$5:$A$165,0)),"")</f>
        <v/>
      </c>
      <c r="I79" s="225">
        <f>IF($G79="PRICED",INDEX('04 SKU Master'!$AN$5:$AN$165,MATCH($D79,'04 SKU Master'!$A$5:$A$165,0)),"")</f>
        <v/>
      </c>
    </row>
    <row r="80">
      <c r="A80" s="224" t="n">
        <v>76</v>
      </c>
      <c r="B80" s="225" t="inlineStr">
        <is>
          <t>04 SKU Master</t>
        </is>
      </c>
      <c r="C80" s="225" t="inlineStr">
        <is>
          <t>Microgreen</t>
        </is>
      </c>
      <c r="D80" s="225" t="inlineStr">
        <is>
          <t>PP-ROC-MIC-002</t>
        </is>
      </c>
      <c r="E80" s="225" t="inlineStr">
        <is>
          <t>Rocket microgreens</t>
        </is>
      </c>
      <c r="F80" s="225" t="inlineStr">
        <is>
          <t>g</t>
        </is>
      </c>
      <c r="G80" s="227">
        <f>IF(ISNUMBER(INDEX('04 SKU Master'!$AM$5:$AM$165,MATCH($D80,'04 SKU Master'!$A$5:$A$165,0))),"PRICED","NEEDS QUOTE")</f>
        <v/>
      </c>
      <c r="H80" s="225">
        <f>IF($G80="PRICED",INDEX('04 SKU Master'!$AM$5:$AM$165,MATCH($D80,'04 SKU Master'!$A$5:$A$165,0)),"")</f>
        <v/>
      </c>
      <c r="I80" s="225">
        <f>IF($G80="PRICED",INDEX('04 SKU Master'!$AN$5:$AN$165,MATCH($D80,'04 SKU Master'!$A$5:$A$165,0)),"")</f>
        <v/>
      </c>
    </row>
    <row r="81">
      <c r="A81" s="224" t="n">
        <v>77</v>
      </c>
      <c r="B81" s="225" t="inlineStr">
        <is>
          <t>04 SKU Master</t>
        </is>
      </c>
      <c r="C81" s="225" t="inlineStr">
        <is>
          <t>Microgreen</t>
        </is>
      </c>
      <c r="D81" s="225" t="inlineStr">
        <is>
          <t>PP-RAD-MIC-003</t>
        </is>
      </c>
      <c r="E81" s="225" t="inlineStr">
        <is>
          <t>Radish microgreens</t>
        </is>
      </c>
      <c r="F81" s="225" t="inlineStr">
        <is>
          <t>g</t>
        </is>
      </c>
      <c r="G81" s="227">
        <f>IF(ISNUMBER(INDEX('04 SKU Master'!$AM$5:$AM$165,MATCH($D81,'04 SKU Master'!$A$5:$A$165,0))),"PRICED","NEEDS QUOTE")</f>
        <v/>
      </c>
      <c r="H81" s="225">
        <f>IF($G81="PRICED",INDEX('04 SKU Master'!$AM$5:$AM$165,MATCH($D81,'04 SKU Master'!$A$5:$A$165,0)),"")</f>
        <v/>
      </c>
      <c r="I81" s="225">
        <f>IF($G81="PRICED",INDEX('04 SKU Master'!$AN$5:$AN$165,MATCH($D81,'04 SKU Master'!$A$5:$A$165,0)),"")</f>
        <v/>
      </c>
    </row>
    <row r="82">
      <c r="A82" s="224" t="n">
        <v>78</v>
      </c>
      <c r="B82" s="225" t="inlineStr">
        <is>
          <t>04 SKU Master</t>
        </is>
      </c>
      <c r="C82" s="225" t="inlineStr">
        <is>
          <t>Microgreen</t>
        </is>
      </c>
      <c r="D82" s="225" t="inlineStr">
        <is>
          <t>PP-AMR-MIC-004</t>
        </is>
      </c>
      <c r="E82" s="225" t="inlineStr">
        <is>
          <t>Amaranth microgreens</t>
        </is>
      </c>
      <c r="F82" s="225" t="inlineStr">
        <is>
          <t>g</t>
        </is>
      </c>
      <c r="G82" s="227">
        <f>IF(ISNUMBER(INDEX('04 SKU Master'!$AM$5:$AM$165,MATCH($D82,'04 SKU Master'!$A$5:$A$165,0))),"PRICED","NEEDS QUOTE")</f>
        <v/>
      </c>
      <c r="H82" s="225">
        <f>IF($G82="PRICED",INDEX('04 SKU Master'!$AM$5:$AM$165,MATCH($D82,'04 SKU Master'!$A$5:$A$165,0)),"")</f>
        <v/>
      </c>
      <c r="I82" s="225">
        <f>IF($G82="PRICED",INDEX('04 SKU Master'!$AN$5:$AN$165,MATCH($D82,'04 SKU Master'!$A$5:$A$165,0)),"")</f>
        <v/>
      </c>
    </row>
    <row r="83">
      <c r="A83" s="224" t="n">
        <v>79</v>
      </c>
      <c r="B83" s="225" t="inlineStr">
        <is>
          <t>04 SKU Master</t>
        </is>
      </c>
      <c r="C83" s="225" t="inlineStr">
        <is>
          <t>Microgreen</t>
        </is>
      </c>
      <c r="D83" s="225" t="inlineStr">
        <is>
          <t>PP-PEA-MIC-005</t>
        </is>
      </c>
      <c r="E83" s="225" t="inlineStr">
        <is>
          <t>Pea shoot microgreens</t>
        </is>
      </c>
      <c r="F83" s="225" t="inlineStr">
        <is>
          <t>g</t>
        </is>
      </c>
      <c r="G83" s="227">
        <f>IF(ISNUMBER(INDEX('04 SKU Master'!$AM$5:$AM$165,MATCH($D83,'04 SKU Master'!$A$5:$A$165,0))),"PRICED","NEEDS QUOTE")</f>
        <v/>
      </c>
      <c r="H83" s="225">
        <f>IF($G83="PRICED",INDEX('04 SKU Master'!$AM$5:$AM$165,MATCH($D83,'04 SKU Master'!$A$5:$A$165,0)),"")</f>
        <v/>
      </c>
      <c r="I83" s="225">
        <f>IF($G83="PRICED",INDEX('04 SKU Master'!$AN$5:$AN$165,MATCH($D83,'04 SKU Master'!$A$5:$A$165,0)),"")</f>
        <v/>
      </c>
    </row>
    <row r="84">
      <c r="A84" s="224" t="n">
        <v>80</v>
      </c>
      <c r="B84" s="225" t="inlineStr">
        <is>
          <t>04 SKU Master</t>
        </is>
      </c>
      <c r="C84" s="225" t="inlineStr">
        <is>
          <t>Microgreen</t>
        </is>
      </c>
      <c r="D84" s="225" t="inlineStr">
        <is>
          <t>PP-SUN-MIC-006</t>
        </is>
      </c>
      <c r="E84" s="225" t="inlineStr">
        <is>
          <t>Sunflower microgreens</t>
        </is>
      </c>
      <c r="F84" s="225" t="inlineStr">
        <is>
          <t>g</t>
        </is>
      </c>
      <c r="G84" s="227">
        <f>IF(ISNUMBER(INDEX('04 SKU Master'!$AM$5:$AM$165,MATCH($D84,'04 SKU Master'!$A$5:$A$165,0))),"PRICED","NEEDS QUOTE")</f>
        <v/>
      </c>
      <c r="H84" s="225">
        <f>IF($G84="PRICED",INDEX('04 SKU Master'!$AM$5:$AM$165,MATCH($D84,'04 SKU Master'!$A$5:$A$165,0)),"")</f>
        <v/>
      </c>
      <c r="I84" s="225">
        <f>IF($G84="PRICED",INDEX('04 SKU Master'!$AN$5:$AN$165,MATCH($D84,'04 SKU Master'!$A$5:$A$165,0)),"")</f>
        <v/>
      </c>
    </row>
    <row r="85">
      <c r="A85" s="224" t="n">
        <v>81</v>
      </c>
      <c r="B85" s="225" t="inlineStr">
        <is>
          <t>04 SKU Master</t>
        </is>
      </c>
      <c r="C85" s="225" t="inlineStr">
        <is>
          <t>Nuts / Seeds</t>
        </is>
      </c>
      <c r="D85" s="225" t="inlineStr">
        <is>
          <t>PP-NUT-PINE</t>
        </is>
      </c>
      <c r="E85" s="225" t="inlineStr">
        <is>
          <t>Pine nuts / toasted nuts (pesto)</t>
        </is>
      </c>
      <c r="F85" s="225" t="inlineStr">
        <is>
          <t>g</t>
        </is>
      </c>
      <c r="G85" s="226">
        <f>IF(ISNUMBER(INDEX('04 SKU Master'!$AM$5:$AM$165,MATCH($D85,'04 SKU Master'!$A$5:$A$165,0))),"PRICED","NEEDS QUOTE")</f>
        <v/>
      </c>
      <c r="H85" s="225">
        <f>IF($G85="PRICED",INDEX('04 SKU Master'!$AM$5:$AM$165,MATCH($D85,'04 SKU Master'!$A$5:$A$165,0)),"")</f>
        <v/>
      </c>
      <c r="I85" s="225">
        <f>IF($G85="PRICED",INDEX('04 SKU Master'!$AN$5:$AN$165,MATCH($D85,'04 SKU Master'!$A$5:$A$165,0)),"")</f>
        <v/>
      </c>
    </row>
    <row r="86">
      <c r="A86" s="224" t="n">
        <v>82</v>
      </c>
      <c r="B86" s="225" t="inlineStr">
        <is>
          <t>04 SKU Master</t>
        </is>
      </c>
      <c r="C86" s="225" t="inlineStr">
        <is>
          <t>Nuts / Seeds</t>
        </is>
      </c>
      <c r="D86" s="225" t="inlineStr">
        <is>
          <t>PP-SEED-SUN</t>
        </is>
      </c>
      <c r="E86" s="225" t="inlineStr">
        <is>
          <t>Sunflower seeds (nut-free pesto build)</t>
        </is>
      </c>
      <c r="F86" s="225" t="inlineStr">
        <is>
          <t>g</t>
        </is>
      </c>
      <c r="G86" s="226">
        <f>IF(ISNUMBER(INDEX('04 SKU Master'!$AM$5:$AM$165,MATCH($D86,'04 SKU Master'!$A$5:$A$165,0))),"PRICED","NEEDS QUOTE")</f>
        <v/>
      </c>
      <c r="H86" s="225">
        <f>IF($G86="PRICED",INDEX('04 SKU Master'!$AM$5:$AM$165,MATCH($D86,'04 SKU Master'!$A$5:$A$165,0)),"")</f>
        <v/>
      </c>
      <c r="I86" s="225">
        <f>IF($G86="PRICED",INDEX('04 SKU Master'!$AN$5:$AN$165,MATCH($D86,'04 SKU Master'!$A$5:$A$165,0)),"")</f>
        <v/>
      </c>
    </row>
    <row r="87">
      <c r="A87" s="224" t="n">
        <v>83</v>
      </c>
      <c r="B87" s="225" t="inlineStr">
        <is>
          <t>04 SKU Master</t>
        </is>
      </c>
      <c r="C87" s="225" t="inlineStr">
        <is>
          <t>Nuts / Seeds</t>
        </is>
      </c>
      <c r="D87" s="225" t="inlineStr">
        <is>
          <t>PP-PEANUT-BUTTER</t>
        </is>
      </c>
      <c r="E87" s="225" t="inlineStr">
        <is>
          <t>Groundnut / peanut butter</t>
        </is>
      </c>
      <c r="F87" s="225" t="inlineStr">
        <is>
          <t>g</t>
        </is>
      </c>
      <c r="G87" s="226">
        <f>IF(ISNUMBER(INDEX('04 SKU Master'!$AM$5:$AM$165,MATCH($D87,'04 SKU Master'!$A$5:$A$165,0))),"PRICED","NEEDS QUOTE")</f>
        <v/>
      </c>
      <c r="H87" s="225">
        <f>IF($G87="PRICED",INDEX('04 SKU Master'!$AM$5:$AM$165,MATCH($D87,'04 SKU Master'!$A$5:$A$165,0)),"")</f>
        <v/>
      </c>
      <c r="I87" s="225">
        <f>IF($G87="PRICED",INDEX('04 SKU Master'!$AN$5:$AN$165,MATCH($D87,'04 SKU Master'!$A$5:$A$165,0)),"")</f>
        <v/>
      </c>
    </row>
    <row r="88">
      <c r="A88" s="224" t="n">
        <v>84</v>
      </c>
      <c r="B88" s="225" t="inlineStr">
        <is>
          <t>04 SKU Master</t>
        </is>
      </c>
      <c r="C88" s="225" t="inlineStr">
        <is>
          <t>Spice Blend</t>
        </is>
      </c>
      <c r="D88" s="225" t="inlineStr">
        <is>
          <t>PP-SPICE-PERIPERI</t>
        </is>
      </c>
      <c r="E88" s="225" t="inlineStr">
        <is>
          <t>Peri-peri spice / bird's-eye chilli blend</t>
        </is>
      </c>
      <c r="F88" s="225" t="inlineStr">
        <is>
          <t>g</t>
        </is>
      </c>
      <c r="G88" s="226">
        <f>IF(ISNUMBER(INDEX('04 SKU Master'!$AM$5:$AM$165,MATCH($D88,'04 SKU Master'!$A$5:$A$165,0))),"PRICED","NEEDS QUOTE")</f>
        <v/>
      </c>
      <c r="H88" s="225">
        <f>IF($G88="PRICED",INDEX('04 SKU Master'!$AM$5:$AM$165,MATCH($D88,'04 SKU Master'!$A$5:$A$165,0)),"")</f>
        <v/>
      </c>
      <c r="I88" s="225">
        <f>IF($G88="PRICED",INDEX('04 SKU Master'!$AN$5:$AN$165,MATCH($D88,'04 SKU Master'!$A$5:$A$165,0)),"")</f>
        <v/>
      </c>
    </row>
    <row r="89">
      <c r="A89" s="224" t="n">
        <v>85</v>
      </c>
      <c r="B89" s="225" t="inlineStr">
        <is>
          <t>04 SKU Master</t>
        </is>
      </c>
      <c r="C89" s="225" t="inlineStr">
        <is>
          <t>Spice Blend</t>
        </is>
      </c>
      <c r="D89" s="225" t="inlineStr">
        <is>
          <t>PP-SPICE-BOEREWORS</t>
        </is>
      </c>
      <c r="E89" s="225" t="inlineStr">
        <is>
          <t>Boerewors spice (coriander-forward)</t>
        </is>
      </c>
      <c r="F89" s="225" t="inlineStr">
        <is>
          <t>g</t>
        </is>
      </c>
      <c r="G89" s="226">
        <f>IF(ISNUMBER(INDEX('04 SKU Master'!$AM$5:$AM$165,MATCH($D89,'04 SKU Master'!$A$5:$A$165,0))),"PRICED","NEEDS QUOTE")</f>
        <v/>
      </c>
      <c r="H89" s="225">
        <f>IF($G89="PRICED",INDEX('04 SKU Master'!$AM$5:$AM$165,MATCH($D89,'04 SKU Master'!$A$5:$A$165,0)),"")</f>
        <v/>
      </c>
      <c r="I89" s="225">
        <f>IF($G89="PRICED",INDEX('04 SKU Master'!$AN$5:$AN$165,MATCH($D89,'04 SKU Master'!$A$5:$A$165,0)),"")</f>
        <v/>
      </c>
    </row>
    <row r="90">
      <c r="A90" s="224" t="n">
        <v>86</v>
      </c>
      <c r="B90" s="225" t="inlineStr">
        <is>
          <t>04 SKU Master</t>
        </is>
      </c>
      <c r="C90" s="225" t="inlineStr">
        <is>
          <t>Spice Blend</t>
        </is>
      </c>
      <c r="D90" s="225" t="inlineStr">
        <is>
          <t>PP-SPICE-DURBAN</t>
        </is>
      </c>
      <c r="E90" s="225" t="inlineStr">
        <is>
          <t>Durban masala (mother-in-law)</t>
        </is>
      </c>
      <c r="F90" s="225" t="inlineStr">
        <is>
          <t>g</t>
        </is>
      </c>
      <c r="G90" s="226">
        <f>IF(ISNUMBER(INDEX('04 SKU Master'!$AM$5:$AM$165,MATCH($D90,'04 SKU Master'!$A$5:$A$165,0))),"PRICED","NEEDS QUOTE")</f>
        <v/>
      </c>
      <c r="H90" s="225">
        <f>IF($G90="PRICED",INDEX('04 SKU Master'!$AM$5:$AM$165,MATCH($D90,'04 SKU Master'!$A$5:$A$165,0)),"")</f>
        <v/>
      </c>
      <c r="I90" s="225">
        <f>IF($G90="PRICED",INDEX('04 SKU Master'!$AN$5:$AN$165,MATCH($D90,'04 SKU Master'!$A$5:$A$165,0)),"")</f>
        <v/>
      </c>
    </row>
    <row r="91">
      <c r="A91" s="224" t="n">
        <v>87</v>
      </c>
      <c r="B91" s="225" t="inlineStr">
        <is>
          <t>04 SKU Master</t>
        </is>
      </c>
      <c r="C91" s="225" t="inlineStr">
        <is>
          <t>Spice Blend</t>
        </is>
      </c>
      <c r="D91" s="225" t="inlineStr">
        <is>
          <t>PP-SPICE-CHAKALAKA</t>
        </is>
      </c>
      <c r="E91" s="225" t="inlineStr">
        <is>
          <t>Chakalaka spice / relish base</t>
        </is>
      </c>
      <c r="F91" s="225" t="inlineStr">
        <is>
          <t>g</t>
        </is>
      </c>
      <c r="G91" s="226">
        <f>IF(ISNUMBER(INDEX('04 SKU Master'!$AM$5:$AM$165,MATCH($D91,'04 SKU Master'!$A$5:$A$165,0))),"PRICED","NEEDS QUOTE")</f>
        <v/>
      </c>
      <c r="H91" s="225">
        <f>IF($G91="PRICED",INDEX('04 SKU Master'!$AM$5:$AM$165,MATCH($D91,'04 SKU Master'!$A$5:$A$165,0)),"")</f>
        <v/>
      </c>
      <c r="I91" s="225">
        <f>IF($G91="PRICED",INDEX('04 SKU Master'!$AN$5:$AN$165,MATCH($D91,'04 SKU Master'!$A$5:$A$165,0)),"")</f>
        <v/>
      </c>
    </row>
    <row r="92">
      <c r="A92" s="224" t="n">
        <v>88</v>
      </c>
      <c r="B92" s="225" t="inlineStr">
        <is>
          <t>04 SKU Master</t>
        </is>
      </c>
      <c r="C92" s="225" t="inlineStr">
        <is>
          <t>Spice Blend</t>
        </is>
      </c>
      <c r="D92" s="225" t="inlineStr">
        <is>
          <t>PP-SPICE-CAPEMALAY</t>
        </is>
      </c>
      <c r="E92" s="225" t="inlineStr">
        <is>
          <t>Cape Malay masala</t>
        </is>
      </c>
      <c r="F92" s="225" t="inlineStr">
        <is>
          <t>g</t>
        </is>
      </c>
      <c r="G92" s="226">
        <f>IF(ISNUMBER(INDEX('04 SKU Master'!$AM$5:$AM$165,MATCH($D92,'04 SKU Master'!$A$5:$A$165,0))),"PRICED","NEEDS QUOTE")</f>
        <v/>
      </c>
      <c r="H92" s="225">
        <f>IF($G92="PRICED",INDEX('04 SKU Master'!$AM$5:$AM$165,MATCH($D92,'04 SKU Master'!$A$5:$A$165,0)),"")</f>
        <v/>
      </c>
      <c r="I92" s="225">
        <f>IF($G92="PRICED",INDEX('04 SKU Master'!$AN$5:$AN$165,MATCH($D92,'04 SKU Master'!$A$5:$A$165,0)),"")</f>
        <v/>
      </c>
    </row>
    <row r="93">
      <c r="A93" s="224" t="n">
        <v>89</v>
      </c>
      <c r="B93" s="225" t="inlineStr">
        <is>
          <t>04 SKU Master</t>
        </is>
      </c>
      <c r="C93" s="225" t="inlineStr">
        <is>
          <t>Spice Blend</t>
        </is>
      </c>
      <c r="D93" s="225" t="inlineStr">
        <is>
          <t>PP-SPICE-HARISSA</t>
        </is>
      </c>
      <c r="E93" s="225" t="inlineStr">
        <is>
          <t>Harissa paste</t>
        </is>
      </c>
      <c r="F93" s="225" t="inlineStr">
        <is>
          <t>g</t>
        </is>
      </c>
      <c r="G93" s="226">
        <f>IF(ISNUMBER(INDEX('04 SKU Master'!$AM$5:$AM$165,MATCH($D93,'04 SKU Master'!$A$5:$A$165,0))),"PRICED","NEEDS QUOTE")</f>
        <v/>
      </c>
      <c r="H93" s="225">
        <f>IF($G93="PRICED",INDEX('04 SKU Master'!$AM$5:$AM$165,MATCH($D93,'04 SKU Master'!$A$5:$A$165,0)),"")</f>
        <v/>
      </c>
      <c r="I93" s="225">
        <f>IF($G93="PRICED",INDEX('04 SKU Master'!$AN$5:$AN$165,MATCH($D93,'04 SKU Master'!$A$5:$A$165,0)),"")</f>
        <v/>
      </c>
    </row>
    <row r="94">
      <c r="A94" s="224" t="n">
        <v>90</v>
      </c>
      <c r="B94" s="225" t="inlineStr">
        <is>
          <t>04 SKU Master</t>
        </is>
      </c>
      <c r="C94" s="225" t="inlineStr">
        <is>
          <t>Spice Blend</t>
        </is>
      </c>
      <c r="D94" s="225" t="inlineStr">
        <is>
          <t>PP-SPICE-BERBERE</t>
        </is>
      </c>
      <c r="E94" s="225" t="inlineStr">
        <is>
          <t>Berbere spice (Ethiopian)</t>
        </is>
      </c>
      <c r="F94" s="225" t="inlineStr">
        <is>
          <t>g</t>
        </is>
      </c>
      <c r="G94" s="226">
        <f>IF(ISNUMBER(INDEX('04 SKU Master'!$AM$5:$AM$165,MATCH($D94,'04 SKU Master'!$A$5:$A$165,0))),"PRICED","NEEDS QUOTE")</f>
        <v/>
      </c>
      <c r="H94" s="225">
        <f>IF($G94="PRICED",INDEX('04 SKU Master'!$AM$5:$AM$165,MATCH($D94,'04 SKU Master'!$A$5:$A$165,0)),"")</f>
        <v/>
      </c>
      <c r="I94" s="225">
        <f>IF($G94="PRICED",INDEX('04 SKU Master'!$AN$5:$AN$165,MATCH($D94,'04 SKU Master'!$A$5:$A$165,0)),"")</f>
        <v/>
      </c>
    </row>
    <row r="95">
      <c r="A95" s="224" t="n">
        <v>91</v>
      </c>
      <c r="B95" s="225" t="inlineStr">
        <is>
          <t>04 SKU Master</t>
        </is>
      </c>
      <c r="C95" s="225" t="inlineStr">
        <is>
          <t>Spice Blend</t>
        </is>
      </c>
      <c r="D95" s="225" t="inlineStr">
        <is>
          <t>PP-SPICE-CHERMOULA</t>
        </is>
      </c>
      <c r="E95" s="225" t="inlineStr">
        <is>
          <t>Chermoula blend (coriander, cumin, lemon)</t>
        </is>
      </c>
      <c r="F95" s="225" t="inlineStr">
        <is>
          <t>g</t>
        </is>
      </c>
      <c r="G95" s="226">
        <f>IF(ISNUMBER(INDEX('04 SKU Master'!$AM$5:$AM$165,MATCH($D95,'04 SKU Master'!$A$5:$A$165,0))),"PRICED","NEEDS QUOTE")</f>
        <v/>
      </c>
      <c r="H95" s="225">
        <f>IF($G95="PRICED",INDEX('04 SKU Master'!$AM$5:$AM$165,MATCH($D95,'04 SKU Master'!$A$5:$A$165,0)),"")</f>
        <v/>
      </c>
      <c r="I95" s="225">
        <f>IF($G95="PRICED",INDEX('04 SKU Master'!$AN$5:$AN$165,MATCH($D95,'04 SKU Master'!$A$5:$A$165,0)),"")</f>
        <v/>
      </c>
    </row>
    <row r="96">
      <c r="A96" s="224" t="n">
        <v>92</v>
      </c>
      <c r="B96" s="225" t="inlineStr">
        <is>
          <t>04 SKU Master</t>
        </is>
      </c>
      <c r="C96" s="225" t="inlineStr">
        <is>
          <t>Spice Blend</t>
        </is>
      </c>
      <c r="D96" s="225" t="inlineStr">
        <is>
          <t>PP-SPICE-JOLLOF</t>
        </is>
      </c>
      <c r="E96" s="225" t="inlineStr">
        <is>
          <t>Jollof spice</t>
        </is>
      </c>
      <c r="F96" s="225" t="inlineStr">
        <is>
          <t>g</t>
        </is>
      </c>
      <c r="G96" s="226">
        <f>IF(ISNUMBER(INDEX('04 SKU Master'!$AM$5:$AM$165,MATCH($D96,'04 SKU Master'!$A$5:$A$165,0))),"PRICED","NEEDS QUOTE")</f>
        <v/>
      </c>
      <c r="H96" s="225">
        <f>IF($G96="PRICED",INDEX('04 SKU Master'!$AM$5:$AM$165,MATCH($D96,'04 SKU Master'!$A$5:$A$165,0)),"")</f>
        <v/>
      </c>
      <c r="I96" s="225">
        <f>IF($G96="PRICED",INDEX('04 SKU Master'!$AN$5:$AN$165,MATCH($D96,'04 SKU Master'!$A$5:$A$165,0)),"")</f>
        <v/>
      </c>
    </row>
    <row r="97">
      <c r="A97" s="224" t="n">
        <v>93</v>
      </c>
      <c r="B97" s="225" t="inlineStr">
        <is>
          <t>04 SKU Master</t>
        </is>
      </c>
      <c r="C97" s="225" t="inlineStr">
        <is>
          <t>Spice Blend</t>
        </is>
      </c>
      <c r="D97" s="225" t="inlineStr">
        <is>
          <t>PP-SPICE-SUYA</t>
        </is>
      </c>
      <c r="E97" s="225" t="inlineStr">
        <is>
          <t>Suya (yaji) spice</t>
        </is>
      </c>
      <c r="F97" s="225" t="inlineStr">
        <is>
          <t>g</t>
        </is>
      </c>
      <c r="G97" s="226">
        <f>IF(ISNUMBER(INDEX('04 SKU Master'!$AM$5:$AM$165,MATCH($D97,'04 SKU Master'!$A$5:$A$165,0))),"PRICED","NEEDS QUOTE")</f>
        <v/>
      </c>
      <c r="H97" s="225">
        <f>IF($G97="PRICED",INDEX('04 SKU Master'!$AM$5:$AM$165,MATCH($D97,'04 SKU Master'!$A$5:$A$165,0)),"")</f>
        <v/>
      </c>
      <c r="I97" s="225">
        <f>IF($G97="PRICED",INDEX('04 SKU Master'!$AN$5:$AN$165,MATCH($D97,'04 SKU Master'!$A$5:$A$165,0)),"")</f>
        <v/>
      </c>
    </row>
    <row r="98">
      <c r="A98" s="224" t="n">
        <v>94</v>
      </c>
      <c r="B98" s="225" t="inlineStr">
        <is>
          <t>04 SKU Master</t>
        </is>
      </c>
      <c r="C98" s="225" t="inlineStr">
        <is>
          <t>Spice Blend</t>
        </is>
      </c>
      <c r="D98" s="225" t="inlineStr">
        <is>
          <t>PP-SPICE-CAJUN</t>
        </is>
      </c>
      <c r="E98" s="225" t="inlineStr">
        <is>
          <t>Cajun spice</t>
        </is>
      </c>
      <c r="F98" s="225" t="inlineStr">
        <is>
          <t>g</t>
        </is>
      </c>
      <c r="G98" s="226">
        <f>IF(ISNUMBER(INDEX('04 SKU Master'!$AM$5:$AM$165,MATCH($D98,'04 SKU Master'!$A$5:$A$165,0))),"PRICED","NEEDS QUOTE")</f>
        <v/>
      </c>
      <c r="H98" s="225">
        <f>IF($G98="PRICED",INDEX('04 SKU Master'!$AM$5:$AM$165,MATCH($D98,'04 SKU Master'!$A$5:$A$165,0)),"")</f>
        <v/>
      </c>
      <c r="I98" s="225">
        <f>IF($G98="PRICED",INDEX('04 SKU Master'!$AN$5:$AN$165,MATCH($D98,'04 SKU Master'!$A$5:$A$165,0)),"")</f>
        <v/>
      </c>
    </row>
    <row r="99">
      <c r="A99" s="224" t="n">
        <v>95</v>
      </c>
      <c r="B99" s="225" t="inlineStr">
        <is>
          <t>04 SKU Master</t>
        </is>
      </c>
      <c r="C99" s="225" t="inlineStr">
        <is>
          <t>Spice Blend</t>
        </is>
      </c>
      <c r="D99" s="225" t="inlineStr">
        <is>
          <t>PP-SPICE-TURMERIC</t>
        </is>
      </c>
      <c r="E99" s="225" t="inlineStr">
        <is>
          <t>Turmeric</t>
        </is>
      </c>
      <c r="F99" s="225" t="inlineStr">
        <is>
          <t>g</t>
        </is>
      </c>
      <c r="G99" s="226">
        <f>IF(ISNUMBER(INDEX('04 SKU Master'!$AM$5:$AM$165,MATCH($D99,'04 SKU Master'!$A$5:$A$165,0))),"PRICED","NEEDS QUOTE")</f>
        <v/>
      </c>
      <c r="H99" s="225">
        <f>IF($G99="PRICED",INDEX('04 SKU Master'!$AM$5:$AM$165,MATCH($D99,'04 SKU Master'!$A$5:$A$165,0)),"")</f>
        <v/>
      </c>
      <c r="I99" s="225">
        <f>IF($G99="PRICED",INDEX('04 SKU Master'!$AN$5:$AN$165,MATCH($D99,'04 SKU Master'!$A$5:$A$165,0)),"")</f>
        <v/>
      </c>
    </row>
    <row r="100">
      <c r="A100" s="224" t="n">
        <v>96</v>
      </c>
      <c r="B100" s="225" t="inlineStr">
        <is>
          <t>04 SKU Master</t>
        </is>
      </c>
      <c r="C100" s="225" t="inlineStr">
        <is>
          <t>Seasonal Spec</t>
        </is>
      </c>
      <c r="D100" s="225" t="inlineStr">
        <is>
          <t>PP-COCONUT-CREAM</t>
        </is>
      </c>
      <c r="E100" s="225" t="inlineStr">
        <is>
          <t>Coconut cream</t>
        </is>
      </c>
      <c r="F100" s="225" t="inlineStr">
        <is>
          <t>ml</t>
        </is>
      </c>
      <c r="G100" s="226">
        <f>IF(ISNUMBER(INDEX('04 SKU Master'!$AM$5:$AM$165,MATCH($D100,'04 SKU Master'!$A$5:$A$165,0))),"PRICED","NEEDS QUOTE")</f>
        <v/>
      </c>
      <c r="H100" s="225">
        <f>IF($G100="PRICED",INDEX('04 SKU Master'!$AM$5:$AM$165,MATCH($D100,'04 SKU Master'!$A$5:$A$165,0)),"")</f>
        <v/>
      </c>
      <c r="I100" s="225">
        <f>IF($G100="PRICED",INDEX('04 SKU Master'!$AN$5:$AN$165,MATCH($D100,'04 SKU Master'!$A$5:$A$165,0)),"")</f>
        <v/>
      </c>
    </row>
    <row r="101">
      <c r="A101" s="224" t="n">
        <v>97</v>
      </c>
      <c r="B101" s="225" t="inlineStr">
        <is>
          <t>04 SKU Master</t>
        </is>
      </c>
      <c r="C101" s="225" t="inlineStr">
        <is>
          <t>Seasonal Spec</t>
        </is>
      </c>
      <c r="D101" s="225" t="inlineStr">
        <is>
          <t>PP-APRICOT-DRY</t>
        </is>
      </c>
      <c r="E101" s="225" t="inlineStr">
        <is>
          <t>Dried apricots</t>
        </is>
      </c>
      <c r="F101" s="225" t="inlineStr">
        <is>
          <t>g</t>
        </is>
      </c>
      <c r="G101" s="226">
        <f>IF(ISNUMBER(INDEX('04 SKU Master'!$AM$5:$AM$165,MATCH($D101,'04 SKU Master'!$A$5:$A$165,0))),"PRICED","NEEDS QUOTE")</f>
        <v/>
      </c>
      <c r="H101" s="225">
        <f>IF($G101="PRICED",INDEX('04 SKU Master'!$AM$5:$AM$165,MATCH($D101,'04 SKU Master'!$A$5:$A$165,0)),"")</f>
        <v/>
      </c>
      <c r="I101" s="225">
        <f>IF($G101="PRICED",INDEX('04 SKU Master'!$AN$5:$AN$165,MATCH($D101,'04 SKU Master'!$A$5:$A$165,0)),"")</f>
        <v/>
      </c>
    </row>
    <row r="102">
      <c r="A102" s="224" t="n">
        <v>98</v>
      </c>
      <c r="B102" s="225" t="inlineStr">
        <is>
          <t>04 SKU Master</t>
        </is>
      </c>
      <c r="C102" s="225" t="inlineStr">
        <is>
          <t>Seasonal Spec</t>
        </is>
      </c>
      <c r="D102" s="225" t="inlineStr">
        <is>
          <t>PP-BBQ-SAUCE</t>
        </is>
      </c>
      <c r="E102" s="225" t="inlineStr">
        <is>
          <t>BBQ sauce (alcohol-free)</t>
        </is>
      </c>
      <c r="F102" s="225" t="inlineStr">
        <is>
          <t>g</t>
        </is>
      </c>
      <c r="G102" s="226">
        <f>IF(ISNUMBER(INDEX('04 SKU Master'!$AM$5:$AM$165,MATCH($D102,'04 SKU Master'!$A$5:$A$165,0))),"PRICED","NEEDS QUOTE")</f>
        <v/>
      </c>
      <c r="H102" s="225">
        <f>IF($G102="PRICED",INDEX('04 SKU Master'!$AM$5:$AM$165,MATCH($D102,'04 SKU Master'!$A$5:$A$165,0)),"")</f>
        <v/>
      </c>
      <c r="I102" s="225">
        <f>IF($G102="PRICED",INDEX('04 SKU Master'!$AN$5:$AN$165,MATCH($D102,'04 SKU Master'!$A$5:$A$165,0)),"")</f>
        <v/>
      </c>
    </row>
    <row r="103">
      <c r="A103" s="224" t="n">
        <v>99</v>
      </c>
      <c r="B103" s="225" t="inlineStr">
        <is>
          <t>04 SKU Master</t>
        </is>
      </c>
      <c r="C103" s="225" t="inlineStr">
        <is>
          <t>Seasonal Spec</t>
        </is>
      </c>
      <c r="D103" s="225" t="inlineStr">
        <is>
          <t>PP-BUFFALO-SAUCE</t>
        </is>
      </c>
      <c r="E103" s="225" t="inlineStr">
        <is>
          <t>Buffalo sauce (alcohol-free)</t>
        </is>
      </c>
      <c r="F103" s="225" t="inlineStr">
        <is>
          <t>g</t>
        </is>
      </c>
      <c r="G103" s="226">
        <f>IF(ISNUMBER(INDEX('04 SKU Master'!$AM$5:$AM$165,MATCH($D103,'04 SKU Master'!$A$5:$A$165,0))),"PRICED","NEEDS QUOTE")</f>
        <v/>
      </c>
      <c r="H103" s="225">
        <f>IF($G103="PRICED",INDEX('04 SKU Master'!$AM$5:$AM$165,MATCH($D103,'04 SKU Master'!$A$5:$A$165,0)),"")</f>
        <v/>
      </c>
      <c r="I103" s="225">
        <f>IF($G103="PRICED",INDEX('04 SKU Master'!$AN$5:$AN$165,MATCH($D103,'04 SKU Master'!$A$5:$A$165,0)),"")</f>
        <v/>
      </c>
    </row>
    <row r="104">
      <c r="A104" s="224" t="n">
        <v>100</v>
      </c>
      <c r="B104" s="225" t="inlineStr">
        <is>
          <t>04 SKU Master</t>
        </is>
      </c>
      <c r="C104" s="225" t="inlineStr">
        <is>
          <t>Seasonal Spec</t>
        </is>
      </c>
      <c r="D104" s="225" t="inlineStr">
        <is>
          <t>PP-TRUFFLE-OIL</t>
        </is>
      </c>
      <c r="E104" s="225" t="inlineStr">
        <is>
          <t>Truffle oil</t>
        </is>
      </c>
      <c r="F104" s="225" t="inlineStr">
        <is>
          <t>ml</t>
        </is>
      </c>
      <c r="G104" s="226">
        <f>IF(ISNUMBER(INDEX('04 SKU Master'!$AM$5:$AM$165,MATCH($D104,'04 SKU Master'!$A$5:$A$165,0))),"PRICED","NEEDS QUOTE")</f>
        <v/>
      </c>
      <c r="H104" s="225">
        <f>IF($G104="PRICED",INDEX('04 SKU Master'!$AM$5:$AM$165,MATCH($D104,'04 SKU Master'!$A$5:$A$165,0)),"")</f>
        <v/>
      </c>
      <c r="I104" s="225">
        <f>IF($G104="PRICED",INDEX('04 SKU Master'!$AN$5:$AN$165,MATCH($D104,'04 SKU Master'!$A$5:$A$165,0)),"")</f>
        <v/>
      </c>
    </row>
    <row r="105">
      <c r="A105" s="224" t="n">
        <v>101</v>
      </c>
      <c r="B105" s="225" t="inlineStr">
        <is>
          <t>04 SKU Master</t>
        </is>
      </c>
      <c r="C105" s="225" t="inlineStr">
        <is>
          <t>Prepared</t>
        </is>
      </c>
      <c r="D105" s="225" t="inlineStr">
        <is>
          <t>PP-DRESSING-LEMHERB</t>
        </is>
      </c>
      <c r="E105" s="225" t="inlineStr">
        <is>
          <t>Lemon-herb vinaigrette (house batch)</t>
        </is>
      </c>
      <c r="F105" s="225" t="inlineStr">
        <is>
          <t>ml</t>
        </is>
      </c>
      <c r="G105" s="226">
        <f>IF(ISNUMBER(INDEX('04 SKU Master'!$AM$5:$AM$165,MATCH($D105,'04 SKU Master'!$A$5:$A$165,0))),"PRICED","NEEDS QUOTE")</f>
        <v/>
      </c>
      <c r="H105" s="225">
        <f>IF($G105="PRICED",INDEX('04 SKU Master'!$AM$5:$AM$165,MATCH($D105,'04 SKU Master'!$A$5:$A$165,0)),"")</f>
        <v/>
      </c>
      <c r="I105" s="225">
        <f>IF($G105="PRICED",INDEX('04 SKU Master'!$AN$5:$AN$165,MATCH($D105,'04 SKU Master'!$A$5:$A$165,0)),"")</f>
        <v/>
      </c>
    </row>
    <row r="106">
      <c r="A106" s="224" t="n">
        <v>102</v>
      </c>
      <c r="B106" s="225" t="inlineStr">
        <is>
          <t>04 SKU Master</t>
        </is>
      </c>
      <c r="C106" s="225" t="inlineStr">
        <is>
          <t>Beverage</t>
        </is>
      </c>
      <c r="D106" s="225" t="inlineStr">
        <is>
          <t>PP-BEV-SYR-ROOIBOS</t>
        </is>
      </c>
      <c r="E106" s="225" t="inlineStr">
        <is>
          <t>Rooibos slushee concentrate</t>
        </is>
      </c>
      <c r="F106" s="225" t="inlineStr">
        <is>
          <t>ml</t>
        </is>
      </c>
      <c r="G106" s="226">
        <f>IF(ISNUMBER(INDEX('04 SKU Master'!$AM$5:$AM$165,MATCH($D106,'04 SKU Master'!$A$5:$A$165,0))),"PRICED","NEEDS QUOTE")</f>
        <v/>
      </c>
      <c r="H106" s="225">
        <f>IF($G106="PRICED",INDEX('04 SKU Master'!$AM$5:$AM$165,MATCH($D106,'04 SKU Master'!$A$5:$A$165,0)),"")</f>
        <v/>
      </c>
      <c r="I106" s="225">
        <f>IF($G106="PRICED",INDEX('04 SKU Master'!$AN$5:$AN$165,MATCH($D106,'04 SKU Master'!$A$5:$A$165,0)),"")</f>
        <v/>
      </c>
    </row>
    <row r="107">
      <c r="A107" s="224" t="n">
        <v>103</v>
      </c>
      <c r="B107" s="225" t="inlineStr">
        <is>
          <t>04 SKU Master</t>
        </is>
      </c>
      <c r="C107" s="225" t="inlineStr">
        <is>
          <t>Beverage</t>
        </is>
      </c>
      <c r="D107" s="225" t="inlineStr">
        <is>
          <t>PP-BEV-SYR-LEMON</t>
        </is>
      </c>
      <c r="E107" s="225" t="inlineStr">
        <is>
          <t>Lemonade slushee concentrate</t>
        </is>
      </c>
      <c r="F107" s="225" t="inlineStr">
        <is>
          <t>ml</t>
        </is>
      </c>
      <c r="G107" s="226">
        <f>IF(ISNUMBER(INDEX('04 SKU Master'!$AM$5:$AM$165,MATCH($D107,'04 SKU Master'!$A$5:$A$165,0))),"PRICED","NEEDS QUOTE")</f>
        <v/>
      </c>
      <c r="H107" s="225">
        <f>IF($G107="PRICED",INDEX('04 SKU Master'!$AM$5:$AM$165,MATCH($D107,'04 SKU Master'!$A$5:$A$165,0)),"")</f>
        <v/>
      </c>
      <c r="I107" s="225">
        <f>IF($G107="PRICED",INDEX('04 SKU Master'!$AN$5:$AN$165,MATCH($D107,'04 SKU Master'!$A$5:$A$165,0)),"")</f>
        <v/>
      </c>
    </row>
    <row r="108">
      <c r="A108" s="224" t="n">
        <v>104</v>
      </c>
      <c r="B108" s="225" t="inlineStr">
        <is>
          <t>04 SKU Master</t>
        </is>
      </c>
      <c r="C108" s="225" t="inlineStr">
        <is>
          <t>Beverage</t>
        </is>
      </c>
      <c r="D108" s="225" t="inlineStr">
        <is>
          <t>PP-BEV-SYR-CREAM</t>
        </is>
      </c>
      <c r="E108" s="225" t="inlineStr">
        <is>
          <t>Cream soda slushee concentrate</t>
        </is>
      </c>
      <c r="F108" s="225" t="inlineStr">
        <is>
          <t>ml</t>
        </is>
      </c>
      <c r="G108" s="226">
        <f>IF(ISNUMBER(INDEX('04 SKU Master'!$AM$5:$AM$165,MATCH($D108,'04 SKU Master'!$A$5:$A$165,0))),"PRICED","NEEDS QUOTE")</f>
        <v/>
      </c>
      <c r="H108" s="225">
        <f>IF($G108="PRICED",INDEX('04 SKU Master'!$AM$5:$AM$165,MATCH($D108,'04 SKU Master'!$A$5:$A$165,0)),"")</f>
        <v/>
      </c>
      <c r="I108" s="225">
        <f>IF($G108="PRICED",INDEX('04 SKU Master'!$AN$5:$AN$165,MATCH($D108,'04 SKU Master'!$A$5:$A$165,0)),"")</f>
        <v/>
      </c>
    </row>
    <row r="109">
      <c r="A109" s="224" t="n">
        <v>105</v>
      </c>
      <c r="B109" s="225" t="inlineStr">
        <is>
          <t>04 SKU Master</t>
        </is>
      </c>
      <c r="C109" s="225" t="inlineStr">
        <is>
          <t>Beverage</t>
        </is>
      </c>
      <c r="D109" s="225" t="inlineStr">
        <is>
          <t>PP-BEV-SYR-ROTATING</t>
        </is>
      </c>
      <c r="E109" s="225" t="inlineStr">
        <is>
          <t>Rotating slushee concentrate (seasonal)</t>
        </is>
      </c>
      <c r="F109" s="225" t="inlineStr">
        <is>
          <t>ml</t>
        </is>
      </c>
      <c r="G109" s="226">
        <f>IF(ISNUMBER(INDEX('04 SKU Master'!$AM$5:$AM$165,MATCH($D109,'04 SKU Master'!$A$5:$A$165,0))),"PRICED","NEEDS QUOTE")</f>
        <v/>
      </c>
      <c r="H109" s="225">
        <f>IF($G109="PRICED",INDEX('04 SKU Master'!$AM$5:$AM$165,MATCH($D109,'04 SKU Master'!$A$5:$A$165,0)),"")</f>
        <v/>
      </c>
      <c r="I109" s="225">
        <f>IF($G109="PRICED",INDEX('04 SKU Master'!$AN$5:$AN$165,MATCH($D109,'04 SKU Master'!$A$5:$A$165,0)),"")</f>
        <v/>
      </c>
    </row>
    <row r="110">
      <c r="A110" s="224" t="n">
        <v>106</v>
      </c>
      <c r="B110" s="225" t="inlineStr">
        <is>
          <t>04 SKU Master</t>
        </is>
      </c>
      <c r="C110" s="225" t="inlineStr">
        <is>
          <t>Beverage</t>
        </is>
      </c>
      <c r="D110" s="225" t="inlineStr">
        <is>
          <t>PP-BEV-SYR-NAARTJIE</t>
        </is>
      </c>
      <c r="E110" s="225" t="inlineStr">
        <is>
          <t>Naartjie slushee concentrate</t>
        </is>
      </c>
      <c r="F110" s="225" t="inlineStr">
        <is>
          <t>ml</t>
        </is>
      </c>
      <c r="G110" s="226">
        <f>IF(ISNUMBER(INDEX('04 SKU Master'!$AM$5:$AM$165,MATCH($D110,'04 SKU Master'!$A$5:$A$165,0))),"PRICED","NEEDS QUOTE")</f>
        <v/>
      </c>
      <c r="H110" s="225">
        <f>IF($G110="PRICED",INDEX('04 SKU Master'!$AM$5:$AM$165,MATCH($D110,'04 SKU Master'!$A$5:$A$165,0)),"")</f>
        <v/>
      </c>
      <c r="I110" s="225">
        <f>IF($G110="PRICED",INDEX('04 SKU Master'!$AN$5:$AN$165,MATCH($D110,'04 SKU Master'!$A$5:$A$165,0)),"")</f>
        <v/>
      </c>
    </row>
    <row r="111">
      <c r="A111" s="224" t="n">
        <v>107</v>
      </c>
      <c r="B111" s="225" t="inlineStr">
        <is>
          <t>04 SKU Master</t>
        </is>
      </c>
      <c r="C111" s="225" t="inlineStr">
        <is>
          <t>Beverage</t>
        </is>
      </c>
      <c r="D111" s="225" t="inlineStr">
        <is>
          <t>PP-BEV-SYR-GRANADILLA</t>
        </is>
      </c>
      <c r="E111" s="225" t="inlineStr">
        <is>
          <t>Granadilla slushee concentrate</t>
        </is>
      </c>
      <c r="F111" s="225" t="inlineStr">
        <is>
          <t>ml</t>
        </is>
      </c>
      <c r="G111" s="226">
        <f>IF(ISNUMBER(INDEX('04 SKU Master'!$AM$5:$AM$165,MATCH($D111,'04 SKU Master'!$A$5:$A$165,0))),"PRICED","NEEDS QUOTE")</f>
        <v/>
      </c>
      <c r="H111" s="225">
        <f>IF($G111="PRICED",INDEX('04 SKU Master'!$AM$5:$AM$165,MATCH($D111,'04 SKU Master'!$A$5:$A$165,0)),"")</f>
        <v/>
      </c>
      <c r="I111" s="225">
        <f>IF($G111="PRICED",INDEX('04 SKU Master'!$AN$5:$AN$165,MATCH($D111,'04 SKU Master'!$A$5:$A$165,0)),"")</f>
        <v/>
      </c>
    </row>
    <row r="112">
      <c r="A112" s="224" t="n">
        <v>108</v>
      </c>
      <c r="B112" s="225" t="inlineStr">
        <is>
          <t>04 SKU Master</t>
        </is>
      </c>
      <c r="C112" s="225" t="inlineStr">
        <is>
          <t>Beverage</t>
        </is>
      </c>
      <c r="D112" s="225" t="inlineStr">
        <is>
          <t>PP-BEV-SYR-STRAWBERRY</t>
        </is>
      </c>
      <c r="E112" s="225" t="inlineStr">
        <is>
          <t>Strawberry slushee concentrate</t>
        </is>
      </c>
      <c r="F112" s="225" t="inlineStr">
        <is>
          <t>ml</t>
        </is>
      </c>
      <c r="G112" s="226">
        <f>IF(ISNUMBER(INDEX('04 SKU Master'!$AM$5:$AM$165,MATCH($D112,'04 SKU Master'!$A$5:$A$165,0))),"PRICED","NEEDS QUOTE")</f>
        <v/>
      </c>
      <c r="H112" s="225">
        <f>IF($G112="PRICED",INDEX('04 SKU Master'!$AM$5:$AM$165,MATCH($D112,'04 SKU Master'!$A$5:$A$165,0)),"")</f>
        <v/>
      </c>
      <c r="I112" s="225">
        <f>IF($G112="PRICED",INDEX('04 SKU Master'!$AN$5:$AN$165,MATCH($D112,'04 SKU Master'!$A$5:$A$165,0)),"")</f>
        <v/>
      </c>
    </row>
    <row r="113">
      <c r="A113" s="224" t="n">
        <v>109</v>
      </c>
      <c r="B113" s="225" t="inlineStr">
        <is>
          <t>04 SKU Master</t>
        </is>
      </c>
      <c r="C113" s="225" t="inlineStr">
        <is>
          <t>Beverage</t>
        </is>
      </c>
      <c r="D113" s="225" t="inlineStr">
        <is>
          <t>PP-BEV-SYR-BUBBLEGUM</t>
        </is>
      </c>
      <c r="E113" s="225" t="inlineStr">
        <is>
          <t>Blue bubblegum slushee concentrate</t>
        </is>
      </c>
      <c r="F113" s="225" t="inlineStr">
        <is>
          <t>ml</t>
        </is>
      </c>
      <c r="G113" s="226">
        <f>IF(ISNUMBER(INDEX('04 SKU Master'!$AM$5:$AM$165,MATCH($D113,'04 SKU Master'!$A$5:$A$165,0))),"PRICED","NEEDS QUOTE")</f>
        <v/>
      </c>
      <c r="H113" s="225">
        <f>IF($G113="PRICED",INDEX('04 SKU Master'!$AM$5:$AM$165,MATCH($D113,'04 SKU Master'!$A$5:$A$165,0)),"")</f>
        <v/>
      </c>
      <c r="I113" s="225">
        <f>IF($G113="PRICED",INDEX('04 SKU Master'!$AN$5:$AN$165,MATCH($D113,'04 SKU Master'!$A$5:$A$165,0)),"")</f>
        <v/>
      </c>
    </row>
    <row r="114">
      <c r="A114" s="224" t="n">
        <v>110</v>
      </c>
      <c r="B114" s="225" t="inlineStr">
        <is>
          <t>04 SKU Master</t>
        </is>
      </c>
      <c r="C114" s="225" t="inlineStr">
        <is>
          <t>Beverage</t>
        </is>
      </c>
      <c r="D114" s="225" t="inlineStr">
        <is>
          <t>PP-BEV-SYR-GINGERLIME</t>
        </is>
      </c>
      <c r="E114" s="225" t="inlineStr">
        <is>
          <t>Ginger-lime slushee concentrate</t>
        </is>
      </c>
      <c r="F114" s="225" t="inlineStr">
        <is>
          <t>ml</t>
        </is>
      </c>
      <c r="G114" s="226">
        <f>IF(ISNUMBER(INDEX('04 SKU Master'!$AM$5:$AM$165,MATCH($D114,'04 SKU Master'!$A$5:$A$165,0))),"PRICED","NEEDS QUOTE")</f>
        <v/>
      </c>
      <c r="H114" s="225">
        <f>IF($G114="PRICED",INDEX('04 SKU Master'!$AM$5:$AM$165,MATCH($D114,'04 SKU Master'!$A$5:$A$165,0)),"")</f>
        <v/>
      </c>
      <c r="I114" s="225">
        <f>IF($G114="PRICED",INDEX('04 SKU Master'!$AN$5:$AN$165,MATCH($D114,'04 SKU Master'!$A$5:$A$165,0)),"")</f>
        <v/>
      </c>
    </row>
    <row r="115">
      <c r="A115" s="224" t="n">
        <v>111</v>
      </c>
      <c r="B115" s="225" t="inlineStr">
        <is>
          <t>04 SKU Master</t>
        </is>
      </c>
      <c r="C115" s="225" t="inlineStr">
        <is>
          <t>Beverage</t>
        </is>
      </c>
      <c r="D115" s="225" t="inlineStr">
        <is>
          <t>PP-BEV-SYR-BERRY</t>
        </is>
      </c>
      <c r="E115" s="225" t="inlineStr">
        <is>
          <t>Mixed berry slushee concentrate</t>
        </is>
      </c>
      <c r="F115" s="225" t="inlineStr">
        <is>
          <t>ml</t>
        </is>
      </c>
      <c r="G115" s="226">
        <f>IF(ISNUMBER(INDEX('04 SKU Master'!$AM$5:$AM$165,MATCH($D115,'04 SKU Master'!$A$5:$A$165,0))),"PRICED","NEEDS QUOTE")</f>
        <v/>
      </c>
      <c r="H115" s="225">
        <f>IF($G115="PRICED",INDEX('04 SKU Master'!$AM$5:$AM$165,MATCH($D115,'04 SKU Master'!$A$5:$A$165,0)),"")</f>
        <v/>
      </c>
      <c r="I115" s="225">
        <f>IF($G115="PRICED",INDEX('04 SKU Master'!$AN$5:$AN$165,MATCH($D115,'04 SKU Master'!$A$5:$A$165,0)),"")</f>
        <v/>
      </c>
    </row>
    <row r="116">
      <c r="A116" s="224" t="n">
        <v>112</v>
      </c>
      <c r="B116" s="225" t="inlineStr">
        <is>
          <t>04 SKU Master</t>
        </is>
      </c>
      <c r="C116" s="225" t="inlineStr">
        <is>
          <t>Beverage</t>
        </is>
      </c>
      <c r="D116" s="225" t="inlineStr">
        <is>
          <t>PP-BEV-SYR-POSTMIX</t>
        </is>
      </c>
      <c r="E116" s="225" t="inlineStr">
        <is>
          <t>Post-mix soda syrup (BIB)</t>
        </is>
      </c>
      <c r="F116" s="225" t="inlineStr">
        <is>
          <t>ml</t>
        </is>
      </c>
      <c r="G116" s="226">
        <f>IF(ISNUMBER(INDEX('04 SKU Master'!$AM$5:$AM$165,MATCH($D116,'04 SKU Master'!$A$5:$A$165,0))),"PRICED","NEEDS QUOTE")</f>
        <v/>
      </c>
      <c r="H116" s="225">
        <f>IF($G116="PRICED",INDEX('04 SKU Master'!$AM$5:$AM$165,MATCH($D116,'04 SKU Master'!$A$5:$A$165,0)),"")</f>
        <v/>
      </c>
      <c r="I116" s="225">
        <f>IF($G116="PRICED",INDEX('04 SKU Master'!$AN$5:$AN$165,MATCH($D116,'04 SKU Master'!$A$5:$A$165,0)),"")</f>
        <v/>
      </c>
    </row>
    <row r="117">
      <c r="A117" s="224" t="n">
        <v>113</v>
      </c>
      <c r="B117" s="225" t="inlineStr">
        <is>
          <t>04 SKU Master</t>
        </is>
      </c>
      <c r="C117" s="225" t="inlineStr">
        <is>
          <t>Beverage</t>
        </is>
      </c>
      <c r="D117" s="225" t="inlineStr">
        <is>
          <t>PP-BEV-CO2</t>
        </is>
      </c>
      <c r="E117" s="225" t="inlineStr">
        <is>
          <t>CO2 for post-mix</t>
        </is>
      </c>
      <c r="F117" s="225" t="inlineStr">
        <is>
          <t>g</t>
        </is>
      </c>
      <c r="G117" s="226">
        <f>IF(ISNUMBER(INDEX('04 SKU Master'!$AM$5:$AM$165,MATCH($D117,'04 SKU Master'!$A$5:$A$165,0))),"PRICED","NEEDS QUOTE")</f>
        <v/>
      </c>
      <c r="H117" s="225">
        <f>IF($G117="PRICED",INDEX('04 SKU Master'!$AM$5:$AM$165,MATCH($D117,'04 SKU Master'!$A$5:$A$165,0)),"")</f>
        <v/>
      </c>
      <c r="I117" s="225">
        <f>IF($G117="PRICED",INDEX('04 SKU Master'!$AN$5:$AN$165,MATCH($D117,'04 SKU Master'!$A$5:$A$165,0)),"")</f>
        <v/>
      </c>
    </row>
    <row r="118">
      <c r="A118" s="224" t="n">
        <v>114</v>
      </c>
      <c r="B118" s="225" t="inlineStr">
        <is>
          <t>04 SKU Master</t>
        </is>
      </c>
      <c r="C118" s="225" t="inlineStr">
        <is>
          <t>Beverage</t>
        </is>
      </c>
      <c r="D118" s="225" t="inlineStr">
        <is>
          <t>PP-BEV-WATER-500</t>
        </is>
      </c>
      <c r="E118" s="225" t="inlineStr">
        <is>
          <t>Bottled still / sparkling water 500 ml</t>
        </is>
      </c>
      <c r="F118" s="225" t="inlineStr">
        <is>
          <t>ea</t>
        </is>
      </c>
      <c r="G118" s="226">
        <f>IF(ISNUMBER(INDEX('04 SKU Master'!$AM$5:$AM$165,MATCH($D118,'04 SKU Master'!$A$5:$A$165,0))),"PRICED","NEEDS QUOTE")</f>
        <v/>
      </c>
      <c r="H118" s="225">
        <f>IF($G118="PRICED",INDEX('04 SKU Master'!$AM$5:$AM$165,MATCH($D118,'04 SKU Master'!$A$5:$A$165,0)),"")</f>
        <v/>
      </c>
      <c r="I118" s="225">
        <f>IF($G118="PRICED",INDEX('04 SKU Master'!$AN$5:$AN$165,MATCH($D118,'04 SKU Master'!$A$5:$A$165,0)),"")</f>
        <v/>
      </c>
    </row>
    <row r="119">
      <c r="A119" s="224" t="n">
        <v>115</v>
      </c>
      <c r="B119" s="225" t="inlineStr">
        <is>
          <t>04 SKU Master</t>
        </is>
      </c>
      <c r="C119" s="225" t="inlineStr">
        <is>
          <t>Beverage</t>
        </is>
      </c>
      <c r="D119" s="225" t="inlineStr">
        <is>
          <t>PP-BEV-WATER-PANNA</t>
        </is>
      </c>
      <c r="E119" s="225" t="inlineStr">
        <is>
          <t>Acqua Panna 250 ml</t>
        </is>
      </c>
      <c r="F119" s="225" t="inlineStr">
        <is>
          <t>ea</t>
        </is>
      </c>
      <c r="G119" s="226">
        <f>IF(ISNUMBER(INDEX('04 SKU Master'!$AM$5:$AM$165,MATCH($D119,'04 SKU Master'!$A$5:$A$165,0))),"PRICED","NEEDS QUOTE")</f>
        <v/>
      </c>
      <c r="H119" s="225">
        <f>IF($G119="PRICED",INDEX('04 SKU Master'!$AM$5:$AM$165,MATCH($D119,'04 SKU Master'!$A$5:$A$165,0)),"")</f>
        <v/>
      </c>
      <c r="I119" s="225">
        <f>IF($G119="PRICED",INDEX('04 SKU Master'!$AN$5:$AN$165,MATCH($D119,'04 SKU Master'!$A$5:$A$165,0)),"")</f>
        <v/>
      </c>
    </row>
    <row r="120">
      <c r="A120" s="224" t="n">
        <v>116</v>
      </c>
      <c r="B120" s="225" t="inlineStr">
        <is>
          <t>04 SKU Master</t>
        </is>
      </c>
      <c r="C120" s="225" t="inlineStr">
        <is>
          <t>Beverage</t>
        </is>
      </c>
      <c r="D120" s="225" t="inlineStr">
        <is>
          <t>PP-BEV-WATER-FILTERED</t>
        </is>
      </c>
      <c r="E120" s="225" t="inlineStr">
        <is>
          <t>Filtered water for slushee / post-mix</t>
        </is>
      </c>
      <c r="F120" s="225" t="inlineStr">
        <is>
          <t>ml</t>
        </is>
      </c>
      <c r="G120" s="226">
        <f>IF(ISNUMBER(INDEX('04 SKU Master'!$AM$5:$AM$165,MATCH($D120,'04 SKU Master'!$A$5:$A$165,0))),"PRICED","NEEDS QUOTE")</f>
        <v/>
      </c>
      <c r="H120" s="225">
        <f>IF($G120="PRICED",INDEX('04 SKU Master'!$AM$5:$AM$165,MATCH($D120,'04 SKU Master'!$A$5:$A$165,0)),"")</f>
        <v/>
      </c>
      <c r="I120" s="225">
        <f>IF($G120="PRICED",INDEX('04 SKU Master'!$AN$5:$AN$165,MATCH($D120,'04 SKU Master'!$A$5:$A$165,0)),"")</f>
        <v/>
      </c>
    </row>
    <row r="121">
      <c r="A121" s="224" t="n">
        <v>117</v>
      </c>
      <c r="B121" s="225" t="inlineStr">
        <is>
          <t>05 Packaging Master</t>
        </is>
      </c>
      <c r="C121" s="225" t="inlineStr">
        <is>
          <t>Store / Takeaway</t>
        </is>
      </c>
      <c r="D121" s="225" t="inlineStr">
        <is>
          <t>PP-PACK-TUB</t>
        </is>
      </c>
      <c r="E121" s="225" t="inlineStr">
        <is>
          <t>Takeaway pasta tub (750 ml)</t>
        </is>
      </c>
      <c r="F121" s="225" t="inlineStr">
        <is>
          <t>ea</t>
        </is>
      </c>
      <c r="G121" s="226">
        <f>IF(ISNUMBER(INDEX('05 Packaging Master'!$AM$5:$AM$50,MATCH($D121,'05 Packaging Master'!$A$5:$A$50,0))),"PRICED","NEEDS QUOTE")</f>
        <v/>
      </c>
      <c r="H121" s="225">
        <f>IF($G121="PRICED",INDEX('05 Packaging Master'!$AM$5:$AM$50,MATCH($D121,'05 Packaging Master'!$A$5:$A$50,0)),"")</f>
        <v/>
      </c>
      <c r="I121" s="225">
        <f>IF($G121="PRICED",INDEX('05 Packaging Master'!$AN$5:$AN$50,MATCH($D121,'05 Packaging Master'!$A$5:$A$50,0)),"")</f>
        <v/>
      </c>
    </row>
    <row r="122">
      <c r="A122" s="224" t="n">
        <v>118</v>
      </c>
      <c r="B122" s="225" t="inlineStr">
        <is>
          <t>05 Packaging Master</t>
        </is>
      </c>
      <c r="C122" s="225" t="inlineStr">
        <is>
          <t>Store / Takeaway</t>
        </is>
      </c>
      <c r="D122" s="225" t="inlineStr">
        <is>
          <t>PP-PACK-LID</t>
        </is>
      </c>
      <c r="E122" s="225" t="inlineStr">
        <is>
          <t>Takeaway bowl lid</t>
        </is>
      </c>
      <c r="F122" s="225" t="inlineStr">
        <is>
          <t>ea</t>
        </is>
      </c>
      <c r="G122" s="226">
        <f>IF(ISNUMBER(INDEX('05 Packaging Master'!$AM$5:$AM$50,MATCH($D122,'05 Packaging Master'!$A$5:$A$50,0))),"PRICED","NEEDS QUOTE")</f>
        <v/>
      </c>
      <c r="H122" s="225">
        <f>IF($G122="PRICED",INDEX('05 Packaging Master'!$AM$5:$AM$50,MATCH($D122,'05 Packaging Master'!$A$5:$A$50,0)),"")</f>
        <v/>
      </c>
      <c r="I122" s="225">
        <f>IF($G122="PRICED",INDEX('05 Packaging Master'!$AN$5:$AN$50,MATCH($D122,'05 Packaging Master'!$A$5:$A$50,0)),"")</f>
        <v/>
      </c>
    </row>
    <row r="123">
      <c r="A123" s="224" t="n">
        <v>119</v>
      </c>
      <c r="B123" s="225" t="inlineStr">
        <is>
          <t>05 Packaging Master</t>
        </is>
      </c>
      <c r="C123" s="225" t="inlineStr">
        <is>
          <t>Store / Takeaway</t>
        </is>
      </c>
      <c r="D123" s="225" t="inlineStr">
        <is>
          <t>PP-PACK-BAKE-TRAY</t>
        </is>
      </c>
      <c r="E123" s="225" t="inlineStr">
        <is>
          <t>Al forno bake tray + lid</t>
        </is>
      </c>
      <c r="F123" s="225" t="inlineStr">
        <is>
          <t>ea</t>
        </is>
      </c>
      <c r="G123" s="226">
        <f>IF(ISNUMBER(INDEX('05 Packaging Master'!$AM$5:$AM$50,MATCH($D123,'05 Packaging Master'!$A$5:$A$50,0))),"PRICED","NEEDS QUOTE")</f>
        <v/>
      </c>
      <c r="H123" s="225">
        <f>IF($G123="PRICED",INDEX('05 Packaging Master'!$AM$5:$AM$50,MATCH($D123,'05 Packaging Master'!$A$5:$A$50,0)),"")</f>
        <v/>
      </c>
      <c r="I123" s="225">
        <f>IF($G123="PRICED",INDEX('05 Packaging Master'!$AN$5:$AN$50,MATCH($D123,'05 Packaging Master'!$A$5:$A$50,0)),"")</f>
        <v/>
      </c>
    </row>
    <row r="124">
      <c r="A124" s="224" t="n">
        <v>120</v>
      </c>
      <c r="B124" s="225" t="inlineStr">
        <is>
          <t>05 Packaging Master</t>
        </is>
      </c>
      <c r="C124" s="225" t="inlineStr">
        <is>
          <t>Store / Takeaway</t>
        </is>
      </c>
      <c r="D124" s="225" t="inlineStr">
        <is>
          <t>PP-PACK-SALAD-BOWL</t>
        </is>
      </c>
      <c r="E124" s="225" t="inlineStr">
        <is>
          <t>Salad bowl (500 ml)</t>
        </is>
      </c>
      <c r="F124" s="225" t="inlineStr">
        <is>
          <t>ea</t>
        </is>
      </c>
      <c r="G124" s="226">
        <f>IF(ISNUMBER(INDEX('05 Packaging Master'!$AM$5:$AM$50,MATCH($D124,'05 Packaging Master'!$A$5:$A$50,0))),"PRICED","NEEDS QUOTE")</f>
        <v/>
      </c>
      <c r="H124" s="225">
        <f>IF($G124="PRICED",INDEX('05 Packaging Master'!$AM$5:$AM$50,MATCH($D124,'05 Packaging Master'!$A$5:$A$50,0)),"")</f>
        <v/>
      </c>
      <c r="I124" s="225">
        <f>IF($G124="PRICED",INDEX('05 Packaging Master'!$AN$5:$AN$50,MATCH($D124,'05 Packaging Master'!$A$5:$A$50,0)),"")</f>
        <v/>
      </c>
    </row>
    <row r="125">
      <c r="A125" s="224" t="n">
        <v>121</v>
      </c>
      <c r="B125" s="225" t="inlineStr">
        <is>
          <t>05 Packaging Master</t>
        </is>
      </c>
      <c r="C125" s="225" t="inlineStr">
        <is>
          <t>Store / Takeaway</t>
        </is>
      </c>
      <c r="D125" s="225" t="inlineStr">
        <is>
          <t>PP-PACK-SALAD-LID</t>
        </is>
      </c>
      <c r="E125" s="225" t="inlineStr">
        <is>
          <t>Salad bowl lid</t>
        </is>
      </c>
      <c r="F125" s="225" t="inlineStr">
        <is>
          <t>ea</t>
        </is>
      </c>
      <c r="G125" s="226">
        <f>IF(ISNUMBER(INDEX('05 Packaging Master'!$AM$5:$AM$50,MATCH($D125,'05 Packaging Master'!$A$5:$A$50,0))),"PRICED","NEEDS QUOTE")</f>
        <v/>
      </c>
      <c r="H125" s="225">
        <f>IF($G125="PRICED",INDEX('05 Packaging Master'!$AM$5:$AM$50,MATCH($D125,'05 Packaging Master'!$A$5:$A$50,0)),"")</f>
        <v/>
      </c>
      <c r="I125" s="225">
        <f>IF($G125="PRICED",INDEX('05 Packaging Master'!$AN$5:$AN$50,MATCH($D125,'05 Packaging Master'!$A$5:$A$50,0)),"")</f>
        <v/>
      </c>
    </row>
    <row r="126">
      <c r="A126" s="224" t="n">
        <v>122</v>
      </c>
      <c r="B126" s="225" t="inlineStr">
        <is>
          <t>05 Packaging Master</t>
        </is>
      </c>
      <c r="C126" s="225" t="inlineStr">
        <is>
          <t>Store / Takeaway</t>
        </is>
      </c>
      <c r="D126" s="225" t="inlineStr">
        <is>
          <t>PP-PACK-SAUCE-POT</t>
        </is>
      </c>
      <c r="E126" s="225" t="inlineStr">
        <is>
          <t>Sauce / dressing pot 30 ml + lid</t>
        </is>
      </c>
      <c r="F126" s="225" t="inlineStr">
        <is>
          <t>ea</t>
        </is>
      </c>
      <c r="G126" s="226">
        <f>IF(ISNUMBER(INDEX('05 Packaging Master'!$AM$5:$AM$50,MATCH($D126,'05 Packaging Master'!$A$5:$A$50,0))),"PRICED","NEEDS QUOTE")</f>
        <v/>
      </c>
      <c r="H126" s="225">
        <f>IF($G126="PRICED",INDEX('05 Packaging Master'!$AM$5:$AM$50,MATCH($D126,'05 Packaging Master'!$A$5:$A$50,0)),"")</f>
        <v/>
      </c>
      <c r="I126" s="225">
        <f>IF($G126="PRICED",INDEX('05 Packaging Master'!$AN$5:$AN$50,MATCH($D126,'05 Packaging Master'!$A$5:$A$50,0)),"")</f>
        <v/>
      </c>
    </row>
    <row r="127">
      <c r="A127" s="224" t="n">
        <v>123</v>
      </c>
      <c r="B127" s="225" t="inlineStr">
        <is>
          <t>05 Packaging Master</t>
        </is>
      </c>
      <c r="C127" s="225" t="inlineStr">
        <is>
          <t>Store / Takeaway</t>
        </is>
      </c>
      <c r="D127" s="225" t="inlineStr">
        <is>
          <t>PP-PACK-CUTLERY</t>
        </is>
      </c>
      <c r="E127" s="225" t="inlineStr">
        <is>
          <t>Cutlery set (fork + napkin, wrapped)</t>
        </is>
      </c>
      <c r="F127" s="225" t="inlineStr">
        <is>
          <t>ea</t>
        </is>
      </c>
      <c r="G127" s="226">
        <f>IF(ISNUMBER(INDEX('05 Packaging Master'!$AM$5:$AM$50,MATCH($D127,'05 Packaging Master'!$A$5:$A$50,0))),"PRICED","NEEDS QUOTE")</f>
        <v/>
      </c>
      <c r="H127" s="225">
        <f>IF($G127="PRICED",INDEX('05 Packaging Master'!$AM$5:$AM$50,MATCH($D127,'05 Packaging Master'!$A$5:$A$50,0)),"")</f>
        <v/>
      </c>
      <c r="I127" s="225">
        <f>IF($G127="PRICED",INDEX('05 Packaging Master'!$AN$5:$AN$50,MATCH($D127,'05 Packaging Master'!$A$5:$A$50,0)),"")</f>
        <v/>
      </c>
    </row>
    <row r="128">
      <c r="A128" s="224" t="n">
        <v>124</v>
      </c>
      <c r="B128" s="225" t="inlineStr">
        <is>
          <t>05 Packaging Master</t>
        </is>
      </c>
      <c r="C128" s="225" t="inlineStr">
        <is>
          <t>Store / Takeaway</t>
        </is>
      </c>
      <c r="D128" s="225" t="inlineStr">
        <is>
          <t>PP-PACK-NAPKIN</t>
        </is>
      </c>
      <c r="E128" s="225" t="inlineStr">
        <is>
          <t>Branded napkin</t>
        </is>
      </c>
      <c r="F128" s="225" t="inlineStr">
        <is>
          <t>ea</t>
        </is>
      </c>
      <c r="G128" s="226">
        <f>IF(ISNUMBER(INDEX('05 Packaging Master'!$AM$5:$AM$50,MATCH($D128,'05 Packaging Master'!$A$5:$A$50,0))),"PRICED","NEEDS QUOTE")</f>
        <v/>
      </c>
      <c r="H128" s="225">
        <f>IF($G128="PRICED",INDEX('05 Packaging Master'!$AM$5:$AM$50,MATCH($D128,'05 Packaging Master'!$A$5:$A$50,0)),"")</f>
        <v/>
      </c>
      <c r="I128" s="225">
        <f>IF($G128="PRICED",INDEX('05 Packaging Master'!$AN$5:$AN$50,MATCH($D128,'05 Packaging Master'!$A$5:$A$50,0)),"")</f>
        <v/>
      </c>
    </row>
    <row r="129">
      <c r="A129" s="224" t="n">
        <v>125</v>
      </c>
      <c r="B129" s="225" t="inlineStr">
        <is>
          <t>05 Packaging Master</t>
        </is>
      </c>
      <c r="C129" s="225" t="inlineStr">
        <is>
          <t>Store / Takeaway</t>
        </is>
      </c>
      <c r="D129" s="225" t="inlineStr">
        <is>
          <t>PP-PACK-BAG</t>
        </is>
      </c>
      <c r="E129" s="225" t="inlineStr">
        <is>
          <t>Takeaway bag, branded</t>
        </is>
      </c>
      <c r="F129" s="225" t="inlineStr">
        <is>
          <t>ea</t>
        </is>
      </c>
      <c r="G129" s="226">
        <f>IF(ISNUMBER(INDEX('05 Packaging Master'!$AM$5:$AM$50,MATCH($D129,'05 Packaging Master'!$A$5:$A$50,0))),"PRICED","NEEDS QUOTE")</f>
        <v/>
      </c>
      <c r="H129" s="225">
        <f>IF($G129="PRICED",INDEX('05 Packaging Master'!$AM$5:$AM$50,MATCH($D129,'05 Packaging Master'!$A$5:$A$50,0)),"")</f>
        <v/>
      </c>
      <c r="I129" s="225">
        <f>IF($G129="PRICED",INDEX('05 Packaging Master'!$AN$5:$AN$50,MATCH($D129,'05 Packaging Master'!$A$5:$A$50,0)),"")</f>
        <v/>
      </c>
    </row>
    <row r="130">
      <c r="A130" s="224" t="n">
        <v>126</v>
      </c>
      <c r="B130" s="225" t="inlineStr">
        <is>
          <t>05 Packaging Master</t>
        </is>
      </c>
      <c r="C130" s="225" t="inlineStr">
        <is>
          <t>Store / Takeaway</t>
        </is>
      </c>
      <c r="D130" s="225" t="inlineStr">
        <is>
          <t>PP-PACK-STICKER</t>
        </is>
      </c>
      <c r="E130" s="225" t="inlineStr">
        <is>
          <t>Tamper-evident seal sticker</t>
        </is>
      </c>
      <c r="F130" s="225" t="inlineStr">
        <is>
          <t>ea</t>
        </is>
      </c>
      <c r="G130" s="226">
        <f>IF(ISNUMBER(INDEX('05 Packaging Master'!$AM$5:$AM$50,MATCH($D130,'05 Packaging Master'!$A$5:$A$50,0))),"PRICED","NEEDS QUOTE")</f>
        <v/>
      </c>
      <c r="H130" s="225">
        <f>IF($G130="PRICED",INDEX('05 Packaging Master'!$AM$5:$AM$50,MATCH($D130,'05 Packaging Master'!$A$5:$A$50,0)),"")</f>
        <v/>
      </c>
      <c r="I130" s="225">
        <f>IF($G130="PRICED",INDEX('05 Packaging Master'!$AN$5:$AN$50,MATCH($D130,'05 Packaging Master'!$A$5:$A$50,0)),"")</f>
        <v/>
      </c>
    </row>
    <row r="131">
      <c r="A131" s="224" t="n">
        <v>127</v>
      </c>
      <c r="B131" s="225" t="inlineStr">
        <is>
          <t>05 Packaging Master</t>
        </is>
      </c>
      <c r="C131" s="225" t="inlineStr">
        <is>
          <t>Store / Takeaway</t>
        </is>
      </c>
      <c r="D131" s="225" t="inlineStr">
        <is>
          <t>PP-PACK-DELIVERY-SLV</t>
        </is>
      </c>
      <c r="E131" s="225" t="inlineStr">
        <is>
          <t>Delivery insulation sleeve</t>
        </is>
      </c>
      <c r="F131" s="225" t="inlineStr">
        <is>
          <t>ea</t>
        </is>
      </c>
      <c r="G131" s="226">
        <f>IF(ISNUMBER(INDEX('05 Packaging Master'!$AM$5:$AM$50,MATCH($D131,'05 Packaging Master'!$A$5:$A$50,0))),"PRICED","NEEDS QUOTE")</f>
        <v/>
      </c>
      <c r="H131" s="225">
        <f>IF($G131="PRICED",INDEX('05 Packaging Master'!$AM$5:$AM$50,MATCH($D131,'05 Packaging Master'!$A$5:$A$50,0)),"")</f>
        <v/>
      </c>
      <c r="I131" s="225">
        <f>IF($G131="PRICED",INDEX('05 Packaging Master'!$AN$5:$AN$50,MATCH($D131,'05 Packaging Master'!$A$5:$A$50,0)),"")</f>
        <v/>
      </c>
    </row>
    <row r="132">
      <c r="A132" s="224" t="n">
        <v>128</v>
      </c>
      <c r="B132" s="225" t="inlineStr">
        <is>
          <t>05 Packaging Master</t>
        </is>
      </c>
      <c r="C132" s="225" t="inlineStr">
        <is>
          <t>Central Kitchen</t>
        </is>
      </c>
      <c r="D132" s="225" t="inlineStr">
        <is>
          <t>PP-PACK-CK-POUCH</t>
        </is>
      </c>
      <c r="E132" s="225" t="inlineStr">
        <is>
          <t>Vacuum sauce pouch, 2 kg (freeze-grade)</t>
        </is>
      </c>
      <c r="F132" s="225" t="inlineStr">
        <is>
          <t>ea</t>
        </is>
      </c>
      <c r="G132" s="226">
        <f>IF(ISNUMBER(INDEX('05 Packaging Master'!$AM$5:$AM$50,MATCH($D132,'05 Packaging Master'!$A$5:$A$50,0))),"PRICED","NEEDS QUOTE")</f>
        <v/>
      </c>
      <c r="H132" s="225">
        <f>IF($G132="PRICED",INDEX('05 Packaging Master'!$AM$5:$AM$50,MATCH($D132,'05 Packaging Master'!$A$5:$A$50,0)),"")</f>
        <v/>
      </c>
      <c r="I132" s="225">
        <f>IF($G132="PRICED",INDEX('05 Packaging Master'!$AN$5:$AN$50,MATCH($D132,'05 Packaging Master'!$A$5:$A$50,0)),"")</f>
        <v/>
      </c>
    </row>
    <row r="133">
      <c r="A133" s="224" t="n">
        <v>129</v>
      </c>
      <c r="B133" s="225" t="inlineStr">
        <is>
          <t>05 Packaging Master</t>
        </is>
      </c>
      <c r="C133" s="225" t="inlineStr">
        <is>
          <t>Central Kitchen</t>
        </is>
      </c>
      <c r="D133" s="225" t="inlineStr">
        <is>
          <t>PP-PACK-CK-LABEL</t>
        </is>
      </c>
      <c r="E133" s="225" t="inlineStr">
        <is>
          <t>Batch-code label (sauce pouch)</t>
        </is>
      </c>
      <c r="F133" s="225" t="inlineStr">
        <is>
          <t>ea</t>
        </is>
      </c>
      <c r="G133" s="226">
        <f>IF(ISNUMBER(INDEX('05 Packaging Master'!$AM$5:$AM$50,MATCH($D133,'05 Packaging Master'!$A$5:$A$50,0))),"PRICED","NEEDS QUOTE")</f>
        <v/>
      </c>
      <c r="H133" s="225">
        <f>IF($G133="PRICED",INDEX('05 Packaging Master'!$AM$5:$AM$50,MATCH($D133,'05 Packaging Master'!$A$5:$A$50,0)),"")</f>
        <v/>
      </c>
      <c r="I133" s="225">
        <f>IF($G133="PRICED",INDEX('05 Packaging Master'!$AN$5:$AN$50,MATCH($D133,'05 Packaging Master'!$A$5:$A$50,0)),"")</f>
        <v/>
      </c>
    </row>
    <row r="134">
      <c r="A134" s="224" t="n">
        <v>130</v>
      </c>
      <c r="B134" s="225" t="inlineStr">
        <is>
          <t>05 Packaging Master</t>
        </is>
      </c>
      <c r="C134" s="225" t="inlineStr">
        <is>
          <t>Central Kitchen</t>
        </is>
      </c>
      <c r="D134" s="225" t="inlineStr">
        <is>
          <t>PP-PACK-CK-CARTON</t>
        </is>
      </c>
      <c r="E134" s="225" t="inlineStr">
        <is>
          <t>Distribution carton (holds 6 x 2 kg pouches)</t>
        </is>
      </c>
      <c r="F134" s="225" t="inlineStr">
        <is>
          <t>ea</t>
        </is>
      </c>
      <c r="G134" s="226">
        <f>IF(ISNUMBER(INDEX('05 Packaging Master'!$AM$5:$AM$50,MATCH($D134,'05 Packaging Master'!$A$5:$A$50,0))),"PRICED","NEEDS QUOTE")</f>
        <v/>
      </c>
      <c r="H134" s="225">
        <f>IF($G134="PRICED",INDEX('05 Packaging Master'!$AM$5:$AM$50,MATCH($D134,'05 Packaging Master'!$A$5:$A$50,0)),"")</f>
        <v/>
      </c>
      <c r="I134" s="225">
        <f>IF($G134="PRICED",INDEX('05 Packaging Master'!$AN$5:$AN$50,MATCH($D134,'05 Packaging Master'!$A$5:$A$50,0)),"")</f>
        <v/>
      </c>
    </row>
    <row r="135">
      <c r="A135" s="224" t="n">
        <v>131</v>
      </c>
      <c r="B135" s="225" t="inlineStr">
        <is>
          <t>05 Packaging Master</t>
        </is>
      </c>
      <c r="C135" s="225" t="inlineStr">
        <is>
          <t>Retail</t>
        </is>
      </c>
      <c r="D135" s="225" t="inlineStr">
        <is>
          <t>PP-PACK-RETAIL-500G</t>
        </is>
      </c>
      <c r="E135" s="225" t="inlineStr">
        <is>
          <t>Retail pasta pack 500 g + label</t>
        </is>
      </c>
      <c r="F135" s="225" t="inlineStr">
        <is>
          <t>ea</t>
        </is>
      </c>
      <c r="G135" s="226">
        <f>IF(ISNUMBER(INDEX('05 Packaging Master'!$AM$5:$AM$50,MATCH($D135,'05 Packaging Master'!$A$5:$A$50,0))),"PRICED","NEEDS QUOTE")</f>
        <v/>
      </c>
      <c r="H135" s="225">
        <f>IF($G135="PRICED",INDEX('05 Packaging Master'!$AM$5:$AM$50,MATCH($D135,'05 Packaging Master'!$A$5:$A$50,0)),"")</f>
        <v/>
      </c>
      <c r="I135" s="225">
        <f>IF($G135="PRICED",INDEX('05 Packaging Master'!$AN$5:$AN$50,MATCH($D135,'05 Packaging Master'!$A$5:$A$50,0)),"")</f>
        <v/>
      </c>
    </row>
    <row r="136">
      <c r="A136" s="224" t="n">
        <v>132</v>
      </c>
      <c r="B136" s="225" t="inlineStr">
        <is>
          <t>05 Packaging Master</t>
        </is>
      </c>
      <c r="C136" s="225" t="inlineStr">
        <is>
          <t>Beverage</t>
        </is>
      </c>
      <c r="D136" s="225" t="inlineStr">
        <is>
          <t>PP-PACK-CUP-SLUSH</t>
        </is>
      </c>
      <c r="E136" s="225" t="inlineStr">
        <is>
          <t>Slushee cup 400 ml</t>
        </is>
      </c>
      <c r="F136" s="225" t="inlineStr">
        <is>
          <t>ea</t>
        </is>
      </c>
      <c r="G136" s="226">
        <f>IF(ISNUMBER(INDEX('05 Packaging Master'!$AM$5:$AM$50,MATCH($D136,'05 Packaging Master'!$A$5:$A$50,0))),"PRICED","NEEDS QUOTE")</f>
        <v/>
      </c>
      <c r="H136" s="225">
        <f>IF($G136="PRICED",INDEX('05 Packaging Master'!$AM$5:$AM$50,MATCH($D136,'05 Packaging Master'!$A$5:$A$50,0)),"")</f>
        <v/>
      </c>
      <c r="I136" s="225">
        <f>IF($G136="PRICED",INDEX('05 Packaging Master'!$AN$5:$AN$50,MATCH($D136,'05 Packaging Master'!$A$5:$A$50,0)),"")</f>
        <v/>
      </c>
    </row>
    <row r="137">
      <c r="A137" s="224" t="n">
        <v>133</v>
      </c>
      <c r="B137" s="225" t="inlineStr">
        <is>
          <t>05 Packaging Master</t>
        </is>
      </c>
      <c r="C137" s="225" t="inlineStr">
        <is>
          <t>Beverage</t>
        </is>
      </c>
      <c r="D137" s="225" t="inlineStr">
        <is>
          <t>PP-PACK-LID-DOME</t>
        </is>
      </c>
      <c r="E137" s="225" t="inlineStr">
        <is>
          <t>Dome lid for slushee cup</t>
        </is>
      </c>
      <c r="F137" s="225" t="inlineStr">
        <is>
          <t>ea</t>
        </is>
      </c>
      <c r="G137" s="226">
        <f>IF(ISNUMBER(INDEX('05 Packaging Master'!$AM$5:$AM$50,MATCH($D137,'05 Packaging Master'!$A$5:$A$50,0))),"PRICED","NEEDS QUOTE")</f>
        <v/>
      </c>
      <c r="H137" s="225">
        <f>IF($G137="PRICED",INDEX('05 Packaging Master'!$AM$5:$AM$50,MATCH($D137,'05 Packaging Master'!$A$5:$A$50,0)),"")</f>
        <v/>
      </c>
      <c r="I137" s="225">
        <f>IF($G137="PRICED",INDEX('05 Packaging Master'!$AN$5:$AN$50,MATCH($D137,'05 Packaging Master'!$A$5:$A$50,0)),"")</f>
        <v/>
      </c>
    </row>
    <row r="138">
      <c r="A138" s="224" t="n">
        <v>134</v>
      </c>
      <c r="B138" s="225" t="inlineStr">
        <is>
          <t>05 Packaging Master</t>
        </is>
      </c>
      <c r="C138" s="225" t="inlineStr">
        <is>
          <t>Beverage</t>
        </is>
      </c>
      <c r="D138" s="225" t="inlineStr">
        <is>
          <t>PP-PACK-STRAW</t>
        </is>
      </c>
      <c r="E138" s="225" t="inlineStr">
        <is>
          <t>Straw, paper / compostable</t>
        </is>
      </c>
      <c r="F138" s="225" t="inlineStr">
        <is>
          <t>ea</t>
        </is>
      </c>
      <c r="G138" s="226">
        <f>IF(ISNUMBER(INDEX('05 Packaging Master'!$AM$5:$AM$50,MATCH($D138,'05 Packaging Master'!$A$5:$A$50,0))),"PRICED","NEEDS QUOTE")</f>
        <v/>
      </c>
      <c r="H138" s="225">
        <f>IF($G138="PRICED",INDEX('05 Packaging Master'!$AM$5:$AM$50,MATCH($D138,'05 Packaging Master'!$A$5:$A$50,0)),"")</f>
        <v/>
      </c>
      <c r="I138" s="225">
        <f>IF($G138="PRICED",INDEX('05 Packaging Master'!$AN$5:$AN$50,MATCH($D138,'05 Packaging Master'!$A$5:$A$50,0)),"")</f>
        <v/>
      </c>
    </row>
    <row r="139">
      <c r="A139" s="224" t="n">
        <v>135</v>
      </c>
      <c r="B139" s="225" t="inlineStr">
        <is>
          <t>05 Packaging Master</t>
        </is>
      </c>
      <c r="C139" s="225" t="inlineStr">
        <is>
          <t>Beverage</t>
        </is>
      </c>
      <c r="D139" s="225" t="inlineStr">
        <is>
          <t>PP-PACK-CUP-SODA</t>
        </is>
      </c>
      <c r="E139" s="225" t="inlineStr">
        <is>
          <t>Soda cup 400 ml + flat lid</t>
        </is>
      </c>
      <c r="F139" s="225" t="inlineStr">
        <is>
          <t>ea</t>
        </is>
      </c>
      <c r="G139" s="226">
        <f>IF(ISNUMBER(INDEX('05 Packaging Master'!$AM$5:$AM$50,MATCH($D139,'05 Packaging Master'!$A$5:$A$50,0))),"PRICED","NEEDS QUOTE")</f>
        <v/>
      </c>
      <c r="H139" s="225">
        <f>IF($G139="PRICED",INDEX('05 Packaging Master'!$AM$5:$AM$50,MATCH($D139,'05 Packaging Master'!$A$5:$A$50,0)),"")</f>
        <v/>
      </c>
      <c r="I139" s="225">
        <f>IF($G139="PRICED",INDEX('05 Packaging Master'!$AN$5:$AN$50,MATCH($D139,'05 Packaging Master'!$A$5:$A$50,0)),"")</f>
        <v/>
      </c>
    </row>
    <row r="140">
      <c r="A140" s="224" t="n">
        <v>136</v>
      </c>
      <c r="B140" s="225" t="inlineStr">
        <is>
          <t>05 Packaging Master</t>
        </is>
      </c>
      <c r="C140" s="225" t="inlineStr">
        <is>
          <t>Beverage</t>
        </is>
      </c>
      <c r="D140" s="225" t="inlineStr">
        <is>
          <t>PP-PACK-CUP-SLUSH-LG</t>
        </is>
      </c>
      <c r="E140" s="225" t="inlineStr">
        <is>
          <t>Slushee cup 600 ml (large)</t>
        </is>
      </c>
      <c r="F140" s="225" t="inlineStr">
        <is>
          <t>ea</t>
        </is>
      </c>
      <c r="G140" s="226">
        <f>IF(ISNUMBER(INDEX('05 Packaging Master'!$AM$5:$AM$50,MATCH($D140,'05 Packaging Master'!$A$5:$A$50,0))),"PRICED","NEEDS QUOTE")</f>
        <v/>
      </c>
      <c r="H140" s="225">
        <f>IF($G140="PRICED",INDEX('05 Packaging Master'!$AM$5:$AM$50,MATCH($D140,'05 Packaging Master'!$A$5:$A$50,0)),"")</f>
        <v/>
      </c>
      <c r="I140" s="225">
        <f>IF($G140="PRICED",INDEX('05 Packaging Master'!$AN$5:$AN$50,MATCH($D140,'05 Packaging Master'!$A$5:$A$50,0)),"")</f>
        <v/>
      </c>
    </row>
    <row r="141">
      <c r="A141" s="224" t="n">
        <v>137</v>
      </c>
      <c r="B141" s="225" t="inlineStr">
        <is>
          <t>05 Packaging Master</t>
        </is>
      </c>
      <c r="C141" s="225" t="inlineStr">
        <is>
          <t>Beverage</t>
        </is>
      </c>
      <c r="D141" s="225" t="inlineStr">
        <is>
          <t>PP-PACK-LID-DOME-LG</t>
        </is>
      </c>
      <c r="E141" s="225" t="inlineStr">
        <is>
          <t>Dome lid for 600 ml slushee cup</t>
        </is>
      </c>
      <c r="F141" s="225" t="inlineStr">
        <is>
          <t>ea</t>
        </is>
      </c>
      <c r="G141" s="226">
        <f>IF(ISNUMBER(INDEX('05 Packaging Master'!$AM$5:$AM$50,MATCH($D141,'05 Packaging Master'!$A$5:$A$50,0))),"PRICED","NEEDS QUOTE")</f>
        <v/>
      </c>
      <c r="H141" s="225">
        <f>IF($G141="PRICED",INDEX('05 Packaging Master'!$AM$5:$AM$50,MATCH($D141,'05 Packaging Master'!$A$5:$A$50,0)),"")</f>
        <v/>
      </c>
      <c r="I141" s="225">
        <f>IF($G141="PRICED",INDEX('05 Packaging Master'!$AN$5:$AN$50,MATCH($D141,'05 Packaging Master'!$A$5:$A$50,0)),"")</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2026-09-06T06:15:48Z</dcterms:created>
  <dcterms:modified xmlns:dcterms="http://purl.org/dc/terms/" xmlns:xsi="http://www.w3.org/2001/XMLSchema-instance" xsi:type="dcterms:W3CDTF">2026-09-06T07:42:38Z</dcterms:modified>
  <cp:revision>0</cp:revision>
</cp:coreProperties>
</file>